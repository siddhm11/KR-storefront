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.mehta\Desktop\Tejal new Price\"/>
    </mc:Choice>
  </mc:AlternateContent>
  <xr:revisionPtr revIDLastSave="0" documentId="13_ncr:1_{70AECDCA-EAFA-4AC9-8508-45BDB9A941C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el" sheetId="1" r:id="rId1"/>
    <sheet name="Sheet2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Bel!$A$1:$K$424</definedName>
    <definedName name="_xlnm._FilterDatabase" localSheetId="1" hidden="1">Sheet2!$A$1:$J$630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99" i="2" l="1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G517" i="1" l="1"/>
  <c r="G516" i="1"/>
  <c r="G515" i="1"/>
  <c r="G511" i="1"/>
  <c r="G510" i="1"/>
  <c r="G509" i="1"/>
  <c r="G508" i="1"/>
  <c r="G507" i="1"/>
  <c r="G505" i="1"/>
  <c r="E399" i="2" l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337" i="2"/>
  <c r="G630" i="2"/>
  <c r="B630" i="2"/>
  <c r="G629" i="2"/>
  <c r="B629" i="2"/>
  <c r="G628" i="2"/>
  <c r="B628" i="2"/>
  <c r="G627" i="2"/>
  <c r="B627" i="2"/>
  <c r="G626" i="2"/>
  <c r="B626" i="2"/>
  <c r="G625" i="2"/>
  <c r="B625" i="2"/>
  <c r="G624" i="2"/>
  <c r="B624" i="2"/>
  <c r="G623" i="2"/>
  <c r="B623" i="2"/>
  <c r="G622" i="2"/>
  <c r="B622" i="2"/>
  <c r="G621" i="2"/>
  <c r="B621" i="2"/>
  <c r="G620" i="2"/>
  <c r="B620" i="2"/>
  <c r="G619" i="2"/>
  <c r="B619" i="2"/>
  <c r="G618" i="2"/>
  <c r="B618" i="2"/>
  <c r="G617" i="2"/>
  <c r="B617" i="2"/>
  <c r="G616" i="2"/>
  <c r="B616" i="2"/>
  <c r="G615" i="2"/>
  <c r="B615" i="2"/>
  <c r="G614" i="2"/>
  <c r="B614" i="2"/>
  <c r="G613" i="2"/>
  <c r="B613" i="2"/>
  <c r="G612" i="2"/>
  <c r="B612" i="2"/>
  <c r="G611" i="2"/>
  <c r="B611" i="2"/>
  <c r="G610" i="2"/>
  <c r="B610" i="2"/>
  <c r="G609" i="2"/>
  <c r="B609" i="2"/>
  <c r="G608" i="2"/>
  <c r="B608" i="2"/>
  <c r="G607" i="2"/>
  <c r="B607" i="2"/>
  <c r="G606" i="2"/>
  <c r="B606" i="2"/>
  <c r="G605" i="2"/>
  <c r="B605" i="2"/>
  <c r="G604" i="2"/>
  <c r="B604" i="2"/>
  <c r="G603" i="2"/>
  <c r="B603" i="2"/>
  <c r="G602" i="2"/>
  <c r="B602" i="2"/>
  <c r="G601" i="2"/>
  <c r="B601" i="2"/>
  <c r="G600" i="2"/>
  <c r="B600" i="2"/>
  <c r="G599" i="2"/>
  <c r="B599" i="2"/>
  <c r="G598" i="2"/>
  <c r="B598" i="2"/>
  <c r="G597" i="2"/>
  <c r="B597" i="2"/>
  <c r="G596" i="2"/>
  <c r="B596" i="2"/>
  <c r="G595" i="2"/>
  <c r="B595" i="2"/>
  <c r="G594" i="2"/>
  <c r="B594" i="2"/>
  <c r="G593" i="2"/>
  <c r="B593" i="2"/>
  <c r="G592" i="2"/>
  <c r="B592" i="2"/>
  <c r="G591" i="2"/>
  <c r="B591" i="2"/>
  <c r="G590" i="2"/>
  <c r="B590" i="2"/>
  <c r="G589" i="2"/>
  <c r="B589" i="2"/>
  <c r="G588" i="2"/>
  <c r="B588" i="2"/>
  <c r="G587" i="2"/>
  <c r="B587" i="2"/>
  <c r="G586" i="2"/>
  <c r="B586" i="2"/>
  <c r="G585" i="2"/>
  <c r="B585" i="2"/>
  <c r="G584" i="2"/>
  <c r="B584" i="2"/>
  <c r="G583" i="2"/>
  <c r="B583" i="2"/>
  <c r="G582" i="2"/>
  <c r="B582" i="2"/>
  <c r="G581" i="2"/>
  <c r="B581" i="2"/>
  <c r="G580" i="2"/>
  <c r="B580" i="2"/>
  <c r="G579" i="2"/>
  <c r="B579" i="2"/>
  <c r="G578" i="2"/>
  <c r="B578" i="2"/>
  <c r="G577" i="2"/>
  <c r="B577" i="2"/>
  <c r="G576" i="2"/>
  <c r="B576" i="2"/>
  <c r="G575" i="2"/>
  <c r="B575" i="2"/>
  <c r="G574" i="2"/>
  <c r="B574" i="2"/>
  <c r="G573" i="2"/>
  <c r="B573" i="2"/>
  <c r="G572" i="2"/>
  <c r="B572" i="2"/>
  <c r="G571" i="2"/>
  <c r="B571" i="2"/>
  <c r="G570" i="2"/>
  <c r="B570" i="2"/>
  <c r="G569" i="2"/>
  <c r="B569" i="2"/>
  <c r="G568" i="2"/>
  <c r="B568" i="2"/>
  <c r="G567" i="2"/>
  <c r="B567" i="2"/>
  <c r="G566" i="2"/>
  <c r="B566" i="2"/>
  <c r="G565" i="2"/>
  <c r="B565" i="2"/>
  <c r="G564" i="2"/>
  <c r="B564" i="2"/>
  <c r="G563" i="2"/>
  <c r="B563" i="2"/>
  <c r="G562" i="2"/>
  <c r="B562" i="2"/>
  <c r="G561" i="2"/>
  <c r="B561" i="2"/>
  <c r="G560" i="2"/>
  <c r="B560" i="2"/>
  <c r="G559" i="2"/>
  <c r="B559" i="2"/>
  <c r="G558" i="2"/>
  <c r="B558" i="2"/>
  <c r="G557" i="2"/>
  <c r="B557" i="2"/>
  <c r="G556" i="2"/>
  <c r="B556" i="2"/>
  <c r="G555" i="2"/>
  <c r="B555" i="2"/>
  <c r="G554" i="2"/>
  <c r="B554" i="2"/>
  <c r="G553" i="2"/>
  <c r="B553" i="2"/>
  <c r="G552" i="2"/>
  <c r="B552" i="2"/>
  <c r="G551" i="2"/>
  <c r="B551" i="2"/>
  <c r="G550" i="2"/>
  <c r="B550" i="2"/>
  <c r="G549" i="2"/>
  <c r="B549" i="2"/>
  <c r="G548" i="2"/>
  <c r="B548" i="2"/>
  <c r="G547" i="2"/>
  <c r="B547" i="2"/>
  <c r="G546" i="2"/>
  <c r="B546" i="2"/>
  <c r="G545" i="2"/>
  <c r="B545" i="2"/>
  <c r="G544" i="2"/>
  <c r="B544" i="2"/>
  <c r="G543" i="2"/>
  <c r="B543" i="2"/>
  <c r="G542" i="2"/>
  <c r="B542" i="2"/>
  <c r="G541" i="2"/>
  <c r="B541" i="2"/>
  <c r="G540" i="2"/>
  <c r="B540" i="2"/>
  <c r="G539" i="2"/>
  <c r="B539" i="2"/>
  <c r="G538" i="2"/>
  <c r="B538" i="2"/>
  <c r="G537" i="2"/>
  <c r="B537" i="2"/>
  <c r="G536" i="2"/>
  <c r="B536" i="2"/>
  <c r="G535" i="2"/>
  <c r="B535" i="2"/>
  <c r="G534" i="2"/>
  <c r="B534" i="2"/>
  <c r="G533" i="2"/>
  <c r="B533" i="2"/>
  <c r="G532" i="2"/>
  <c r="B532" i="2"/>
  <c r="G531" i="2"/>
  <c r="B531" i="2"/>
  <c r="G530" i="2"/>
  <c r="B530" i="2"/>
  <c r="G529" i="2"/>
  <c r="B529" i="2"/>
  <c r="G528" i="2"/>
  <c r="B528" i="2"/>
  <c r="G527" i="2"/>
  <c r="B527" i="2"/>
  <c r="G526" i="2"/>
  <c r="B526" i="2"/>
  <c r="G525" i="2"/>
  <c r="B525" i="2"/>
  <c r="G524" i="2"/>
  <c r="B524" i="2"/>
  <c r="G523" i="2"/>
  <c r="B523" i="2"/>
  <c r="G522" i="2"/>
  <c r="B522" i="2"/>
  <c r="G521" i="2"/>
  <c r="B521" i="2"/>
  <c r="G520" i="2"/>
  <c r="B520" i="2"/>
  <c r="G519" i="2"/>
  <c r="B519" i="2"/>
  <c r="G518" i="2"/>
  <c r="B518" i="2"/>
  <c r="G517" i="2"/>
  <c r="B517" i="2"/>
  <c r="G516" i="2"/>
  <c r="B516" i="2"/>
  <c r="G515" i="2"/>
  <c r="B515" i="2"/>
  <c r="G514" i="2"/>
  <c r="B514" i="2"/>
  <c r="G513" i="2"/>
  <c r="B513" i="2"/>
  <c r="G512" i="2"/>
  <c r="B512" i="2"/>
  <c r="G511" i="2"/>
  <c r="B511" i="2"/>
  <c r="G510" i="2"/>
  <c r="B510" i="2"/>
  <c r="G509" i="2"/>
  <c r="B509" i="2"/>
  <c r="G508" i="2"/>
  <c r="B508" i="2"/>
  <c r="G507" i="2"/>
  <c r="B507" i="2"/>
  <c r="G506" i="2"/>
  <c r="B506" i="2"/>
  <c r="G505" i="2"/>
  <c r="B505" i="2"/>
  <c r="G504" i="2"/>
  <c r="B504" i="2"/>
  <c r="G503" i="2"/>
  <c r="B503" i="2"/>
  <c r="G502" i="2"/>
  <c r="B502" i="2"/>
  <c r="G501" i="2"/>
  <c r="B501" i="2"/>
  <c r="G500" i="2"/>
  <c r="B500" i="2"/>
  <c r="G499" i="2"/>
  <c r="B499" i="2"/>
  <c r="G498" i="2"/>
  <c r="B498" i="2"/>
  <c r="G497" i="2"/>
  <c r="B497" i="2"/>
  <c r="G496" i="2"/>
  <c r="B496" i="2"/>
  <c r="G495" i="2"/>
  <c r="B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B450" i="2"/>
  <c r="G449" i="2"/>
  <c r="B449" i="2"/>
  <c r="G448" i="2"/>
  <c r="B448" i="2"/>
  <c r="G447" i="2"/>
  <c r="B447" i="2"/>
  <c r="G446" i="2"/>
  <c r="B446" i="2"/>
  <c r="G445" i="2"/>
  <c r="B445" i="2"/>
  <c r="G444" i="2"/>
  <c r="B444" i="2"/>
  <c r="G443" i="2"/>
  <c r="B443" i="2"/>
  <c r="G442" i="2"/>
  <c r="B442" i="2"/>
  <c r="G441" i="2"/>
  <c r="B441" i="2"/>
  <c r="G440" i="2"/>
  <c r="B440" i="2"/>
  <c r="G439" i="2"/>
  <c r="B439" i="2"/>
  <c r="G438" i="2"/>
  <c r="B438" i="2"/>
  <c r="G437" i="2"/>
  <c r="B437" i="2"/>
  <c r="G436" i="2"/>
  <c r="B436" i="2"/>
  <c r="G435" i="2"/>
  <c r="B435" i="2"/>
  <c r="G434" i="2"/>
  <c r="B434" i="2"/>
  <c r="G433" i="2"/>
  <c r="B433" i="2"/>
  <c r="G432" i="2"/>
  <c r="B432" i="2"/>
  <c r="G431" i="2"/>
  <c r="B431" i="2"/>
  <c r="G430" i="2"/>
  <c r="B430" i="2"/>
  <c r="G429" i="2"/>
  <c r="B429" i="2"/>
  <c r="G428" i="2"/>
  <c r="B428" i="2"/>
  <c r="G427" i="2"/>
  <c r="B427" i="2"/>
  <c r="G426" i="2"/>
  <c r="B426" i="2"/>
  <c r="G425" i="2"/>
  <c r="B425" i="2"/>
  <c r="G424" i="2"/>
  <c r="B424" i="2"/>
  <c r="G423" i="2"/>
  <c r="B423" i="2"/>
  <c r="G422" i="2"/>
  <c r="B422" i="2"/>
  <c r="G421" i="2"/>
  <c r="B421" i="2"/>
  <c r="G420" i="2"/>
  <c r="B420" i="2"/>
  <c r="G419" i="2"/>
  <c r="B419" i="2"/>
  <c r="G418" i="2"/>
  <c r="B418" i="2"/>
  <c r="G417" i="2"/>
  <c r="B417" i="2"/>
  <c r="G416" i="2"/>
  <c r="B416" i="2"/>
  <c r="G415" i="2"/>
  <c r="B415" i="2"/>
  <c r="G414" i="2"/>
  <c r="B414" i="2"/>
  <c r="G413" i="2"/>
  <c r="B413" i="2"/>
  <c r="G412" i="2"/>
  <c r="B412" i="2"/>
  <c r="G411" i="2"/>
  <c r="B411" i="2"/>
  <c r="G410" i="2"/>
  <c r="B410" i="2"/>
  <c r="G409" i="2"/>
  <c r="B409" i="2"/>
  <c r="G408" i="2"/>
  <c r="B408" i="2"/>
  <c r="G407" i="2"/>
  <c r="B407" i="2"/>
  <c r="G406" i="2"/>
  <c r="B406" i="2"/>
  <c r="G405" i="2"/>
  <c r="B405" i="2"/>
  <c r="G404" i="2"/>
  <c r="B404" i="2"/>
  <c r="G403" i="2"/>
  <c r="B403" i="2"/>
  <c r="G402" i="2"/>
  <c r="B402" i="2"/>
  <c r="G401" i="2"/>
  <c r="B401" i="2"/>
  <c r="G400" i="2"/>
  <c r="B400" i="2"/>
  <c r="G399" i="2"/>
  <c r="C399" i="2"/>
  <c r="B399" i="2"/>
  <c r="C46" i="2" l="1"/>
  <c r="C54" i="2"/>
  <c r="C53" i="2"/>
  <c r="C52" i="2"/>
  <c r="K423" i="1"/>
  <c r="K422" i="1"/>
  <c r="K421" i="1"/>
  <c r="J451" i="1" l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28" i="1"/>
  <c r="J427" i="1"/>
  <c r="J420" i="1"/>
  <c r="K420" i="1" s="1"/>
  <c r="L420" i="1" s="1"/>
  <c r="J419" i="1"/>
  <c r="K419" i="1" s="1"/>
  <c r="L419" i="1" s="1"/>
  <c r="J418" i="1"/>
  <c r="K418" i="1" s="1"/>
  <c r="L418" i="1" s="1"/>
  <c r="J417" i="1"/>
  <c r="K417" i="1" s="1"/>
  <c r="L417" i="1" s="1"/>
  <c r="J416" i="1"/>
  <c r="K416" i="1" s="1"/>
  <c r="L416" i="1" s="1"/>
  <c r="J415" i="1"/>
  <c r="K415" i="1" s="1"/>
  <c r="L415" i="1" s="1"/>
  <c r="J414" i="1"/>
  <c r="K414" i="1" s="1"/>
  <c r="L414" i="1" s="1"/>
  <c r="J413" i="1"/>
  <c r="K413" i="1" s="1"/>
  <c r="L413" i="1" s="1"/>
  <c r="J412" i="1"/>
  <c r="K412" i="1" s="1"/>
  <c r="L412" i="1" s="1"/>
  <c r="J411" i="1"/>
  <c r="K411" i="1" s="1"/>
  <c r="L411" i="1" s="1"/>
  <c r="J410" i="1"/>
  <c r="K410" i="1" s="1"/>
  <c r="L410" i="1" s="1"/>
  <c r="J409" i="1"/>
  <c r="K409" i="1" s="1"/>
  <c r="L409" i="1" s="1"/>
  <c r="J408" i="1"/>
  <c r="K408" i="1" s="1"/>
  <c r="L408" i="1" s="1"/>
  <c r="J407" i="1"/>
  <c r="K407" i="1" s="1"/>
  <c r="L407" i="1" s="1"/>
  <c r="J406" i="1"/>
  <c r="K406" i="1" s="1"/>
  <c r="L406" i="1" s="1"/>
  <c r="J405" i="1"/>
  <c r="K405" i="1" s="1"/>
  <c r="L405" i="1" s="1"/>
  <c r="J404" i="1"/>
  <c r="K404" i="1" s="1"/>
  <c r="L404" i="1" s="1"/>
  <c r="J403" i="1"/>
  <c r="K403" i="1" s="1"/>
  <c r="L403" i="1" s="1"/>
  <c r="J402" i="1"/>
  <c r="K402" i="1" s="1"/>
  <c r="L402" i="1" s="1"/>
  <c r="J401" i="1"/>
  <c r="K401" i="1" s="1"/>
  <c r="L401" i="1" s="1"/>
  <c r="J400" i="1"/>
  <c r="K400" i="1" s="1"/>
  <c r="L400" i="1" s="1"/>
  <c r="J399" i="1"/>
  <c r="K399" i="1" s="1"/>
  <c r="L399" i="1" s="1"/>
  <c r="J398" i="1"/>
  <c r="K398" i="1" s="1"/>
  <c r="L398" i="1" s="1"/>
  <c r="J397" i="1"/>
  <c r="K397" i="1" s="1"/>
  <c r="L397" i="1" s="1"/>
  <c r="J396" i="1"/>
  <c r="K396" i="1" s="1"/>
  <c r="L396" i="1" s="1"/>
  <c r="J395" i="1"/>
  <c r="K395" i="1" s="1"/>
  <c r="L395" i="1" s="1"/>
  <c r="J394" i="1"/>
  <c r="K394" i="1" s="1"/>
  <c r="L394" i="1" s="1"/>
  <c r="J393" i="1"/>
  <c r="K393" i="1" s="1"/>
  <c r="L393" i="1" s="1"/>
  <c r="J392" i="1"/>
  <c r="K392" i="1" s="1"/>
  <c r="L392" i="1" s="1"/>
  <c r="J391" i="1"/>
  <c r="K391" i="1" s="1"/>
  <c r="L391" i="1" s="1"/>
  <c r="J390" i="1"/>
  <c r="K390" i="1" s="1"/>
  <c r="L390" i="1" s="1"/>
  <c r="J388" i="1"/>
  <c r="K388" i="1" s="1"/>
  <c r="L388" i="1" s="1"/>
  <c r="J387" i="1"/>
  <c r="K387" i="1" s="1"/>
  <c r="L387" i="1" s="1"/>
  <c r="J386" i="1"/>
  <c r="K386" i="1" s="1"/>
  <c r="L386" i="1" s="1"/>
  <c r="J385" i="1"/>
  <c r="K385" i="1" s="1"/>
  <c r="L385" i="1" s="1"/>
  <c r="J384" i="1"/>
  <c r="K384" i="1" s="1"/>
  <c r="L384" i="1" s="1"/>
  <c r="J383" i="1"/>
  <c r="K383" i="1" s="1"/>
  <c r="L383" i="1" s="1"/>
  <c r="J382" i="1"/>
  <c r="K382" i="1" s="1"/>
  <c r="L382" i="1" s="1"/>
  <c r="J381" i="1"/>
  <c r="K381" i="1" s="1"/>
  <c r="L381" i="1" s="1"/>
  <c r="J380" i="1"/>
  <c r="K380" i="1" s="1"/>
  <c r="L380" i="1" s="1"/>
  <c r="J378" i="1"/>
  <c r="K378" i="1" s="1"/>
  <c r="L378" i="1" s="1"/>
  <c r="J376" i="1"/>
  <c r="K376" i="1" s="1"/>
  <c r="L376" i="1" s="1"/>
  <c r="J375" i="1"/>
  <c r="K375" i="1" s="1"/>
  <c r="L375" i="1" s="1"/>
  <c r="J374" i="1"/>
  <c r="K374" i="1" s="1"/>
  <c r="L374" i="1" s="1"/>
  <c r="J370" i="1"/>
  <c r="K370" i="1" s="1"/>
  <c r="L370" i="1" s="1"/>
  <c r="J369" i="1"/>
  <c r="K369" i="1" s="1"/>
  <c r="L369" i="1" s="1"/>
  <c r="J368" i="1"/>
  <c r="K368" i="1" s="1"/>
  <c r="L368" i="1" s="1"/>
  <c r="J366" i="1"/>
  <c r="K366" i="1" s="1"/>
  <c r="L366" i="1" s="1"/>
  <c r="J365" i="1"/>
  <c r="K365" i="1" s="1"/>
  <c r="L365" i="1" s="1"/>
  <c r="J362" i="1"/>
  <c r="K362" i="1" s="1"/>
  <c r="L362" i="1" s="1"/>
  <c r="J361" i="1"/>
  <c r="K361" i="1" s="1"/>
  <c r="L361" i="1" s="1"/>
  <c r="J360" i="1"/>
  <c r="K360" i="1" s="1"/>
  <c r="L360" i="1" s="1"/>
  <c r="J359" i="1"/>
  <c r="K359" i="1" s="1"/>
  <c r="L359" i="1" s="1"/>
  <c r="J358" i="1"/>
  <c r="K358" i="1" s="1"/>
  <c r="L358" i="1" s="1"/>
  <c r="J357" i="1"/>
  <c r="K357" i="1" s="1"/>
  <c r="L357" i="1" s="1"/>
  <c r="J356" i="1"/>
  <c r="K356" i="1" s="1"/>
  <c r="L356" i="1" s="1"/>
  <c r="J353" i="1"/>
  <c r="K353" i="1" s="1"/>
  <c r="L353" i="1" s="1"/>
  <c r="J352" i="1"/>
  <c r="K352" i="1" s="1"/>
  <c r="L352" i="1" s="1"/>
  <c r="J351" i="1"/>
  <c r="K351" i="1" s="1"/>
  <c r="L351" i="1" s="1"/>
  <c r="J350" i="1"/>
  <c r="K350" i="1" s="1"/>
  <c r="L350" i="1" s="1"/>
  <c r="J347" i="1"/>
  <c r="K347" i="1" s="1"/>
  <c r="L347" i="1" s="1"/>
  <c r="J345" i="1"/>
  <c r="K345" i="1" s="1"/>
  <c r="L345" i="1" s="1"/>
  <c r="J344" i="1"/>
  <c r="K344" i="1" s="1"/>
  <c r="L344" i="1" s="1"/>
  <c r="J343" i="1"/>
  <c r="K343" i="1" s="1"/>
  <c r="L343" i="1" s="1"/>
  <c r="J342" i="1"/>
  <c r="K342" i="1" s="1"/>
  <c r="L342" i="1" s="1"/>
  <c r="J340" i="1"/>
  <c r="K340" i="1" s="1"/>
  <c r="L340" i="1" s="1"/>
  <c r="J336" i="1"/>
  <c r="K336" i="1" s="1"/>
  <c r="L336" i="1" s="1"/>
  <c r="J331" i="1"/>
  <c r="K331" i="1" s="1"/>
  <c r="L331" i="1" s="1"/>
  <c r="J329" i="1"/>
  <c r="K329" i="1" s="1"/>
  <c r="L329" i="1" s="1"/>
  <c r="J326" i="1"/>
  <c r="K326" i="1" s="1"/>
  <c r="L326" i="1" s="1"/>
  <c r="J325" i="1"/>
  <c r="K325" i="1" s="1"/>
  <c r="L325" i="1" s="1"/>
  <c r="J324" i="1"/>
  <c r="K324" i="1" s="1"/>
  <c r="L324" i="1" s="1"/>
  <c r="J323" i="1"/>
  <c r="K323" i="1" s="1"/>
  <c r="L323" i="1" s="1"/>
  <c r="J318" i="1"/>
  <c r="K318" i="1" s="1"/>
  <c r="L318" i="1" s="1"/>
  <c r="J317" i="1"/>
  <c r="K317" i="1" s="1"/>
  <c r="L317" i="1" s="1"/>
  <c r="J314" i="1"/>
  <c r="K314" i="1" s="1"/>
  <c r="L314" i="1" s="1"/>
  <c r="J313" i="1"/>
  <c r="K313" i="1" s="1"/>
  <c r="L313" i="1" s="1"/>
  <c r="J312" i="1"/>
  <c r="K312" i="1" s="1"/>
  <c r="L312" i="1" s="1"/>
  <c r="J311" i="1"/>
  <c r="K311" i="1" s="1"/>
  <c r="L311" i="1" s="1"/>
  <c r="J309" i="1"/>
  <c r="K309" i="1" s="1"/>
  <c r="L309" i="1" s="1"/>
  <c r="J304" i="1"/>
  <c r="K304" i="1" s="1"/>
  <c r="L304" i="1" s="1"/>
  <c r="J303" i="1"/>
  <c r="K303" i="1" s="1"/>
  <c r="L303" i="1" s="1"/>
  <c r="J302" i="1"/>
  <c r="K302" i="1" s="1"/>
  <c r="L302" i="1" s="1"/>
  <c r="J298" i="1"/>
  <c r="K298" i="1" s="1"/>
  <c r="L298" i="1" s="1"/>
  <c r="J297" i="1"/>
  <c r="K297" i="1" s="1"/>
  <c r="L297" i="1" s="1"/>
  <c r="J296" i="1"/>
  <c r="K296" i="1" s="1"/>
  <c r="L296" i="1" s="1"/>
  <c r="J294" i="1"/>
  <c r="K294" i="1" s="1"/>
  <c r="L294" i="1" s="1"/>
  <c r="J293" i="1"/>
  <c r="K293" i="1" s="1"/>
  <c r="L293" i="1" s="1"/>
  <c r="J292" i="1"/>
  <c r="K292" i="1" s="1"/>
  <c r="L292" i="1" s="1"/>
  <c r="J291" i="1"/>
  <c r="K291" i="1" s="1"/>
  <c r="L291" i="1" s="1"/>
  <c r="J290" i="1"/>
  <c r="K290" i="1" s="1"/>
  <c r="L290" i="1" s="1"/>
  <c r="J289" i="1"/>
  <c r="K289" i="1" s="1"/>
  <c r="L289" i="1" s="1"/>
  <c r="J288" i="1"/>
  <c r="K288" i="1" s="1"/>
  <c r="L288" i="1" s="1"/>
  <c r="J287" i="1"/>
  <c r="K287" i="1" s="1"/>
  <c r="L287" i="1" s="1"/>
  <c r="J286" i="1"/>
  <c r="K286" i="1" s="1"/>
  <c r="L286" i="1" s="1"/>
  <c r="J283" i="1"/>
  <c r="K283" i="1" s="1"/>
  <c r="L283" i="1" s="1"/>
  <c r="J282" i="1"/>
  <c r="K282" i="1" s="1"/>
  <c r="L282" i="1" s="1"/>
  <c r="J281" i="1"/>
  <c r="K281" i="1" s="1"/>
  <c r="L281" i="1" s="1"/>
  <c r="J280" i="1"/>
  <c r="K280" i="1" s="1"/>
  <c r="L280" i="1" s="1"/>
  <c r="J279" i="1"/>
  <c r="K279" i="1" s="1"/>
  <c r="L279" i="1" s="1"/>
  <c r="J278" i="1"/>
  <c r="K278" i="1" s="1"/>
  <c r="L278" i="1" s="1"/>
  <c r="J277" i="1"/>
  <c r="K277" i="1" s="1"/>
  <c r="L277" i="1" s="1"/>
  <c r="J276" i="1"/>
  <c r="K276" i="1" s="1"/>
  <c r="L276" i="1" s="1"/>
  <c r="J275" i="1"/>
  <c r="K275" i="1" s="1"/>
  <c r="L275" i="1" s="1"/>
  <c r="J274" i="1"/>
  <c r="K274" i="1" s="1"/>
  <c r="L274" i="1" s="1"/>
  <c r="J273" i="1"/>
  <c r="K273" i="1" s="1"/>
  <c r="L273" i="1" s="1"/>
  <c r="J272" i="1"/>
  <c r="K272" i="1" s="1"/>
  <c r="L272" i="1" s="1"/>
  <c r="J271" i="1"/>
  <c r="K271" i="1" s="1"/>
  <c r="L271" i="1" s="1"/>
  <c r="J270" i="1"/>
  <c r="K270" i="1" s="1"/>
  <c r="L270" i="1" s="1"/>
  <c r="J269" i="1"/>
  <c r="K269" i="1" s="1"/>
  <c r="L269" i="1" s="1"/>
  <c r="J268" i="1"/>
  <c r="K268" i="1" s="1"/>
  <c r="L268" i="1" s="1"/>
  <c r="J267" i="1"/>
  <c r="K267" i="1" s="1"/>
  <c r="L267" i="1" s="1"/>
  <c r="J266" i="1"/>
  <c r="K266" i="1" s="1"/>
  <c r="L266" i="1" s="1"/>
  <c r="J265" i="1"/>
  <c r="K265" i="1" s="1"/>
  <c r="L265" i="1" s="1"/>
  <c r="J264" i="1"/>
  <c r="K264" i="1" s="1"/>
  <c r="L264" i="1" s="1"/>
  <c r="J263" i="1"/>
  <c r="K263" i="1" s="1"/>
  <c r="L263" i="1" s="1"/>
  <c r="J262" i="1"/>
  <c r="K262" i="1" s="1"/>
  <c r="L262" i="1" s="1"/>
  <c r="J261" i="1"/>
  <c r="K261" i="1" s="1"/>
  <c r="L261" i="1" s="1"/>
  <c r="J260" i="1"/>
  <c r="K260" i="1" s="1"/>
  <c r="L260" i="1" s="1"/>
  <c r="J259" i="1"/>
  <c r="K259" i="1" s="1"/>
  <c r="L259" i="1" s="1"/>
  <c r="J258" i="1"/>
  <c r="K258" i="1" s="1"/>
  <c r="L258" i="1" s="1"/>
  <c r="J257" i="1"/>
  <c r="K257" i="1" s="1"/>
  <c r="L257" i="1" s="1"/>
  <c r="J256" i="1"/>
  <c r="K256" i="1" s="1"/>
  <c r="L256" i="1" s="1"/>
  <c r="J255" i="1"/>
  <c r="K255" i="1" s="1"/>
  <c r="L255" i="1" s="1"/>
  <c r="J254" i="1"/>
  <c r="K254" i="1" s="1"/>
  <c r="L254" i="1" s="1"/>
  <c r="J253" i="1"/>
  <c r="K253" i="1" s="1"/>
  <c r="L253" i="1" s="1"/>
  <c r="J252" i="1"/>
  <c r="K252" i="1" s="1"/>
  <c r="L252" i="1" s="1"/>
  <c r="J251" i="1"/>
  <c r="K251" i="1" s="1"/>
  <c r="L251" i="1" s="1"/>
  <c r="J250" i="1"/>
  <c r="K250" i="1" s="1"/>
  <c r="L250" i="1" s="1"/>
  <c r="J249" i="1"/>
  <c r="K249" i="1" s="1"/>
  <c r="L249" i="1" s="1"/>
  <c r="J248" i="1"/>
  <c r="K248" i="1" s="1"/>
  <c r="L248" i="1" s="1"/>
  <c r="J247" i="1"/>
  <c r="K247" i="1" s="1"/>
  <c r="L247" i="1" s="1"/>
  <c r="J246" i="1"/>
  <c r="K246" i="1" s="1"/>
  <c r="L246" i="1" s="1"/>
  <c r="J245" i="1"/>
  <c r="K245" i="1" s="1"/>
  <c r="L245" i="1" s="1"/>
  <c r="J244" i="1"/>
  <c r="K244" i="1" s="1"/>
  <c r="L244" i="1" s="1"/>
  <c r="J242" i="1"/>
  <c r="K242" i="1" s="1"/>
  <c r="L242" i="1" s="1"/>
  <c r="J240" i="1"/>
  <c r="K240" i="1" s="1"/>
  <c r="L240" i="1" s="1"/>
  <c r="J239" i="1"/>
  <c r="K239" i="1" s="1"/>
  <c r="L239" i="1" s="1"/>
  <c r="J238" i="1"/>
  <c r="K238" i="1" s="1"/>
  <c r="L238" i="1" s="1"/>
  <c r="J237" i="1"/>
  <c r="K237" i="1" s="1"/>
  <c r="L237" i="1" s="1"/>
  <c r="J236" i="1"/>
  <c r="K236" i="1" s="1"/>
  <c r="L236" i="1" s="1"/>
  <c r="J235" i="1"/>
  <c r="K235" i="1" s="1"/>
  <c r="L235" i="1" s="1"/>
  <c r="J229" i="1"/>
  <c r="K229" i="1" s="1"/>
  <c r="L229" i="1" s="1"/>
  <c r="J228" i="1"/>
  <c r="K228" i="1" s="1"/>
  <c r="L228" i="1" s="1"/>
  <c r="J226" i="1"/>
  <c r="K226" i="1" s="1"/>
  <c r="L226" i="1" s="1"/>
  <c r="J225" i="1"/>
  <c r="K225" i="1" s="1"/>
  <c r="L225" i="1" s="1"/>
  <c r="J224" i="1"/>
  <c r="K224" i="1" s="1"/>
  <c r="L224" i="1" s="1"/>
  <c r="J223" i="1"/>
  <c r="K223" i="1" s="1"/>
  <c r="L223" i="1" s="1"/>
  <c r="J222" i="1"/>
  <c r="K222" i="1" s="1"/>
  <c r="L222" i="1" s="1"/>
  <c r="J221" i="1"/>
  <c r="K221" i="1" s="1"/>
  <c r="L221" i="1" s="1"/>
  <c r="J220" i="1"/>
  <c r="K220" i="1" s="1"/>
  <c r="L220" i="1" s="1"/>
  <c r="J219" i="1"/>
  <c r="K219" i="1" s="1"/>
  <c r="L219" i="1" s="1"/>
  <c r="J218" i="1"/>
  <c r="K218" i="1" s="1"/>
  <c r="L218" i="1" s="1"/>
  <c r="J217" i="1"/>
  <c r="K217" i="1" s="1"/>
  <c r="L217" i="1" s="1"/>
  <c r="J216" i="1"/>
  <c r="K216" i="1" s="1"/>
  <c r="L216" i="1" s="1"/>
  <c r="J215" i="1"/>
  <c r="K215" i="1" s="1"/>
  <c r="L215" i="1" s="1"/>
  <c r="J214" i="1"/>
  <c r="K214" i="1" s="1"/>
  <c r="L214" i="1" s="1"/>
  <c r="J213" i="1"/>
  <c r="K213" i="1" s="1"/>
  <c r="L213" i="1" s="1"/>
  <c r="J211" i="1"/>
  <c r="K211" i="1" s="1"/>
  <c r="L211" i="1" s="1"/>
  <c r="J210" i="1"/>
  <c r="K210" i="1" s="1"/>
  <c r="L210" i="1" s="1"/>
  <c r="J209" i="1"/>
  <c r="K209" i="1" s="1"/>
  <c r="L209" i="1" s="1"/>
  <c r="J208" i="1"/>
  <c r="K208" i="1" s="1"/>
  <c r="L208" i="1" s="1"/>
  <c r="J207" i="1"/>
  <c r="K207" i="1" s="1"/>
  <c r="L207" i="1" s="1"/>
  <c r="J206" i="1"/>
  <c r="K206" i="1" s="1"/>
  <c r="L206" i="1" s="1"/>
  <c r="J205" i="1"/>
  <c r="K205" i="1" s="1"/>
  <c r="L205" i="1" s="1"/>
  <c r="J204" i="1"/>
  <c r="K204" i="1" s="1"/>
  <c r="L204" i="1" s="1"/>
  <c r="J203" i="1"/>
  <c r="K203" i="1" s="1"/>
  <c r="L203" i="1" s="1"/>
  <c r="J202" i="1"/>
  <c r="K202" i="1" s="1"/>
  <c r="L202" i="1" s="1"/>
  <c r="J201" i="1"/>
  <c r="K201" i="1" s="1"/>
  <c r="L201" i="1" s="1"/>
  <c r="J200" i="1"/>
  <c r="K200" i="1" s="1"/>
  <c r="L200" i="1" s="1"/>
  <c r="J199" i="1"/>
  <c r="K199" i="1" s="1"/>
  <c r="L199" i="1" s="1"/>
  <c r="J198" i="1"/>
  <c r="K198" i="1" s="1"/>
  <c r="L198" i="1" s="1"/>
  <c r="J197" i="1"/>
  <c r="K197" i="1" s="1"/>
  <c r="L197" i="1" s="1"/>
  <c r="J196" i="1"/>
  <c r="K196" i="1" s="1"/>
  <c r="L196" i="1" s="1"/>
  <c r="J195" i="1"/>
  <c r="K195" i="1" s="1"/>
  <c r="L195" i="1" s="1"/>
  <c r="J194" i="1"/>
  <c r="K194" i="1" s="1"/>
  <c r="L194" i="1" s="1"/>
  <c r="J193" i="1"/>
  <c r="K193" i="1" s="1"/>
  <c r="L193" i="1" s="1"/>
  <c r="J192" i="1"/>
  <c r="K192" i="1" s="1"/>
  <c r="L192" i="1" s="1"/>
  <c r="J191" i="1"/>
  <c r="K191" i="1" s="1"/>
  <c r="L191" i="1" s="1"/>
  <c r="J188" i="1"/>
  <c r="K188" i="1" s="1"/>
  <c r="L188" i="1" s="1"/>
  <c r="J187" i="1"/>
  <c r="K187" i="1" s="1"/>
  <c r="L187" i="1" s="1"/>
  <c r="J186" i="1"/>
  <c r="K186" i="1" s="1"/>
  <c r="L186" i="1" s="1"/>
  <c r="J185" i="1"/>
  <c r="K185" i="1" s="1"/>
  <c r="L185" i="1" s="1"/>
  <c r="J184" i="1"/>
  <c r="K184" i="1" s="1"/>
  <c r="L184" i="1" s="1"/>
  <c r="J183" i="1"/>
  <c r="K183" i="1" s="1"/>
  <c r="L183" i="1" s="1"/>
  <c r="J181" i="1"/>
  <c r="K181" i="1" s="1"/>
  <c r="L181" i="1" s="1"/>
  <c r="J180" i="1"/>
  <c r="K180" i="1" s="1"/>
  <c r="L180" i="1" s="1"/>
  <c r="J174" i="1"/>
  <c r="K174" i="1" s="1"/>
  <c r="L174" i="1" s="1"/>
  <c r="J173" i="1"/>
  <c r="K173" i="1" s="1"/>
  <c r="L173" i="1" s="1"/>
  <c r="J172" i="1"/>
  <c r="K172" i="1" s="1"/>
  <c r="L172" i="1" s="1"/>
  <c r="J171" i="1"/>
  <c r="K171" i="1" s="1"/>
  <c r="L171" i="1" s="1"/>
  <c r="J170" i="1"/>
  <c r="K170" i="1" s="1"/>
  <c r="L170" i="1" s="1"/>
  <c r="J169" i="1"/>
  <c r="K169" i="1" s="1"/>
  <c r="L169" i="1" s="1"/>
  <c r="J168" i="1"/>
  <c r="K168" i="1" s="1"/>
  <c r="L168" i="1" s="1"/>
  <c r="J167" i="1"/>
  <c r="K167" i="1" s="1"/>
  <c r="L167" i="1" s="1"/>
  <c r="J166" i="1"/>
  <c r="K166" i="1" s="1"/>
  <c r="L166" i="1" s="1"/>
  <c r="J165" i="1"/>
  <c r="K165" i="1" s="1"/>
  <c r="L165" i="1" s="1"/>
  <c r="J164" i="1"/>
  <c r="K164" i="1" s="1"/>
  <c r="L164" i="1" s="1"/>
  <c r="J163" i="1"/>
  <c r="K163" i="1" s="1"/>
  <c r="L163" i="1" s="1"/>
  <c r="J162" i="1"/>
  <c r="K162" i="1" s="1"/>
  <c r="L162" i="1" s="1"/>
  <c r="J161" i="1"/>
  <c r="K161" i="1" s="1"/>
  <c r="L161" i="1" s="1"/>
  <c r="J160" i="1"/>
  <c r="K160" i="1" s="1"/>
  <c r="L160" i="1" s="1"/>
  <c r="J159" i="1"/>
  <c r="K159" i="1" s="1"/>
  <c r="L159" i="1" s="1"/>
  <c r="J158" i="1"/>
  <c r="K158" i="1" s="1"/>
  <c r="L158" i="1" s="1"/>
  <c r="J157" i="1"/>
  <c r="K157" i="1" s="1"/>
  <c r="L157" i="1" s="1"/>
  <c r="J156" i="1"/>
  <c r="K156" i="1" s="1"/>
  <c r="L156" i="1" s="1"/>
  <c r="J155" i="1"/>
  <c r="K155" i="1" s="1"/>
  <c r="L155" i="1" s="1"/>
  <c r="J154" i="1"/>
  <c r="K154" i="1" s="1"/>
  <c r="L154" i="1" s="1"/>
  <c r="J153" i="1"/>
  <c r="K153" i="1" s="1"/>
  <c r="L153" i="1" s="1"/>
  <c r="J152" i="1"/>
  <c r="K152" i="1" s="1"/>
  <c r="L152" i="1" s="1"/>
  <c r="J151" i="1"/>
  <c r="K151" i="1" s="1"/>
  <c r="L151" i="1" s="1"/>
  <c r="J150" i="1"/>
  <c r="K150" i="1" s="1"/>
  <c r="L150" i="1" s="1"/>
  <c r="J149" i="1"/>
  <c r="K149" i="1" s="1"/>
  <c r="L149" i="1" s="1"/>
  <c r="J148" i="1"/>
  <c r="K148" i="1" s="1"/>
  <c r="L148" i="1" s="1"/>
  <c r="J147" i="1"/>
  <c r="K147" i="1" s="1"/>
  <c r="L147" i="1" s="1"/>
  <c r="J146" i="1"/>
  <c r="K146" i="1" s="1"/>
  <c r="L146" i="1" s="1"/>
  <c r="J145" i="1"/>
  <c r="K145" i="1" s="1"/>
  <c r="L145" i="1" s="1"/>
  <c r="J144" i="1"/>
  <c r="K144" i="1" s="1"/>
  <c r="L144" i="1" s="1"/>
  <c r="J143" i="1"/>
  <c r="K143" i="1" s="1"/>
  <c r="L143" i="1" s="1"/>
  <c r="J142" i="1"/>
  <c r="K142" i="1" s="1"/>
  <c r="L142" i="1" s="1"/>
  <c r="J141" i="1"/>
  <c r="K141" i="1" s="1"/>
  <c r="L141" i="1" s="1"/>
  <c r="J140" i="1"/>
  <c r="K140" i="1" s="1"/>
  <c r="L140" i="1" s="1"/>
  <c r="J139" i="1"/>
  <c r="K139" i="1" s="1"/>
  <c r="L139" i="1" s="1"/>
  <c r="J138" i="1"/>
  <c r="K138" i="1" s="1"/>
  <c r="L138" i="1" s="1"/>
  <c r="J137" i="1"/>
  <c r="K137" i="1" s="1"/>
  <c r="L137" i="1" s="1"/>
  <c r="J136" i="1"/>
  <c r="K136" i="1" s="1"/>
  <c r="L136" i="1" s="1"/>
  <c r="J135" i="1"/>
  <c r="K135" i="1" s="1"/>
  <c r="L135" i="1" s="1"/>
  <c r="J134" i="1"/>
  <c r="K134" i="1" s="1"/>
  <c r="L134" i="1" s="1"/>
  <c r="J133" i="1"/>
  <c r="K133" i="1" s="1"/>
  <c r="L133" i="1" s="1"/>
  <c r="J132" i="1"/>
  <c r="K132" i="1" s="1"/>
  <c r="L132" i="1" s="1"/>
  <c r="J131" i="1"/>
  <c r="K131" i="1" s="1"/>
  <c r="L131" i="1" s="1"/>
  <c r="J130" i="1"/>
  <c r="K130" i="1" s="1"/>
  <c r="L130" i="1" s="1"/>
  <c r="J129" i="1"/>
  <c r="K129" i="1" s="1"/>
  <c r="L129" i="1" s="1"/>
  <c r="J128" i="1"/>
  <c r="K128" i="1" s="1"/>
  <c r="L128" i="1" s="1"/>
  <c r="J127" i="1"/>
  <c r="K127" i="1" s="1"/>
  <c r="L127" i="1" s="1"/>
  <c r="J126" i="1"/>
  <c r="K126" i="1" s="1"/>
  <c r="L126" i="1" s="1"/>
  <c r="J125" i="1"/>
  <c r="K125" i="1" s="1"/>
  <c r="L125" i="1" s="1"/>
  <c r="J124" i="1"/>
  <c r="K124" i="1" s="1"/>
  <c r="L124" i="1" s="1"/>
  <c r="J123" i="1"/>
  <c r="K123" i="1" s="1"/>
  <c r="L123" i="1" s="1"/>
  <c r="J122" i="1"/>
  <c r="K122" i="1" s="1"/>
  <c r="L122" i="1" s="1"/>
  <c r="J121" i="1"/>
  <c r="K121" i="1" s="1"/>
  <c r="L121" i="1" s="1"/>
  <c r="J120" i="1"/>
  <c r="K120" i="1" s="1"/>
  <c r="L120" i="1" s="1"/>
  <c r="J119" i="1"/>
  <c r="K119" i="1" s="1"/>
  <c r="L119" i="1" s="1"/>
  <c r="J118" i="1"/>
  <c r="K118" i="1" s="1"/>
  <c r="L118" i="1" s="1"/>
  <c r="J117" i="1"/>
  <c r="K117" i="1" s="1"/>
  <c r="L117" i="1" s="1"/>
  <c r="J116" i="1"/>
  <c r="K116" i="1" s="1"/>
  <c r="L116" i="1" s="1"/>
  <c r="J115" i="1"/>
  <c r="K115" i="1" s="1"/>
  <c r="L115" i="1" s="1"/>
  <c r="J114" i="1"/>
  <c r="K114" i="1" s="1"/>
  <c r="L114" i="1" s="1"/>
  <c r="J113" i="1"/>
  <c r="K113" i="1" s="1"/>
  <c r="L113" i="1" s="1"/>
  <c r="J112" i="1"/>
  <c r="K112" i="1" s="1"/>
  <c r="L112" i="1" s="1"/>
  <c r="J111" i="1"/>
  <c r="K111" i="1" s="1"/>
  <c r="L111" i="1" s="1"/>
  <c r="J110" i="1"/>
  <c r="K110" i="1" s="1"/>
  <c r="L110" i="1" s="1"/>
  <c r="J109" i="1"/>
  <c r="K109" i="1" s="1"/>
  <c r="L109" i="1" s="1"/>
  <c r="J108" i="1"/>
  <c r="K108" i="1" s="1"/>
  <c r="L108" i="1" s="1"/>
  <c r="J107" i="1"/>
  <c r="K107" i="1" s="1"/>
  <c r="L107" i="1" s="1"/>
  <c r="J106" i="1"/>
  <c r="K106" i="1" s="1"/>
  <c r="L106" i="1" s="1"/>
  <c r="J105" i="1"/>
  <c r="K105" i="1" s="1"/>
  <c r="L105" i="1" s="1"/>
  <c r="J104" i="1"/>
  <c r="K104" i="1" s="1"/>
  <c r="L104" i="1" s="1"/>
  <c r="J103" i="1"/>
  <c r="K103" i="1" s="1"/>
  <c r="L103" i="1" s="1"/>
  <c r="J102" i="1"/>
  <c r="K102" i="1" s="1"/>
  <c r="L102" i="1" s="1"/>
  <c r="J101" i="1"/>
  <c r="K101" i="1" s="1"/>
  <c r="L101" i="1" s="1"/>
  <c r="J100" i="1"/>
  <c r="K100" i="1" s="1"/>
  <c r="L100" i="1" s="1"/>
  <c r="J99" i="1"/>
  <c r="K99" i="1" s="1"/>
  <c r="L99" i="1" s="1"/>
  <c r="J98" i="1"/>
  <c r="K98" i="1" s="1"/>
  <c r="L98" i="1" s="1"/>
  <c r="J97" i="1"/>
  <c r="K97" i="1" s="1"/>
  <c r="L97" i="1" s="1"/>
  <c r="J96" i="1"/>
  <c r="K96" i="1" s="1"/>
  <c r="L96" i="1" s="1"/>
  <c r="J95" i="1"/>
  <c r="K95" i="1" s="1"/>
  <c r="L95" i="1" s="1"/>
  <c r="J94" i="1"/>
  <c r="K94" i="1" s="1"/>
  <c r="L94" i="1" s="1"/>
  <c r="J93" i="1"/>
  <c r="K93" i="1" s="1"/>
  <c r="L93" i="1" s="1"/>
  <c r="J92" i="1"/>
  <c r="K92" i="1" s="1"/>
  <c r="L92" i="1" s="1"/>
  <c r="J91" i="1"/>
  <c r="K91" i="1" s="1"/>
  <c r="L91" i="1" s="1"/>
  <c r="J90" i="1"/>
  <c r="K90" i="1" s="1"/>
  <c r="L90" i="1" s="1"/>
  <c r="J89" i="1"/>
  <c r="K89" i="1" s="1"/>
  <c r="L89" i="1" s="1"/>
  <c r="J88" i="1"/>
  <c r="K88" i="1" s="1"/>
  <c r="L88" i="1" s="1"/>
  <c r="J87" i="1"/>
  <c r="K87" i="1" s="1"/>
  <c r="L87" i="1" s="1"/>
  <c r="J86" i="1"/>
  <c r="K86" i="1" s="1"/>
  <c r="L86" i="1" s="1"/>
  <c r="J85" i="1"/>
  <c r="K85" i="1" s="1"/>
  <c r="L85" i="1" s="1"/>
  <c r="J84" i="1"/>
  <c r="K84" i="1" s="1"/>
  <c r="L84" i="1" s="1"/>
  <c r="J83" i="1"/>
  <c r="K83" i="1" s="1"/>
  <c r="L83" i="1" s="1"/>
  <c r="J82" i="1"/>
  <c r="K82" i="1" s="1"/>
  <c r="L82" i="1" s="1"/>
  <c r="J81" i="1"/>
  <c r="K81" i="1" s="1"/>
  <c r="L81" i="1" s="1"/>
  <c r="J80" i="1"/>
  <c r="K80" i="1" s="1"/>
  <c r="L80" i="1" s="1"/>
  <c r="J79" i="1"/>
  <c r="K79" i="1" s="1"/>
  <c r="L79" i="1" s="1"/>
  <c r="J77" i="1"/>
  <c r="K77" i="1" s="1"/>
  <c r="L77" i="1" s="1"/>
  <c r="J76" i="1"/>
  <c r="K76" i="1" s="1"/>
  <c r="L76" i="1" s="1"/>
  <c r="J75" i="1"/>
  <c r="K75" i="1" s="1"/>
  <c r="L75" i="1" s="1"/>
  <c r="J74" i="1"/>
  <c r="K74" i="1" s="1"/>
  <c r="L74" i="1" s="1"/>
  <c r="J73" i="1"/>
  <c r="K73" i="1" s="1"/>
  <c r="L73" i="1" s="1"/>
  <c r="J72" i="1"/>
  <c r="K72" i="1" s="1"/>
  <c r="L72" i="1" s="1"/>
  <c r="J71" i="1"/>
  <c r="K71" i="1" s="1"/>
  <c r="L71" i="1" s="1"/>
  <c r="J70" i="1"/>
  <c r="K70" i="1" s="1"/>
  <c r="L70" i="1" s="1"/>
  <c r="J69" i="1"/>
  <c r="K69" i="1" s="1"/>
  <c r="L69" i="1" s="1"/>
  <c r="J68" i="1"/>
  <c r="K68" i="1" s="1"/>
  <c r="L68" i="1" s="1"/>
  <c r="J67" i="1"/>
  <c r="K67" i="1" s="1"/>
  <c r="L67" i="1" s="1"/>
  <c r="J66" i="1"/>
  <c r="K66" i="1" s="1"/>
  <c r="L66" i="1" s="1"/>
  <c r="J65" i="1"/>
  <c r="K65" i="1" s="1"/>
  <c r="L65" i="1" s="1"/>
  <c r="J64" i="1"/>
  <c r="K64" i="1" s="1"/>
  <c r="L64" i="1" s="1"/>
  <c r="J63" i="1"/>
  <c r="K63" i="1" s="1"/>
  <c r="L63" i="1" s="1"/>
  <c r="J62" i="1"/>
  <c r="K62" i="1" s="1"/>
  <c r="L62" i="1" s="1"/>
  <c r="J61" i="1"/>
  <c r="K61" i="1" s="1"/>
  <c r="L61" i="1" s="1"/>
  <c r="J60" i="1"/>
  <c r="K60" i="1" s="1"/>
  <c r="L60" i="1" s="1"/>
  <c r="J59" i="1"/>
  <c r="K59" i="1" s="1"/>
  <c r="L59" i="1" s="1"/>
  <c r="J58" i="1"/>
  <c r="K58" i="1" s="1"/>
  <c r="L58" i="1" s="1"/>
  <c r="J57" i="1"/>
  <c r="K57" i="1" s="1"/>
  <c r="L57" i="1" s="1"/>
  <c r="J56" i="1"/>
  <c r="K56" i="1" s="1"/>
  <c r="L56" i="1" s="1"/>
  <c r="J55" i="1"/>
  <c r="K55" i="1" s="1"/>
  <c r="L55" i="1" s="1"/>
  <c r="J54" i="1"/>
  <c r="K54" i="1" s="1"/>
  <c r="L54" i="1" s="1"/>
  <c r="J53" i="1"/>
  <c r="K53" i="1" s="1"/>
  <c r="L53" i="1" s="1"/>
  <c r="J52" i="1"/>
  <c r="K52" i="1" s="1"/>
  <c r="L52" i="1" s="1"/>
  <c r="J51" i="1"/>
  <c r="K51" i="1" s="1"/>
  <c r="L51" i="1" s="1"/>
  <c r="J50" i="1"/>
  <c r="K50" i="1" s="1"/>
  <c r="L50" i="1" s="1"/>
  <c r="J49" i="1"/>
  <c r="K49" i="1" s="1"/>
  <c r="L49" i="1" s="1"/>
  <c r="J48" i="1"/>
  <c r="K48" i="1" s="1"/>
  <c r="L48" i="1" s="1"/>
  <c r="J47" i="1"/>
  <c r="K47" i="1" s="1"/>
  <c r="L47" i="1" s="1"/>
  <c r="J46" i="1"/>
  <c r="K46" i="1" s="1"/>
  <c r="L46" i="1" s="1"/>
  <c r="J45" i="1"/>
  <c r="K45" i="1" s="1"/>
  <c r="L45" i="1" s="1"/>
  <c r="J44" i="1"/>
  <c r="K44" i="1" s="1"/>
  <c r="L44" i="1" s="1"/>
  <c r="J43" i="1"/>
  <c r="K43" i="1" s="1"/>
  <c r="L43" i="1" s="1"/>
  <c r="J42" i="1"/>
  <c r="K42" i="1" s="1"/>
  <c r="L42" i="1" s="1"/>
  <c r="J41" i="1"/>
  <c r="K41" i="1" s="1"/>
  <c r="L41" i="1" s="1"/>
  <c r="J40" i="1"/>
  <c r="K40" i="1" s="1"/>
  <c r="L40" i="1" s="1"/>
  <c r="J39" i="1"/>
  <c r="K39" i="1" s="1"/>
  <c r="L39" i="1" s="1"/>
  <c r="J38" i="1"/>
  <c r="K38" i="1" s="1"/>
  <c r="L38" i="1" s="1"/>
  <c r="J37" i="1"/>
  <c r="K37" i="1" s="1"/>
  <c r="L37" i="1" s="1"/>
  <c r="J36" i="1"/>
  <c r="K36" i="1" s="1"/>
  <c r="L36" i="1" s="1"/>
  <c r="J35" i="1"/>
  <c r="K35" i="1" s="1"/>
  <c r="L35" i="1" s="1"/>
  <c r="J34" i="1"/>
  <c r="K34" i="1" s="1"/>
  <c r="L34" i="1" s="1"/>
  <c r="J33" i="1"/>
  <c r="K33" i="1" s="1"/>
  <c r="L33" i="1" s="1"/>
  <c r="J32" i="1"/>
  <c r="K32" i="1" s="1"/>
  <c r="L32" i="1" s="1"/>
  <c r="J31" i="1"/>
  <c r="K31" i="1" s="1"/>
  <c r="L31" i="1" s="1"/>
  <c r="J30" i="1"/>
  <c r="K30" i="1" s="1"/>
  <c r="L30" i="1" s="1"/>
  <c r="J29" i="1"/>
  <c r="K29" i="1" s="1"/>
  <c r="L29" i="1" s="1"/>
  <c r="J28" i="1"/>
  <c r="K28" i="1" s="1"/>
  <c r="L28" i="1" s="1"/>
  <c r="J27" i="1"/>
  <c r="K27" i="1" s="1"/>
  <c r="L27" i="1" s="1"/>
  <c r="J26" i="1"/>
  <c r="K26" i="1" s="1"/>
  <c r="L26" i="1" s="1"/>
  <c r="J25" i="1"/>
  <c r="K25" i="1" s="1"/>
  <c r="L25" i="1" s="1"/>
  <c r="J24" i="1"/>
  <c r="K24" i="1" s="1"/>
  <c r="L24" i="1" s="1"/>
  <c r="J23" i="1"/>
  <c r="K23" i="1" s="1"/>
  <c r="L23" i="1" s="1"/>
  <c r="J22" i="1"/>
  <c r="K22" i="1" s="1"/>
  <c r="L22" i="1" s="1"/>
  <c r="J21" i="1"/>
  <c r="K21" i="1" s="1"/>
  <c r="L21" i="1" s="1"/>
  <c r="J20" i="1"/>
  <c r="K20" i="1" s="1"/>
  <c r="L20" i="1" s="1"/>
  <c r="J19" i="1"/>
  <c r="K19" i="1" s="1"/>
  <c r="L19" i="1" s="1"/>
  <c r="J18" i="1"/>
  <c r="K18" i="1" s="1"/>
  <c r="L18" i="1" s="1"/>
  <c r="J17" i="1"/>
  <c r="K17" i="1" s="1"/>
  <c r="L17" i="1" s="1"/>
  <c r="J16" i="1"/>
  <c r="K16" i="1" s="1"/>
  <c r="L16" i="1" s="1"/>
  <c r="J15" i="1"/>
  <c r="K15" i="1" s="1"/>
  <c r="L15" i="1" s="1"/>
  <c r="J14" i="1"/>
  <c r="K14" i="1" s="1"/>
  <c r="L14" i="1" s="1"/>
  <c r="J13" i="1"/>
  <c r="K13" i="1" s="1"/>
  <c r="L13" i="1" s="1"/>
  <c r="J12" i="1"/>
  <c r="K12" i="1" s="1"/>
  <c r="L12" i="1" s="1"/>
  <c r="J11" i="1"/>
  <c r="K11" i="1" s="1"/>
  <c r="L11" i="1" s="1"/>
  <c r="J10" i="1"/>
  <c r="K10" i="1" s="1"/>
  <c r="L10" i="1" s="1"/>
  <c r="J9" i="1"/>
  <c r="K9" i="1" s="1"/>
  <c r="L9" i="1" s="1"/>
  <c r="J8" i="1"/>
  <c r="K8" i="1" s="1"/>
  <c r="L8" i="1" s="1"/>
  <c r="J7" i="1"/>
  <c r="K7" i="1" s="1"/>
  <c r="L7" i="1" s="1"/>
  <c r="J6" i="1"/>
  <c r="K6" i="1" s="1"/>
  <c r="L6" i="1" s="1"/>
  <c r="J5" i="1"/>
  <c r="K5" i="1" s="1"/>
  <c r="L5" i="1" s="1"/>
  <c r="J4" i="1"/>
  <c r="K4" i="1" s="1"/>
  <c r="L4" i="1" s="1"/>
  <c r="J3" i="1"/>
  <c r="K3" i="1" s="1"/>
  <c r="L3" i="1" s="1"/>
  <c r="J2" i="1"/>
  <c r="K2" i="1" s="1"/>
  <c r="L2" i="1" s="1"/>
  <c r="C2" i="2" l="1"/>
  <c r="C393" i="2" l="1"/>
  <c r="C387" i="2"/>
  <c r="C381" i="2"/>
  <c r="C375" i="2"/>
  <c r="C369" i="2"/>
  <c r="C363" i="2"/>
  <c r="C357" i="2"/>
  <c r="C351" i="2"/>
  <c r="C345" i="2"/>
  <c r="C339" i="2"/>
  <c r="C333" i="2"/>
  <c r="C327" i="2"/>
  <c r="C321" i="2"/>
  <c r="C315" i="2"/>
  <c r="C309" i="2"/>
  <c r="C303" i="2"/>
  <c r="C297" i="2"/>
  <c r="C291" i="2"/>
  <c r="C285" i="2"/>
  <c r="C279" i="2"/>
  <c r="C273" i="2"/>
  <c r="C267" i="2"/>
  <c r="C261" i="2"/>
  <c r="C255" i="2"/>
  <c r="C249" i="2"/>
  <c r="C243" i="2"/>
  <c r="C237" i="2"/>
  <c r="C231" i="2"/>
  <c r="C225" i="2"/>
  <c r="C219" i="2"/>
  <c r="C213" i="2"/>
  <c r="C207" i="2"/>
  <c r="C201" i="2"/>
  <c r="C195" i="2"/>
  <c r="C189" i="2"/>
  <c r="C183" i="2"/>
  <c r="C177" i="2"/>
  <c r="C171" i="2"/>
  <c r="C165" i="2"/>
  <c r="C159" i="2"/>
  <c r="C153" i="2"/>
  <c r="C147" i="2"/>
  <c r="C141" i="2"/>
  <c r="C135" i="2"/>
  <c r="C129" i="2"/>
  <c r="C123" i="2"/>
  <c r="C117" i="2"/>
  <c r="C111" i="2"/>
  <c r="C105" i="2"/>
  <c r="C99" i="2"/>
  <c r="C93" i="2"/>
  <c r="C87" i="2"/>
  <c r="C81" i="2"/>
  <c r="C75" i="2"/>
  <c r="C69" i="2"/>
  <c r="C63" i="2"/>
  <c r="C57" i="2"/>
  <c r="C51" i="2"/>
  <c r="C45" i="2"/>
  <c r="C39" i="2"/>
  <c r="C33" i="2"/>
  <c r="C27" i="2"/>
  <c r="C21" i="2"/>
  <c r="C15" i="2"/>
  <c r="C9" i="2"/>
  <c r="C3" i="2"/>
  <c r="B393" i="2"/>
  <c r="B387" i="2"/>
  <c r="B381" i="2"/>
  <c r="B375" i="2"/>
  <c r="B369" i="2"/>
  <c r="B363" i="2"/>
  <c r="B357" i="2"/>
  <c r="B351" i="2"/>
  <c r="B345" i="2"/>
  <c r="B339" i="2"/>
  <c r="B333" i="2"/>
  <c r="B327" i="2"/>
  <c r="B321" i="2"/>
  <c r="B315" i="2"/>
  <c r="B309" i="2"/>
  <c r="B303" i="2"/>
  <c r="B297" i="2"/>
  <c r="C397" i="2"/>
  <c r="C391" i="2"/>
  <c r="C385" i="2"/>
  <c r="C379" i="2"/>
  <c r="C373" i="2"/>
  <c r="C367" i="2"/>
  <c r="C361" i="2"/>
  <c r="C355" i="2"/>
  <c r="C349" i="2"/>
  <c r="C343" i="2"/>
  <c r="C337" i="2"/>
  <c r="C331" i="2"/>
  <c r="C325" i="2"/>
  <c r="C319" i="2"/>
  <c r="C313" i="2"/>
  <c r="C307" i="2"/>
  <c r="C301" i="2"/>
  <c r="C295" i="2"/>
  <c r="C289" i="2"/>
  <c r="C283" i="2"/>
  <c r="C277" i="2"/>
  <c r="C271" i="2"/>
  <c r="C265" i="2"/>
  <c r="C259" i="2"/>
  <c r="C253" i="2"/>
  <c r="C247" i="2"/>
  <c r="C241" i="2"/>
  <c r="C235" i="2"/>
  <c r="C229" i="2"/>
  <c r="C223" i="2"/>
  <c r="C217" i="2"/>
  <c r="C211" i="2"/>
  <c r="C205" i="2"/>
  <c r="C199" i="2"/>
  <c r="C193" i="2"/>
  <c r="C187" i="2"/>
  <c r="C181" i="2"/>
  <c r="C175" i="2"/>
  <c r="C169" i="2"/>
  <c r="C163" i="2"/>
  <c r="C157" i="2"/>
  <c r="C151" i="2"/>
  <c r="C145" i="2"/>
  <c r="C139" i="2"/>
  <c r="C133" i="2"/>
  <c r="C127" i="2"/>
  <c r="C121" i="2"/>
  <c r="C115" i="2"/>
  <c r="C109" i="2"/>
  <c r="C103" i="2"/>
  <c r="C97" i="2"/>
  <c r="C91" i="2"/>
  <c r="C85" i="2"/>
  <c r="C79" i="2"/>
  <c r="C73" i="2"/>
  <c r="C67" i="2"/>
  <c r="C61" i="2"/>
  <c r="C55" i="2"/>
  <c r="C49" i="2"/>
  <c r="C43" i="2"/>
  <c r="C37" i="2"/>
  <c r="C31" i="2"/>
  <c r="C25" i="2"/>
  <c r="C19" i="2"/>
  <c r="C13" i="2"/>
  <c r="C7" i="2"/>
  <c r="B397" i="2"/>
  <c r="B391" i="2"/>
  <c r="B385" i="2"/>
  <c r="B379" i="2"/>
  <c r="B373" i="2"/>
  <c r="B367" i="2"/>
  <c r="B361" i="2"/>
  <c r="B355" i="2"/>
  <c r="B349" i="2"/>
  <c r="B343" i="2"/>
  <c r="B331" i="2"/>
  <c r="B325" i="2"/>
  <c r="B319" i="2"/>
  <c r="B313" i="2"/>
  <c r="B307" i="2"/>
  <c r="B301" i="2"/>
  <c r="B295" i="2"/>
  <c r="C398" i="2"/>
  <c r="C389" i="2"/>
  <c r="C380" i="2"/>
  <c r="C371" i="2"/>
  <c r="C362" i="2"/>
  <c r="C353" i="2"/>
  <c r="C344" i="2"/>
  <c r="C335" i="2"/>
  <c r="C326" i="2"/>
  <c r="C317" i="2"/>
  <c r="C308" i="2"/>
  <c r="C299" i="2"/>
  <c r="B291" i="2"/>
  <c r="B284" i="2"/>
  <c r="C276" i="2"/>
  <c r="C269" i="2"/>
  <c r="C262" i="2"/>
  <c r="B255" i="2"/>
  <c r="B248" i="2"/>
  <c r="C240" i="2"/>
  <c r="C233" i="2"/>
  <c r="C226" i="2"/>
  <c r="B219" i="2"/>
  <c r="B212" i="2"/>
  <c r="C204" i="2"/>
  <c r="C197" i="2"/>
  <c r="C190" i="2"/>
  <c r="B183" i="2"/>
  <c r="B176" i="2"/>
  <c r="C168" i="2"/>
  <c r="C161" i="2"/>
  <c r="C154" i="2"/>
  <c r="B147" i="2"/>
  <c r="B140" i="2"/>
  <c r="C132" i="2"/>
  <c r="C125" i="2"/>
  <c r="C118" i="2"/>
  <c r="B111" i="2"/>
  <c r="B104" i="2"/>
  <c r="C96" i="2"/>
  <c r="C89" i="2"/>
  <c r="C82" i="2"/>
  <c r="B75" i="2"/>
  <c r="B68" i="2"/>
  <c r="C60" i="2"/>
  <c r="B39" i="2"/>
  <c r="B32" i="2"/>
  <c r="C24" i="2"/>
  <c r="C17" i="2"/>
  <c r="C10" i="2"/>
  <c r="B398" i="2"/>
  <c r="B389" i="2"/>
  <c r="B380" i="2"/>
  <c r="B371" i="2"/>
  <c r="B362" i="2"/>
  <c r="B353" i="2"/>
  <c r="B344" i="2"/>
  <c r="B335" i="2"/>
  <c r="B326" i="2"/>
  <c r="B317" i="2"/>
  <c r="B308" i="2"/>
  <c r="B299" i="2"/>
  <c r="C290" i="2"/>
  <c r="B283" i="2"/>
  <c r="B276" i="2"/>
  <c r="B269" i="2"/>
  <c r="B262" i="2"/>
  <c r="C254" i="2"/>
  <c r="B247" i="2"/>
  <c r="B240" i="2"/>
  <c r="B233" i="2"/>
  <c r="B226" i="2"/>
  <c r="C395" i="2"/>
  <c r="C386" i="2"/>
  <c r="C377" i="2"/>
  <c r="C368" i="2"/>
  <c r="C359" i="2"/>
  <c r="C350" i="2"/>
  <c r="C341" i="2"/>
  <c r="C332" i="2"/>
  <c r="C323" i="2"/>
  <c r="C314" i="2"/>
  <c r="C305" i="2"/>
  <c r="C296" i="2"/>
  <c r="C288" i="2"/>
  <c r="C281" i="2"/>
  <c r="C274" i="2"/>
  <c r="B267" i="2"/>
  <c r="B260" i="2"/>
  <c r="C252" i="2"/>
  <c r="C245" i="2"/>
  <c r="C238" i="2"/>
  <c r="B231" i="2"/>
  <c r="B224" i="2"/>
  <c r="C216" i="2"/>
  <c r="C209" i="2"/>
  <c r="C202" i="2"/>
  <c r="B195" i="2"/>
  <c r="B188" i="2"/>
  <c r="C180" i="2"/>
  <c r="C173" i="2"/>
  <c r="C166" i="2"/>
  <c r="B159" i="2"/>
  <c r="B152" i="2"/>
  <c r="C144" i="2"/>
  <c r="C137" i="2"/>
  <c r="C130" i="2"/>
  <c r="B123" i="2"/>
  <c r="B116" i="2"/>
  <c r="C108" i="2"/>
  <c r="C101" i="2"/>
  <c r="C94" i="2"/>
  <c r="B87" i="2"/>
  <c r="B80" i="2"/>
  <c r="C72" i="2"/>
  <c r="C65" i="2"/>
  <c r="C58" i="2"/>
  <c r="B51" i="2"/>
  <c r="B44" i="2"/>
  <c r="C36" i="2"/>
  <c r="C29" i="2"/>
  <c r="C22" i="2"/>
  <c r="B395" i="2"/>
  <c r="B386" i="2"/>
  <c r="B377" i="2"/>
  <c r="B368" i="2"/>
  <c r="B359" i="2"/>
  <c r="B350" i="2"/>
  <c r="B341" i="2"/>
  <c r="B332" i="2"/>
  <c r="B323" i="2"/>
  <c r="B314" i="2"/>
  <c r="B305" i="2"/>
  <c r="B296" i="2"/>
  <c r="B288" i="2"/>
  <c r="B281" i="2"/>
  <c r="B274" i="2"/>
  <c r="C266" i="2"/>
  <c r="B259" i="2"/>
  <c r="B252" i="2"/>
  <c r="B245" i="2"/>
  <c r="B238" i="2"/>
  <c r="C230" i="2"/>
  <c r="B223" i="2"/>
  <c r="B216" i="2"/>
  <c r="B209" i="2"/>
  <c r="B202" i="2"/>
  <c r="C194" i="2"/>
  <c r="B187" i="2"/>
  <c r="B180" i="2"/>
  <c r="B173" i="2"/>
  <c r="B166" i="2"/>
  <c r="C158" i="2"/>
  <c r="B151" i="2"/>
  <c r="B144" i="2"/>
  <c r="C396" i="2"/>
  <c r="C383" i="2"/>
  <c r="C370" i="2"/>
  <c r="C356" i="2"/>
  <c r="C342" i="2"/>
  <c r="C329" i="2"/>
  <c r="C316" i="2"/>
  <c r="C302" i="2"/>
  <c r="B290" i="2"/>
  <c r="B279" i="2"/>
  <c r="C268" i="2"/>
  <c r="C257" i="2"/>
  <c r="C246" i="2"/>
  <c r="B236" i="2"/>
  <c r="B225" i="2"/>
  <c r="B215" i="2"/>
  <c r="B206" i="2"/>
  <c r="C196" i="2"/>
  <c r="B186" i="2"/>
  <c r="B177" i="2"/>
  <c r="C167" i="2"/>
  <c r="B157" i="2"/>
  <c r="C148" i="2"/>
  <c r="C138" i="2"/>
  <c r="B130" i="2"/>
  <c r="B121" i="2"/>
  <c r="B113" i="2"/>
  <c r="C104" i="2"/>
  <c r="C95" i="2"/>
  <c r="C86" i="2"/>
  <c r="B78" i="2"/>
  <c r="B70" i="2"/>
  <c r="B61" i="2"/>
  <c r="B43" i="2"/>
  <c r="B35" i="2"/>
  <c r="C26" i="2"/>
  <c r="C112" i="2"/>
  <c r="B86" i="2"/>
  <c r="B69" i="2"/>
  <c r="B52" i="2"/>
  <c r="C34" i="2"/>
  <c r="B266" i="2"/>
  <c r="B214" i="2"/>
  <c r="B185" i="2"/>
  <c r="B165" i="2"/>
  <c r="C146" i="2"/>
  <c r="C128" i="2"/>
  <c r="B112" i="2"/>
  <c r="B94" i="2"/>
  <c r="B85" i="2"/>
  <c r="C68" i="2"/>
  <c r="C50" i="2"/>
  <c r="B42" i="2"/>
  <c r="B25" i="2"/>
  <c r="B394" i="2"/>
  <c r="B366" i="2"/>
  <c r="B340" i="2"/>
  <c r="B328" i="2"/>
  <c r="B300" i="2"/>
  <c r="B287" i="2"/>
  <c r="B265" i="2"/>
  <c r="B256" i="2"/>
  <c r="B234" i="2"/>
  <c r="B222" i="2"/>
  <c r="C203" i="2"/>
  <c r="C184" i="2"/>
  <c r="C174" i="2"/>
  <c r="C155" i="2"/>
  <c r="B146" i="2"/>
  <c r="B128" i="2"/>
  <c r="B102" i="2"/>
  <c r="C76" i="2"/>
  <c r="B50" i="2"/>
  <c r="B33" i="2"/>
  <c r="C6" i="2"/>
  <c r="C392" i="2"/>
  <c r="C365" i="2"/>
  <c r="C338" i="2"/>
  <c r="C324" i="2"/>
  <c r="C298" i="2"/>
  <c r="C286" i="2"/>
  <c r="C264" i="2"/>
  <c r="B243" i="2"/>
  <c r="C221" i="2"/>
  <c r="C192" i="2"/>
  <c r="B396" i="2"/>
  <c r="B383" i="2"/>
  <c r="B370" i="2"/>
  <c r="B356" i="2"/>
  <c r="B342" i="2"/>
  <c r="B329" i="2"/>
  <c r="B316" i="2"/>
  <c r="B302" i="2"/>
  <c r="B289" i="2"/>
  <c r="C278" i="2"/>
  <c r="B268" i="2"/>
  <c r="B257" i="2"/>
  <c r="B246" i="2"/>
  <c r="B235" i="2"/>
  <c r="C224" i="2"/>
  <c r="C214" i="2"/>
  <c r="B205" i="2"/>
  <c r="B196" i="2"/>
  <c r="C185" i="2"/>
  <c r="C176" i="2"/>
  <c r="B167" i="2"/>
  <c r="C156" i="2"/>
  <c r="B148" i="2"/>
  <c r="B138" i="2"/>
  <c r="B129" i="2"/>
  <c r="C120" i="2"/>
  <c r="B103" i="2"/>
  <c r="B95" i="2"/>
  <c r="C77" i="2"/>
  <c r="B60" i="2"/>
  <c r="C42" i="2"/>
  <c r="B26" i="2"/>
  <c r="C8" i="2"/>
  <c r="C394" i="2"/>
  <c r="C382" i="2"/>
  <c r="C366" i="2"/>
  <c r="C354" i="2"/>
  <c r="C340" i="2"/>
  <c r="C328" i="2"/>
  <c r="C312" i="2"/>
  <c r="C300" i="2"/>
  <c r="C287" i="2"/>
  <c r="B278" i="2"/>
  <c r="C256" i="2"/>
  <c r="C244" i="2"/>
  <c r="C234" i="2"/>
  <c r="C222" i="2"/>
  <c r="B204" i="2"/>
  <c r="B194" i="2"/>
  <c r="B175" i="2"/>
  <c r="B156" i="2"/>
  <c r="B137" i="2"/>
  <c r="B120" i="2"/>
  <c r="C102" i="2"/>
  <c r="B77" i="2"/>
  <c r="C59" i="2"/>
  <c r="B34" i="2"/>
  <c r="C16" i="2"/>
  <c r="B382" i="2"/>
  <c r="B354" i="2"/>
  <c r="B312" i="2"/>
  <c r="B277" i="2"/>
  <c r="B244" i="2"/>
  <c r="B213" i="2"/>
  <c r="B193" i="2"/>
  <c r="C164" i="2"/>
  <c r="C136" i="2"/>
  <c r="C119" i="2"/>
  <c r="C110" i="2"/>
  <c r="B93" i="2"/>
  <c r="C84" i="2"/>
  <c r="B67" i="2"/>
  <c r="B59" i="2"/>
  <c r="C41" i="2"/>
  <c r="B24" i="2"/>
  <c r="C378" i="2"/>
  <c r="C352" i="2"/>
  <c r="C311" i="2"/>
  <c r="C275" i="2"/>
  <c r="B254" i="2"/>
  <c r="C232" i="2"/>
  <c r="C212" i="2"/>
  <c r="B203" i="2"/>
  <c r="B392" i="2"/>
  <c r="C372" i="2"/>
  <c r="C347" i="2"/>
  <c r="C322" i="2"/>
  <c r="B304" i="2"/>
  <c r="B282" i="2"/>
  <c r="B263" i="2"/>
  <c r="C242" i="2"/>
  <c r="C227" i="2"/>
  <c r="C208" i="2"/>
  <c r="C191" i="2"/>
  <c r="C178" i="2"/>
  <c r="C162" i="2"/>
  <c r="C149" i="2"/>
  <c r="C134" i="2"/>
  <c r="C122" i="2"/>
  <c r="B108" i="2"/>
  <c r="B97" i="2"/>
  <c r="B83" i="2"/>
  <c r="B71" i="2"/>
  <c r="C56" i="2"/>
  <c r="B45" i="2"/>
  <c r="C30" i="2"/>
  <c r="C390" i="2"/>
  <c r="B372" i="2"/>
  <c r="B388" i="2"/>
  <c r="B364" i="2"/>
  <c r="B338" i="2"/>
  <c r="C318" i="2"/>
  <c r="C293" i="2"/>
  <c r="B273" i="2"/>
  <c r="B258" i="2"/>
  <c r="B239" i="2"/>
  <c r="B220" i="2"/>
  <c r="B201" i="2"/>
  <c r="C188" i="2"/>
  <c r="B172" i="2"/>
  <c r="B160" i="2"/>
  <c r="B143" i="2"/>
  <c r="C131" i="2"/>
  <c r="B117" i="2"/>
  <c r="B106" i="2"/>
  <c r="B91" i="2"/>
  <c r="B79" i="2"/>
  <c r="B65" i="2"/>
  <c r="B54" i="2"/>
  <c r="B40" i="2"/>
  <c r="B28" i="2"/>
  <c r="C384" i="2"/>
  <c r="C360" i="2"/>
  <c r="C336" i="2"/>
  <c r="B318" i="2"/>
  <c r="B293" i="2"/>
  <c r="C272" i="2"/>
  <c r="B253" i="2"/>
  <c r="B237" i="2"/>
  <c r="C218" i="2"/>
  <c r="C200" i="2"/>
  <c r="C186" i="2"/>
  <c r="B171" i="2"/>
  <c r="B158" i="2"/>
  <c r="C142" i="2"/>
  <c r="B131" i="2"/>
  <c r="C116" i="2"/>
  <c r="B105" i="2"/>
  <c r="C90" i="2"/>
  <c r="C78" i="2"/>
  <c r="C64" i="2"/>
  <c r="B53" i="2"/>
  <c r="C38" i="2"/>
  <c r="B27" i="2"/>
  <c r="C12" i="2"/>
  <c r="B384" i="2"/>
  <c r="B360" i="2"/>
  <c r="B336" i="2"/>
  <c r="B311" i="2"/>
  <c r="C292" i="2"/>
  <c r="B272" i="2"/>
  <c r="C251" i="2"/>
  <c r="C236" i="2"/>
  <c r="B218" i="2"/>
  <c r="B200" i="2"/>
  <c r="B184" i="2"/>
  <c r="C170" i="2"/>
  <c r="B155" i="2"/>
  <c r="B142" i="2"/>
  <c r="B127" i="2"/>
  <c r="B115" i="2"/>
  <c r="B101" i="2"/>
  <c r="B90" i="2"/>
  <c r="B76" i="2"/>
  <c r="B64" i="2"/>
  <c r="B49" i="2"/>
  <c r="B38" i="2"/>
  <c r="C23" i="2"/>
  <c r="B378" i="2"/>
  <c r="C358" i="2"/>
  <c r="C334" i="2"/>
  <c r="C310" i="2"/>
  <c r="B292" i="2"/>
  <c r="B271" i="2"/>
  <c r="B251" i="2"/>
  <c r="B232" i="2"/>
  <c r="B217" i="2"/>
  <c r="B199" i="2"/>
  <c r="C182" i="2"/>
  <c r="B170" i="2"/>
  <c r="B154" i="2"/>
  <c r="B141" i="2"/>
  <c r="C126" i="2"/>
  <c r="C114" i="2"/>
  <c r="C100" i="2"/>
  <c r="B89" i="2"/>
  <c r="C74" i="2"/>
  <c r="B63" i="2"/>
  <c r="C48" i="2"/>
  <c r="B37" i="2"/>
  <c r="B23" i="2"/>
  <c r="C11" i="2"/>
  <c r="C376" i="2"/>
  <c r="B358" i="2"/>
  <c r="B334" i="2"/>
  <c r="B310" i="2"/>
  <c r="B286" i="2"/>
  <c r="C270" i="2"/>
  <c r="C250" i="2"/>
  <c r="B230" i="2"/>
  <c r="C215" i="2"/>
  <c r="C198" i="2"/>
  <c r="B182" i="2"/>
  <c r="B169" i="2"/>
  <c r="B153" i="2"/>
  <c r="C140" i="2"/>
  <c r="B126" i="2"/>
  <c r="B114" i="2"/>
  <c r="B100" i="2"/>
  <c r="C88" i="2"/>
  <c r="B74" i="2"/>
  <c r="C62" i="2"/>
  <c r="B48" i="2"/>
  <c r="B36" i="2"/>
  <c r="B22" i="2"/>
  <c r="B376" i="2"/>
  <c r="B352" i="2"/>
  <c r="C330" i="2"/>
  <c r="C306" i="2"/>
  <c r="B285" i="2"/>
  <c r="B270" i="2"/>
  <c r="B250" i="2"/>
  <c r="B229" i="2"/>
  <c r="B211" i="2"/>
  <c r="B198" i="2"/>
  <c r="B181" i="2"/>
  <c r="B168" i="2"/>
  <c r="C152" i="2"/>
  <c r="B139" i="2"/>
  <c r="B125" i="2"/>
  <c r="C113" i="2"/>
  <c r="B99" i="2"/>
  <c r="B88" i="2"/>
  <c r="B73" i="2"/>
  <c r="B62" i="2"/>
  <c r="C47" i="2"/>
  <c r="C35" i="2"/>
  <c r="C374" i="2"/>
  <c r="C348" i="2"/>
  <c r="B330" i="2"/>
  <c r="B306" i="2"/>
  <c r="C284" i="2"/>
  <c r="B264" i="2"/>
  <c r="B249" i="2"/>
  <c r="C228" i="2"/>
  <c r="C210" i="2"/>
  <c r="B197" i="2"/>
  <c r="C179" i="2"/>
  <c r="B164" i="2"/>
  <c r="C150" i="2"/>
  <c r="B136" i="2"/>
  <c r="C124" i="2"/>
  <c r="B110" i="2"/>
  <c r="C98" i="2"/>
  <c r="B84" i="2"/>
  <c r="B72" i="2"/>
  <c r="B58" i="2"/>
  <c r="B47" i="2"/>
  <c r="C32" i="2"/>
  <c r="C20" i="2"/>
  <c r="B374" i="2"/>
  <c r="B348" i="2"/>
  <c r="B347" i="2"/>
  <c r="C280" i="2"/>
  <c r="B227" i="2"/>
  <c r="B178" i="2"/>
  <c r="B134" i="2"/>
  <c r="B96" i="2"/>
  <c r="B56" i="2"/>
  <c r="C18" i="2"/>
  <c r="C346" i="2"/>
  <c r="B280" i="2"/>
  <c r="B221" i="2"/>
  <c r="B174" i="2"/>
  <c r="B133" i="2"/>
  <c r="C92" i="2"/>
  <c r="B55" i="2"/>
  <c r="C14" i="2"/>
  <c r="B346" i="2"/>
  <c r="B275" i="2"/>
  <c r="C220" i="2"/>
  <c r="C172" i="2"/>
  <c r="B132" i="2"/>
  <c r="B92" i="2"/>
  <c r="B324" i="2"/>
  <c r="C263" i="2"/>
  <c r="B210" i="2"/>
  <c r="B163" i="2"/>
  <c r="B124" i="2"/>
  <c r="C83" i="2"/>
  <c r="B46" i="2"/>
  <c r="C5" i="2"/>
  <c r="B322" i="2"/>
  <c r="B261" i="2"/>
  <c r="B208" i="2"/>
  <c r="B162" i="2"/>
  <c r="B122" i="2"/>
  <c r="B82" i="2"/>
  <c r="C44" i="2"/>
  <c r="C4" i="2"/>
  <c r="C320" i="2"/>
  <c r="C260" i="2"/>
  <c r="B207" i="2"/>
  <c r="B161" i="2"/>
  <c r="B119" i="2"/>
  <c r="B81" i="2"/>
  <c r="B41" i="2"/>
  <c r="B320" i="2"/>
  <c r="C258" i="2"/>
  <c r="C206" i="2"/>
  <c r="C160" i="2"/>
  <c r="B118" i="2"/>
  <c r="C80" i="2"/>
  <c r="C40" i="2"/>
  <c r="C304" i="2"/>
  <c r="C248" i="2"/>
  <c r="B192" i="2"/>
  <c r="B150" i="2"/>
  <c r="B109" i="2"/>
  <c r="C71" i="2"/>
  <c r="B31" i="2"/>
  <c r="B390" i="2"/>
  <c r="B298" i="2"/>
  <c r="B242" i="2"/>
  <c r="B191" i="2"/>
  <c r="B149" i="2"/>
  <c r="C107" i="2"/>
  <c r="C70" i="2"/>
  <c r="B30" i="2"/>
  <c r="C388" i="2"/>
  <c r="C294" i="2"/>
  <c r="B241" i="2"/>
  <c r="B190" i="2"/>
  <c r="B145" i="2"/>
  <c r="B107" i="2"/>
  <c r="C66" i="2"/>
  <c r="B29" i="2"/>
  <c r="B365" i="2"/>
  <c r="B294" i="2"/>
  <c r="C239" i="2"/>
  <c r="B189" i="2"/>
  <c r="C143" i="2"/>
  <c r="C106" i="2"/>
  <c r="B66" i="2"/>
  <c r="C28" i="2"/>
  <c r="C364" i="2"/>
  <c r="C282" i="2"/>
  <c r="B228" i="2"/>
  <c r="B179" i="2"/>
  <c r="B135" i="2"/>
  <c r="B98" i="2"/>
  <c r="B57" i="2"/>
  <c r="J319" i="1"/>
  <c r="K319" i="1" s="1"/>
  <c r="L319" i="1" s="1"/>
  <c r="J320" i="1"/>
  <c r="K320" i="1" s="1"/>
  <c r="L320" i="1" s="1"/>
  <c r="J327" i="1"/>
  <c r="K327" i="1" s="1"/>
  <c r="L327" i="1" s="1"/>
  <c r="J232" i="1"/>
  <c r="K232" i="1" s="1"/>
  <c r="L232" i="1" s="1"/>
  <c r="J328" i="1"/>
  <c r="K328" i="1" s="1"/>
  <c r="L328" i="1" s="1"/>
  <c r="J322" i="1"/>
  <c r="K322" i="1" s="1"/>
  <c r="L322" i="1" s="1"/>
  <c r="J299" i="1"/>
  <c r="K299" i="1" s="1"/>
  <c r="L299" i="1" s="1"/>
  <c r="J348" i="1"/>
  <c r="K348" i="1" s="1"/>
  <c r="L348" i="1" s="1"/>
  <c r="J373" i="1"/>
  <c r="K373" i="1" s="1"/>
  <c r="L373" i="1" s="1"/>
  <c r="J234" i="1"/>
  <c r="K234" i="1" s="1"/>
  <c r="L234" i="1" s="1"/>
  <c r="J330" i="1"/>
  <c r="K330" i="1" s="1"/>
  <c r="L330" i="1" s="1"/>
  <c r="J307" i="1"/>
  <c r="K307" i="1" s="1"/>
  <c r="L307" i="1" s="1"/>
  <c r="J231" i="1"/>
  <c r="K231" i="1" s="1"/>
  <c r="L231" i="1" s="1"/>
  <c r="J189" i="1"/>
  <c r="K189" i="1" s="1"/>
  <c r="L189" i="1" s="1"/>
  <c r="J285" i="1"/>
  <c r="K285" i="1" s="1"/>
  <c r="L285" i="1" s="1"/>
  <c r="J338" i="1"/>
  <c r="K338" i="1" s="1"/>
  <c r="L338" i="1" s="1"/>
  <c r="J315" i="1"/>
  <c r="K315" i="1" s="1"/>
  <c r="L315" i="1" s="1"/>
  <c r="J364" i="1"/>
  <c r="K364" i="1" s="1"/>
  <c r="L364" i="1" s="1"/>
  <c r="J389" i="1"/>
  <c r="K389" i="1" s="1"/>
  <c r="L389" i="1" s="1"/>
  <c r="J346" i="1"/>
  <c r="K346" i="1" s="1"/>
  <c r="L346" i="1" s="1"/>
  <c r="J233" i="1"/>
  <c r="K233" i="1" s="1"/>
  <c r="L233" i="1" s="1"/>
  <c r="J227" i="1"/>
  <c r="K227" i="1" s="1"/>
  <c r="L227" i="1" s="1"/>
  <c r="J182" i="1"/>
  <c r="K182" i="1" s="1"/>
  <c r="L182" i="1" s="1"/>
  <c r="J372" i="1"/>
  <c r="K372" i="1" s="1"/>
  <c r="L372" i="1" s="1"/>
  <c r="J301" i="1"/>
  <c r="K301" i="1" s="1"/>
  <c r="L301" i="1" s="1"/>
  <c r="J175" i="1"/>
  <c r="K175" i="1" s="1"/>
  <c r="L175" i="1" s="1"/>
  <c r="J241" i="1"/>
  <c r="K241" i="1" s="1"/>
  <c r="L241" i="1" s="1"/>
  <c r="J310" i="1"/>
  <c r="K310" i="1" s="1"/>
  <c r="L310" i="1" s="1"/>
  <c r="J354" i="1"/>
  <c r="K354" i="1" s="1"/>
  <c r="L354" i="1" s="1"/>
  <c r="J284" i="1"/>
  <c r="K284" i="1" s="1"/>
  <c r="L284" i="1" s="1"/>
  <c r="J243" i="1"/>
  <c r="K243" i="1" s="1"/>
  <c r="L243" i="1" s="1"/>
  <c r="J339" i="1"/>
  <c r="K339" i="1" s="1"/>
  <c r="L339" i="1" s="1"/>
  <c r="J230" i="1"/>
  <c r="K230" i="1" s="1"/>
  <c r="L230" i="1" s="1"/>
  <c r="J367" i="1"/>
  <c r="K367" i="1" s="1"/>
  <c r="L367" i="1" s="1"/>
  <c r="J176" i="1"/>
  <c r="K176" i="1" s="1"/>
  <c r="L176" i="1" s="1"/>
  <c r="J334" i="1"/>
  <c r="K334" i="1" s="1"/>
  <c r="L334" i="1" s="1"/>
  <c r="J337" i="1"/>
  <c r="K337" i="1" s="1"/>
  <c r="L337" i="1" s="1"/>
  <c r="J178" i="1"/>
  <c r="K178" i="1" s="1"/>
  <c r="L178" i="1" s="1"/>
  <c r="J305" i="1"/>
  <c r="K305" i="1" s="1"/>
  <c r="L305" i="1" s="1"/>
  <c r="J300" i="1"/>
  <c r="K300" i="1" s="1"/>
  <c r="L300" i="1" s="1"/>
  <c r="J335" i="1"/>
  <c r="K335" i="1" s="1"/>
  <c r="L335" i="1" s="1"/>
  <c r="J321" i="1"/>
  <c r="K321" i="1" s="1"/>
  <c r="L321" i="1" s="1"/>
  <c r="J355" i="1"/>
  <c r="K355" i="1" s="1"/>
  <c r="L355" i="1" s="1"/>
  <c r="J212" i="1"/>
  <c r="K212" i="1" s="1"/>
  <c r="L212" i="1" s="1"/>
  <c r="J308" i="1"/>
  <c r="K308" i="1" s="1"/>
  <c r="L308" i="1" s="1"/>
  <c r="J333" i="1"/>
  <c r="K333" i="1" s="1"/>
  <c r="L333" i="1" s="1"/>
  <c r="J295" i="1"/>
  <c r="K295" i="1" s="1"/>
  <c r="L295" i="1" s="1"/>
  <c r="J363" i="1"/>
  <c r="K363" i="1" s="1"/>
  <c r="L363" i="1" s="1"/>
  <c r="J177" i="1"/>
  <c r="K177" i="1" s="1"/>
  <c r="L177" i="1" s="1"/>
  <c r="J316" i="1"/>
  <c r="K316" i="1" s="1"/>
  <c r="L316" i="1" s="1"/>
  <c r="J190" i="1"/>
  <c r="K190" i="1" s="1"/>
  <c r="L190" i="1" s="1"/>
  <c r="J341" i="1"/>
  <c r="K341" i="1" s="1"/>
  <c r="L341" i="1" s="1"/>
  <c r="J179" i="1"/>
  <c r="K179" i="1" s="1"/>
  <c r="L179" i="1" s="1"/>
  <c r="J371" i="1"/>
  <c r="K371" i="1" s="1"/>
  <c r="L371" i="1" s="1"/>
  <c r="J349" i="1"/>
  <c r="K349" i="1" s="1"/>
  <c r="L349" i="1" s="1"/>
  <c r="J306" i="1"/>
  <c r="K306" i="1" s="1"/>
  <c r="L306" i="1" s="1"/>
  <c r="J377" i="1"/>
  <c r="K377" i="1" s="1"/>
  <c r="L377" i="1" s="1"/>
  <c r="J379" i="1"/>
  <c r="K379" i="1" s="1"/>
  <c r="L379" i="1" s="1"/>
  <c r="J332" i="1"/>
  <c r="K332" i="1" s="1"/>
  <c r="L332" i="1" s="1"/>
  <c r="J78" i="1"/>
  <c r="K78" i="1" s="1"/>
  <c r="L78" i="1" s="1"/>
  <c r="K449" i="1" l="1"/>
  <c r="L449" i="1" s="1"/>
  <c r="K451" i="1"/>
  <c r="L451" i="1" s="1"/>
  <c r="K441" i="1"/>
  <c r="L441" i="1" s="1"/>
  <c r="K428" i="1"/>
  <c r="L428" i="1" s="1"/>
  <c r="K448" i="1"/>
  <c r="L448" i="1" s="1"/>
  <c r="K444" i="1"/>
  <c r="L444" i="1" s="1"/>
  <c r="K445" i="1"/>
  <c r="L445" i="1" s="1"/>
  <c r="K447" i="1"/>
  <c r="L447" i="1" s="1"/>
  <c r="K442" i="1"/>
  <c r="L442" i="1" s="1"/>
  <c r="K450" i="1"/>
  <c r="L450" i="1" s="1"/>
  <c r="K439" i="1"/>
  <c r="L439" i="1" s="1"/>
  <c r="K446" i="1"/>
  <c r="L446" i="1" s="1"/>
  <c r="K427" i="1"/>
  <c r="L427" i="1" s="1"/>
  <c r="K440" i="1"/>
  <c r="L440" i="1" s="1"/>
  <c r="K443" i="1"/>
  <c r="L443" i="1" s="1"/>
</calcChain>
</file>

<file path=xl/sharedStrings.xml><?xml version="1.0" encoding="utf-8"?>
<sst xmlns="http://schemas.openxmlformats.org/spreadsheetml/2006/main" count="728" uniqueCount="481">
  <si>
    <t>Nesto Code</t>
  </si>
  <si>
    <t xml:space="preserve">Product Description </t>
  </si>
  <si>
    <t>Packing</t>
  </si>
  <si>
    <t>Units per Cs</t>
  </si>
  <si>
    <t>Price to Trade Ro (Per Unit)</t>
  </si>
  <si>
    <t>Barcode (Per Unit)</t>
  </si>
  <si>
    <t>SAP CODE</t>
  </si>
  <si>
    <t>Price to Trade Ro (Cs)</t>
  </si>
  <si>
    <t>Barcode (Per Carton)</t>
  </si>
  <si>
    <t>Regal Picon 8 Portion</t>
  </si>
  <si>
    <t>40 x 120gms</t>
  </si>
  <si>
    <t>Regal Picon 16 Portion</t>
  </si>
  <si>
    <t>32 x 240gms</t>
  </si>
  <si>
    <t>Regal Picon 24 Portion</t>
  </si>
  <si>
    <t>24 x 360gms</t>
  </si>
  <si>
    <t>Regal Picon 32 Portion</t>
  </si>
  <si>
    <t>16 x 480gms</t>
  </si>
  <si>
    <t>Regal Picon 48 Portion</t>
  </si>
  <si>
    <t>8 x 720gms</t>
  </si>
  <si>
    <t>Regal Picon 72 Portion</t>
  </si>
  <si>
    <t>8 x 1080gms</t>
  </si>
  <si>
    <t>Les Enfants 8 Portion</t>
  </si>
  <si>
    <t>Les Enfants 24 Portion</t>
  </si>
  <si>
    <t>Les Enfants 32 Portion</t>
  </si>
  <si>
    <t>Les Enfants 48 Portion</t>
  </si>
  <si>
    <t>La Vache Quirit 8 Portion</t>
  </si>
  <si>
    <t>La Vache Quirit 16 Portion</t>
  </si>
  <si>
    <t>La Vache Quirit 24 Portion</t>
  </si>
  <si>
    <t>La Vache Quirit 32 Portion</t>
  </si>
  <si>
    <t>La Vache Quirit 48 Portion</t>
  </si>
  <si>
    <t>La Vache Quirit 8 Portion Light</t>
  </si>
  <si>
    <t>48 x 120gms</t>
  </si>
  <si>
    <t>Regal Picon 2x32p - 10% off</t>
  </si>
  <si>
    <t>2 x 8 x 480gms</t>
  </si>
  <si>
    <t>Regal Picon 40p - (5x8p)</t>
  </si>
  <si>
    <t>5 x 8 x 120gms</t>
  </si>
  <si>
    <t>Les Enfants 40p - (5x8p)</t>
  </si>
  <si>
    <t>LA VACHE QUIRIT 8P - 4P+1P FREE</t>
  </si>
  <si>
    <t>LA VACHE QUIRIT 32 POR 2X480G @ 15% OFF</t>
  </si>
  <si>
    <t>Kiri 6 Portion</t>
  </si>
  <si>
    <t>60 x 108gms</t>
  </si>
  <si>
    <t>Kiri 12 Portion</t>
  </si>
  <si>
    <t>40 x 216gms</t>
  </si>
  <si>
    <t>Kiri 24 Portion</t>
  </si>
  <si>
    <t>16 x 432gms</t>
  </si>
  <si>
    <t>KIRI GREEK STYLE 6 PORTION 100G</t>
  </si>
  <si>
    <t>40 x 100gms</t>
  </si>
  <si>
    <t>KIRI GREEK STYLE 24 PORTION 400G</t>
  </si>
  <si>
    <t>16 x 400gms</t>
  </si>
  <si>
    <t>Kiri 5x6p - 15% off</t>
  </si>
  <si>
    <t>5 x 12 x 108gms</t>
  </si>
  <si>
    <t>N/A</t>
  </si>
  <si>
    <t>Kiri 2x24p - 10% off</t>
  </si>
  <si>
    <t>2 x 8 x 432gms</t>
  </si>
  <si>
    <t>Kiri 3x12p - 15% off</t>
  </si>
  <si>
    <t>3 x 12 x 216gms</t>
  </si>
  <si>
    <t>Regal Picon Slice Cheddar 200g</t>
  </si>
  <si>
    <t>24 x 200gms</t>
  </si>
  <si>
    <t>Regal Picon Slice Burger 200g</t>
  </si>
  <si>
    <t>Regal Picon Slice Cheddar Family 400g</t>
  </si>
  <si>
    <t>La Vache Quirit Slice Cheddar 200g</t>
  </si>
  <si>
    <t>32 x 200gms</t>
  </si>
  <si>
    <t>La Vache Quirit Slice Burger 200g</t>
  </si>
  <si>
    <t>La Vache Quirit Slice Sandwich 200g</t>
  </si>
  <si>
    <t>La Vache Quirit Slice Light 200g</t>
  </si>
  <si>
    <t>La Vache Quirit Slice Cheddar Family 480g</t>
  </si>
  <si>
    <t>12 x 480gms</t>
  </si>
  <si>
    <t>La Vache Quirit Slice Light Family 480g</t>
  </si>
  <si>
    <t>KIRI GREEK TUB 200G (X18)</t>
  </si>
  <si>
    <t>18 x 200gms</t>
  </si>
  <si>
    <t>KIRI GREEK TUB 500G (X8)</t>
  </si>
  <si>
    <t>8 x 500gms</t>
  </si>
  <si>
    <t>Kiri Tub 200g Consumer offer</t>
  </si>
  <si>
    <t>NEW Kiri Tub 350g Consumer offer</t>
  </si>
  <si>
    <t>12 x 350gms</t>
  </si>
  <si>
    <t>NEW Kiri Tub 500g Consumer offer</t>
  </si>
  <si>
    <t>Kiri Al Jarra 230 gms</t>
  </si>
  <si>
    <t>24 x 230gms</t>
  </si>
  <si>
    <t>Kiri Al Jarra 440 gms</t>
  </si>
  <si>
    <t>12 x 440gms</t>
  </si>
  <si>
    <t>Kiri Al Jarra 600 gms</t>
  </si>
  <si>
    <t>12 x 600gms</t>
  </si>
  <si>
    <t>La Vache Quirit Dipper 4’s</t>
  </si>
  <si>
    <t>12 x 140gms</t>
  </si>
  <si>
    <t>La Vache Quirit Dipper 8’s</t>
  </si>
  <si>
    <t>12 x 280gms</t>
  </si>
  <si>
    <t>LA VACHE QUIRIT DIPPER (Solo) 35G</t>
  </si>
  <si>
    <t>20 x 35gms</t>
  </si>
  <si>
    <t>Kiri Dipper 4’s</t>
  </si>
  <si>
    <t>Babybel Maxi 200g (x8)</t>
  </si>
  <si>
    <t>8 x 200gms</t>
  </si>
  <si>
    <t>Babybel Mini Original 100g</t>
  </si>
  <si>
    <t>12 x 100gms</t>
  </si>
  <si>
    <t>Babybel Mini Light 100g</t>
  </si>
  <si>
    <t>Babybel Mini Cheddar 100g</t>
  </si>
  <si>
    <t>Kiri Labneh 200g</t>
  </si>
  <si>
    <t>NEW Kiri Labneh 350g</t>
  </si>
  <si>
    <t>9 x 350gms</t>
  </si>
  <si>
    <t>NEW Kiri Labneh 500g</t>
  </si>
  <si>
    <t>9 x 500gms</t>
  </si>
  <si>
    <t>REGAL PICON WHITE JAR- 240G</t>
  </si>
  <si>
    <t>24 x 240gms</t>
  </si>
  <si>
    <t>REGAL PICON WHITE JAR- 500G</t>
  </si>
  <si>
    <t>12 x 500gms</t>
  </si>
  <si>
    <t>REGAL PICON WHITE JAR- 900G</t>
  </si>
  <si>
    <t>6 x 900gms</t>
  </si>
  <si>
    <t>REGAL PICON WHITE JAR(2x500G)- 20% off</t>
  </si>
  <si>
    <t>6 x 2x500gms</t>
  </si>
  <si>
    <t>REGAL PICON WHITE JAR 2X900G- 15% off</t>
  </si>
  <si>
    <t>3x2x900gms</t>
  </si>
  <si>
    <t>307378 1134551</t>
  </si>
  <si>
    <t>KIRI BLOCK 1KG</t>
  </si>
  <si>
    <t>12x1000gms</t>
  </si>
  <si>
    <t>KIRI BLOCK 200G (X30)</t>
  </si>
  <si>
    <t>30X200gms</t>
  </si>
  <si>
    <t>Del Monte Pineapple Crush 240Ml</t>
  </si>
  <si>
    <t>Del Monte Pineapple Orange Drink 240Ml</t>
  </si>
  <si>
    <t>Del Monte Sweetend Pineapple Juice 240Ml</t>
  </si>
  <si>
    <t>Alpenliebe Candy 32/35gm</t>
  </si>
  <si>
    <t>Alpenliebe Candy Jar 450Gm</t>
  </si>
  <si>
    <t>Alpenliebe Caramel Candy Original 100Gm</t>
  </si>
  <si>
    <t>DM Chopped Tomatoes With Onion 400gm</t>
  </si>
  <si>
    <t>DM Chopped Tomatoes With Garlic 400gm</t>
  </si>
  <si>
    <t>Big Babol Mega Fun Berries 27Gm</t>
  </si>
  <si>
    <t>Big Babol Mega Milk Shake 27Gm</t>
  </si>
  <si>
    <t>Big Babol Mega Strawberry 27Gm</t>
  </si>
  <si>
    <t>Big Babol Tutti Fruiti 27Gm</t>
  </si>
  <si>
    <t>Pons Olive Oil Blended 500ml</t>
  </si>
  <si>
    <t>Fruitella Vegan Jelies Sour Snkes 150gm</t>
  </si>
  <si>
    <t>Fruitella Vegan Jellies Koalas 150gm</t>
  </si>
  <si>
    <t>Fruitella Vegan Jelies Sour Hipos 150gm</t>
  </si>
  <si>
    <t>Best Of Chupa Chup 120Gm</t>
  </si>
  <si>
    <t>Chupa Chup Colamix Bag 120Gm</t>
  </si>
  <si>
    <t>Chupa Chup Crazy Dips Cola 16Gm</t>
  </si>
  <si>
    <t>Chupa Chup Crazy Dips Strawberry 16Gm</t>
  </si>
  <si>
    <t>Chupa Chup Fruit Bag 120Gm</t>
  </si>
  <si>
    <t>Chupa Chup Fruit Bag 1440Gm</t>
  </si>
  <si>
    <t>Chupa Chup Ice Cream Bag 120Gm</t>
  </si>
  <si>
    <t>Chupa Chup Melody Singles 15Gm</t>
  </si>
  <si>
    <t>Chupa Chup Mini Chups 210Gm</t>
  </si>
  <si>
    <t>Chupa Chup Surprise 13Gm</t>
  </si>
  <si>
    <t>Chupa Chup XXL Singles 28Gm</t>
  </si>
  <si>
    <t>Chupa Chup Bubble Gum 16Gm</t>
  </si>
  <si>
    <t>Del Monte Golden Sweet Corn 180Gm</t>
  </si>
  <si>
    <t>Del Monte Pineapple Chunks 570gm</t>
  </si>
  <si>
    <t>Del Monte Pineapple Juice 240Ml</t>
  </si>
  <si>
    <t>Del Monte Pineapple Slice 570gm</t>
  </si>
  <si>
    <t>Del Monte Sliced Pineapple 234Gm</t>
  </si>
  <si>
    <t>Fruittella Black Currant 36Gm</t>
  </si>
  <si>
    <t>Fruittella Cola Lemon Candy 39Gm</t>
  </si>
  <si>
    <t>Fruittella Orange Sweet 39gm</t>
  </si>
  <si>
    <t>Fruittella Raspberry Apple 39Gm</t>
  </si>
  <si>
    <t>Fruittella Strawberry Large 36Gm</t>
  </si>
  <si>
    <t>Fruittella Yoghurt Flavour Sweet 42Gm</t>
  </si>
  <si>
    <t>Del Monte Mixed Pickles 454gm</t>
  </si>
  <si>
    <t>Mentos 3D FruityFreshSty Apple Rbry 33Gm</t>
  </si>
  <si>
    <t>Mentos 3D Wallet Pure Fresh Mint 33Gm</t>
  </si>
  <si>
    <t>Mentos 3D WtrMln Papple 33Gm</t>
  </si>
  <si>
    <t>Mentos Bottle Sweet Mint 54Gm</t>
  </si>
  <si>
    <t>Mentos Bottle Tutti Frutti 54Gm</t>
  </si>
  <si>
    <t>Mentos Bubble Gum Bottle 64Gm</t>
  </si>
  <si>
    <t>Mentos Chews Dragees Kids 13Gm</t>
  </si>
  <si>
    <t>Mentos Mini Fruit 250Gm</t>
  </si>
  <si>
    <t>Mentos Orange 38Gm</t>
  </si>
  <si>
    <t>Mentos Pocket Bottle Berry Lime 26Gm</t>
  </si>
  <si>
    <t>Mentos Pocket Bottle Fresh Mint 24Gm</t>
  </si>
  <si>
    <t>Mentos Pocket Bottle Redlime 24gm</t>
  </si>
  <si>
    <t>Mentos Pocket Bottle Strbry Mint 26Gm</t>
  </si>
  <si>
    <t>Mentos Pocket Bottle Water Melon 24Gm</t>
  </si>
  <si>
    <t>Mentos Pure Fresh Blast 56Gm</t>
  </si>
  <si>
    <t>Mentos Pure Fresh Mint 56/60gm</t>
  </si>
  <si>
    <t>Mentos Pure Fresh Winter Green 56Gm</t>
  </si>
  <si>
    <t>Mentos Roll Fruit 37.5gm</t>
  </si>
  <si>
    <t>Mentos Roll Mint 37.5gm</t>
  </si>
  <si>
    <t>Mentos Roll Strawberry 37.5gm</t>
  </si>
  <si>
    <t>Chupa Chups Pinkies 160gm</t>
  </si>
  <si>
    <t>Chupa Chups Sour Cola 160gm</t>
  </si>
  <si>
    <t>Chupa Chups Sour Gecko 160gm</t>
  </si>
  <si>
    <t>Mentos S/F Pure Frsh Strwbry Gum 15.75gm</t>
  </si>
  <si>
    <t>Mentos S/F Pure Frsh Wtrmlon Gum 15.75gm</t>
  </si>
  <si>
    <t>Mentos S/F Pure Strwbry Gum 50`s 87.5gm</t>
  </si>
  <si>
    <t>Mentos S/F Pure Wtrmlon Gum 50's 87.5gm</t>
  </si>
  <si>
    <t>Big Babool Fili Folli Gum Strawbery 11Gm</t>
  </si>
  <si>
    <t>Siblings Sweet Yam Jam 340gm</t>
  </si>
  <si>
    <t>Smint &amp; Gum Peppermint 13.6Gm</t>
  </si>
  <si>
    <t>Smint &amp; Gum Strawberry 13.6Gm</t>
  </si>
  <si>
    <t>Smint &amp; Gum Strong Mint 13.6Gm</t>
  </si>
  <si>
    <t>Smint Freshness Lemon 8Gm</t>
  </si>
  <si>
    <t>Smint Mint Blackberry 8Gm</t>
  </si>
  <si>
    <t>Smint Sugar Free Gum Black Berry 6Gm</t>
  </si>
  <si>
    <t>Smint Sugar Free Mint 8gm</t>
  </si>
  <si>
    <t>Smint Sugar Free Gum Pepper Mint 6Gm</t>
  </si>
  <si>
    <t>Smint Sugar Free Gum Wild Berry 6Gm</t>
  </si>
  <si>
    <t>Chupa Chups Extruded Mini Tubes 85.5gm</t>
  </si>
  <si>
    <t>Mentos Gum Peppermint 38's 54gm</t>
  </si>
  <si>
    <t>Del Monte Hommos Tahina 3X400gm@SP</t>
  </si>
  <si>
    <t>Del Monte Pineapple Chunk 3x435gm@SP</t>
  </si>
  <si>
    <t>Del Monte Pinaple Slice Syrp 3X435gm@SP</t>
  </si>
  <si>
    <t>Mentos Chewy Fresh Peppermint 10.8gm</t>
  </si>
  <si>
    <t>Delmonte Pineapple Chunks Gold 435gm</t>
  </si>
  <si>
    <t>Delmonte Pineapple Chunks Gold 565gm</t>
  </si>
  <si>
    <t>Delmonte Pineapple Slices Gold 570gm</t>
  </si>
  <si>
    <t>Delmonte Pineapple Slices Gold 435gm</t>
  </si>
  <si>
    <t>Del Monte Pineapple Slice 3x570gm@SP</t>
  </si>
  <si>
    <t>Del Monte Peach Halves 3x420gm@SP</t>
  </si>
  <si>
    <t>Del Monte Lght Meat Tuna Brine 4x185g@SP</t>
  </si>
  <si>
    <t>Del Monte Meat Tuna In Oil 4x185gm@SP</t>
  </si>
  <si>
    <t>Chupa Chups Crawlers 90gm</t>
  </si>
  <si>
    <t>Chupa Chups Panda 90gm</t>
  </si>
  <si>
    <t>Chupa Chups Panda 160gm</t>
  </si>
  <si>
    <t>Mentos Sour Fruit Mix 37gm 14'S</t>
  </si>
  <si>
    <t>Mentos Incredible Chew Strawberry 45gm</t>
  </si>
  <si>
    <t>Mentos Incredible Chew Green Apple 45gm</t>
  </si>
  <si>
    <t>Mentos Incredible Chew Grape 45gm</t>
  </si>
  <si>
    <t>Mentos Fruit Mix Flavour 70.2gm 26'S</t>
  </si>
  <si>
    <t>Mentos Mint 70.2gm 26'S</t>
  </si>
  <si>
    <t>Mentos Strawberry 70.2gm 26'S</t>
  </si>
  <si>
    <t>Mentos Spearmint Sugar Free 15.75gm</t>
  </si>
  <si>
    <t>Del Monte Golden Sweet Corn 4x410gm@SP</t>
  </si>
  <si>
    <t>Del Monte Chick Peas 4x400gm@SP</t>
  </si>
  <si>
    <t>Del Monte Pineapple Chunks 6x234gm@SP</t>
  </si>
  <si>
    <t>Del Monte Garden Peas 3x425gm@SP</t>
  </si>
  <si>
    <t>Del Monte Fruit Cocktail 4x227gm@SP</t>
  </si>
  <si>
    <t>Del Monte Sliced Pineapple 6x235gm@SP</t>
  </si>
  <si>
    <t>Del Monte Macaroni Vermicelli 400gm</t>
  </si>
  <si>
    <t>Del Monte Macaroni Cornetto 400gm</t>
  </si>
  <si>
    <t>Del Monte Macaroni Penne Rigate 400gm</t>
  </si>
  <si>
    <t>Del Monte Pasta Spaghetti 400gm</t>
  </si>
  <si>
    <t>Del Monte Macaroni Fusilli 400gm</t>
  </si>
  <si>
    <t>Del Monte Pineapple Chunks 3x570gm@SP</t>
  </si>
  <si>
    <t>Chupa Chups Sour Tubes Strawberry 80gm</t>
  </si>
  <si>
    <t>Chupa Chups Sour Tubes Strawberry 24gm</t>
  </si>
  <si>
    <t>Del Monte Black Whole Olives 335gm</t>
  </si>
  <si>
    <t>Del Monte Green Pitted Olives 335gm</t>
  </si>
  <si>
    <t>Del Monte Green Whole Olives 335gm</t>
  </si>
  <si>
    <t>Del Monte Green Sliced Olives 460gm</t>
  </si>
  <si>
    <t>Del Monte Black Whole Olives 460gm</t>
  </si>
  <si>
    <t>Del Monte Green Whole Olives 460gm</t>
  </si>
  <si>
    <t>Pons Extra Virgin Olive Oil 250Ml</t>
  </si>
  <si>
    <t>Pons Extra Virgin Olive Oil 500Ml</t>
  </si>
  <si>
    <t>Del Monte Pineaple Chunks In Syrup 234Gm</t>
  </si>
  <si>
    <t>Del Monte Pinapple Slices In Syrup 836Gm</t>
  </si>
  <si>
    <t>Del Monte Fruit Cocktail In Syrup 227Gm</t>
  </si>
  <si>
    <t>Del Monte Fruit Cocktail In Syrup 420Gm</t>
  </si>
  <si>
    <t>Del Monte Fruit Cocktail In Syrup 830Gm</t>
  </si>
  <si>
    <t>Del Monte Peach Halves 420Gm</t>
  </si>
  <si>
    <t>Del Monte Golden Sweet Corn 410Gm</t>
  </si>
  <si>
    <t>Del Monte Hommos Tahina 400Gm</t>
  </si>
  <si>
    <t>Del Monte Foul Medammas 400Gm</t>
  </si>
  <si>
    <t>Del Monte Chick Peas 400Gm</t>
  </si>
  <si>
    <t>Del Monte Red Kidney Beans 400Gm</t>
  </si>
  <si>
    <t>Del Monte Baked Beans 420Gm</t>
  </si>
  <si>
    <t>Del Monte Tuna Fish Chunks  in Oil 185Gm</t>
  </si>
  <si>
    <t>Del Monte Tuna Fish Chunks in Brine185Gm</t>
  </si>
  <si>
    <t>Del Monte Chopped Tomatoes 400Gm</t>
  </si>
  <si>
    <t>Del Monte Peeled Tomatoes 397Gm</t>
  </si>
  <si>
    <t>Del Monte Mixed Vegetables 425Gm</t>
  </si>
  <si>
    <t>Del Monte Garden Peas 425Gm</t>
  </si>
  <si>
    <t>Del Monte Peas and Carrots 425Gm</t>
  </si>
  <si>
    <t>Mentos Fruit Pillow Jar 200'S</t>
  </si>
  <si>
    <t>Mentos Mint Pillow Jar 200'S</t>
  </si>
  <si>
    <t>Pons Olive Oil 250Ml</t>
  </si>
  <si>
    <t>Smint Tin Box Pepper Mint 35Gm</t>
  </si>
  <si>
    <t>Smint Tin Box Strawberry 35Gm</t>
  </si>
  <si>
    <t>Delmonte Light Meat Tuna In Brine 185Gm</t>
  </si>
  <si>
    <t>Delmonte Meat Tuna In Oil 185Gm</t>
  </si>
  <si>
    <t>Delmonte White Meat Tuna In Brine 185Gm</t>
  </si>
  <si>
    <t>Delmonte White Meat Tuna In Oil 185Gm</t>
  </si>
  <si>
    <t>Mentos White Blister'S Sweet Mint 17gm</t>
  </si>
  <si>
    <t>Mentos White Blister'S Tutyy Frutti 17gm</t>
  </si>
  <si>
    <t>Chupa Chup 2 Pop'S Assorted 16.5Gm</t>
  </si>
  <si>
    <t>Mentos Pure Fresh Lime Mint 56gm</t>
  </si>
  <si>
    <t>Mentos Gum Squeezy Blackberry 56gm</t>
  </si>
  <si>
    <t>Mentos Gum Blisters Pure Fresh 13.2gm</t>
  </si>
  <si>
    <t>Mentos Gum Blisters Juice Blast 13.2gm</t>
  </si>
  <si>
    <t>Chupa Chups Jellies Chuck Face 90gm</t>
  </si>
  <si>
    <t>Chupa Chups Jellies Crazy Cola 90Gm</t>
  </si>
  <si>
    <t>Chupa Chups Jellies Daisies 90gm</t>
  </si>
  <si>
    <t>Chupa Chups Jellies Football Mix 90gm</t>
  </si>
  <si>
    <t>Chupa Chups Jellies Pinkies 90gm</t>
  </si>
  <si>
    <t>Chupa Chups Jellies Lollies 90gm</t>
  </si>
  <si>
    <t>Chupa Chups Jellies Sour Gecko 90Gm</t>
  </si>
  <si>
    <t>Mentos White Gum Strawberry 102.96gm</t>
  </si>
  <si>
    <t>Mentos White Gum Spearmint 102.96gm</t>
  </si>
  <si>
    <t>Pons Pomace Olive Oil 400Ml</t>
  </si>
  <si>
    <t>Pons Pomace Olive Oil 1Lt</t>
  </si>
  <si>
    <t>Del Monte Peach Slices 420Gm</t>
  </si>
  <si>
    <t>Del Monte Pineapple Slice In Syrup 435Gm</t>
  </si>
  <si>
    <t>Del Monte Pineapple Chunk 435Gm</t>
  </si>
  <si>
    <t>Del Monte Spaghetti 400Gm</t>
  </si>
  <si>
    <t>Pons Pure Olive Oil 500Ml</t>
  </si>
  <si>
    <t>Del Monte Grape Leaves In Brine 907Gm</t>
  </si>
  <si>
    <t>Pons Blended Olive+Canola Oil750Ml</t>
  </si>
  <si>
    <t>Pons Pomace Olive Oil 500Ml</t>
  </si>
  <si>
    <t>Pons Pomace Olive Oil 250Ml</t>
  </si>
  <si>
    <t>Mentos Chewy Dragees Watermelon 14P</t>
  </si>
  <si>
    <t>Del Monte Tuna Fish Chnks In Oil 4X185Gm</t>
  </si>
  <si>
    <t>Del Monte Whte Meat Tuna InBrine 4X185Gm</t>
  </si>
  <si>
    <t>Delmonte White Meat Tuna In Oil 4X185Gm</t>
  </si>
  <si>
    <t>Del Monte Tuna Fsh Chnks In Brne 4X185Gm</t>
  </si>
  <si>
    <t>Del Monte Sweet Corn 4X410Gm</t>
  </si>
  <si>
    <t>Mentos Mini Rainbow Kangaroo 10Gm 100S</t>
  </si>
  <si>
    <t>Mentos Bottle Sweet Asstd 2X54Gm</t>
  </si>
  <si>
    <t>Smint No Limit Chewing Gum Mint 13Gm</t>
  </si>
  <si>
    <t>Smint No Limit Chewing Gum Fruit 13Gm</t>
  </si>
  <si>
    <t>Smint No Limit Chewing Gum Strwbery 13Gm</t>
  </si>
  <si>
    <t>Chupa Chupa Lollipop Fruit Univrse 120Gm</t>
  </si>
  <si>
    <t>Chupa Chp Lolpop Frut Astd 2X120Gm25%Off</t>
  </si>
  <si>
    <t>Chupa Chupa Lollipop Bubble Gum 96Gm</t>
  </si>
  <si>
    <t>Mentos Mini Fruit 2X250Gm</t>
  </si>
  <si>
    <t>Del Monte Grape Leaves In Brine 2X907Gm</t>
  </si>
  <si>
    <t>Alpenliebe Chocolate Cofitos 32Gm</t>
  </si>
  <si>
    <t>Del Monte Pineapple Chunks 3X567gm</t>
  </si>
  <si>
    <t>Del Monte Fruit Cocktail In Syrup3X420gm</t>
  </si>
  <si>
    <t>Del Monte Chick Peas 4X400Gm</t>
  </si>
  <si>
    <t>Big Babol Fili Folly Gum Watermelon 11Gm</t>
  </si>
  <si>
    <t>Big Babol Fili Folly Gum Grape 11Gm</t>
  </si>
  <si>
    <t>Big Babol Fili Folly Gum Fruit 11Gm</t>
  </si>
  <si>
    <t>Mentos Choco Candy 37.8Gm</t>
  </si>
  <si>
    <t>Chupa Chups Sour Bites Mix Fruit 26.4Gm</t>
  </si>
  <si>
    <t>Chupa Chps Sour Bts M.Fuit Flv 85.5/90gm</t>
  </si>
  <si>
    <t>Chupa Chups Sour Belt 57Gm</t>
  </si>
  <si>
    <t>Mentos Pure Fresh Spearmint 50'S 87.5Gm</t>
  </si>
  <si>
    <t>Mentos Pure Bubble Fresh 50'S 87.5Gm</t>
  </si>
  <si>
    <t>Pons Extra Vrgn Blnded Olive Oil 250Ml</t>
  </si>
  <si>
    <t>Fruittella 2 In 1 Lemon Grape 32.4Gm</t>
  </si>
  <si>
    <t>Fruittella 2 In 1 Strwbrry Banana 32.4Gm</t>
  </si>
  <si>
    <t>Fruittella Fruit Chews Bag 140Gm</t>
  </si>
  <si>
    <t>Mentos Choco Candy 8x37.8gm</t>
  </si>
  <si>
    <t>Chupa Chups Jellies Assorted 3x90gm</t>
  </si>
  <si>
    <t>Mentos Pure Gum Roll Freshmint 15.75gm</t>
  </si>
  <si>
    <t>Mentos Pure Gum Roll Bubble Fresh 15.75g</t>
  </si>
  <si>
    <t>Del Monte Baked Beans 220Gm</t>
  </si>
  <si>
    <t>Del Monte Cut Green Beans 411Gm</t>
  </si>
  <si>
    <t>Del Monte Extra Virgin Olive Oil 250Ml</t>
  </si>
  <si>
    <t>Del Monte Extra Virgin Olive Oil 500Ml</t>
  </si>
  <si>
    <t>Del Monte Extra Virgin Olive Oil 750Ml</t>
  </si>
  <si>
    <t>Del Monte Farfalle 500Gm</t>
  </si>
  <si>
    <t>Del Monte Foul Egyptian Recipe 400Gm</t>
  </si>
  <si>
    <t>Del Monte Foul Lebanese Recipe 400Gm</t>
  </si>
  <si>
    <t>Del Monte Foul Medammas Chick Peas 400Gm</t>
  </si>
  <si>
    <t>Del Monte Foul Medammas wth Chilli 400Gm</t>
  </si>
  <si>
    <t>Del Monte Foul Saudi Recipe 400Gm</t>
  </si>
  <si>
    <t>Del Monte Fusillini 500Gm</t>
  </si>
  <si>
    <t>Del Monte Fusillini Tricolouri 500Gm</t>
  </si>
  <si>
    <t>Del Monte Gold Corn 410Gm</t>
  </si>
  <si>
    <t>Del Monte Lasagna 500Gm</t>
  </si>
  <si>
    <t>Del Monte Lumache Rigate 500Gm</t>
  </si>
  <si>
    <t>Del Monte Original Tomato Sauce 3X115Gm</t>
  </si>
  <si>
    <t>Del Monte Peach Halves 825Gm</t>
  </si>
  <si>
    <t>Del Monte Pennette Rigate 500Gm</t>
  </si>
  <si>
    <t>Del Monte Pent Rgte3X500Gm+Suce Swt250Gm</t>
  </si>
  <si>
    <t>Del Monte Pineapple Chunks 567Gm</t>
  </si>
  <si>
    <t>Del Monte Pineapple Slice 3x567gm@SP</t>
  </si>
  <si>
    <t>Del Monte Pineapple Slice 567Gm</t>
  </si>
  <si>
    <t>Del Monte Sliced Beets 425Gm</t>
  </si>
  <si>
    <t>Del Monte Spghti 3X400Gm+Sauce Swet250Gm</t>
  </si>
  <si>
    <t>Del Monte Stuffed Grape Leaves 400gm</t>
  </si>
  <si>
    <t>Del Monte White Oats 400gm</t>
  </si>
  <si>
    <t>Delmonte Lght Meat Tuna In Brine 3X185Gm</t>
  </si>
  <si>
    <t>Delmonte Meat Tuna In Oil 3X185Gm</t>
  </si>
  <si>
    <t>Delmonte Spaghti Sauce Philipins 3X200Gm</t>
  </si>
  <si>
    <t>Delmonte Sweet Corn 3x410gm</t>
  </si>
  <si>
    <t>Delmonte White Oats Quick Cooking 400gm</t>
  </si>
  <si>
    <t>Delmonte Whole Kernel Sweet Corn 180gm</t>
  </si>
  <si>
    <t>Pons Blended Olive&amp;Canola Oil 2x750ml</t>
  </si>
  <si>
    <t>Pons Extra Virgin Olive Oil 750Ml.</t>
  </si>
  <si>
    <t>Pons Extra Vrgn Blnded Olive Oil 2X250Ml</t>
  </si>
  <si>
    <t>Pons Olive Oil Blended 2X500ml</t>
  </si>
  <si>
    <t>Pons Olive Oils 5Lt</t>
  </si>
  <si>
    <t>Pons Pomace Olive Oil 175Ml</t>
  </si>
  <si>
    <t>Pons Pomace Olive Oil 2X500Ml</t>
  </si>
  <si>
    <t>Pons Pomace Olive Oil 3X250Ml</t>
  </si>
  <si>
    <t>Pons Pure Olive Oil 1Lt</t>
  </si>
  <si>
    <t>EXTRA VIRGIN OLIVE OIL</t>
  </si>
  <si>
    <t>Mentos 11p Mint</t>
  </si>
  <si>
    <t>Mentos 11p Fruit</t>
  </si>
  <si>
    <t>Mentos 11p Strawberry</t>
  </si>
  <si>
    <t>Mentos 11p Tutti Frutti</t>
  </si>
  <si>
    <t>Mentos 11p Rainbow</t>
  </si>
  <si>
    <t>MENTOS 11P SOUR FRUIT MIX</t>
  </si>
  <si>
    <t>Mentos 14p Rainbow</t>
  </si>
  <si>
    <t>Mentos 14p Tutti Frutti</t>
  </si>
  <si>
    <t xml:space="preserve">Alpenliebe Milk Chews </t>
  </si>
  <si>
    <t>Big Babol Fili Folly Strawberry</t>
  </si>
  <si>
    <t xml:space="preserve"> Chupa Chups Sour Bags Lollipops</t>
  </si>
  <si>
    <t>Chupa Chups Singles The Best of</t>
  </si>
  <si>
    <t>CHUPA SINGLES Full Wheel</t>
  </si>
  <si>
    <t>Chupa chups Jar Code</t>
  </si>
  <si>
    <t>CHUPA CHUPS EXTRUDED JELLIES TUBE 24.2GM- NEW</t>
  </si>
  <si>
    <t>Chupa Chups Extruded Jellies Monos 10.5g</t>
  </si>
  <si>
    <t>Chupa Chups Extruded Jellies Monos belt</t>
  </si>
  <si>
    <t xml:space="preserve"> Mentos Freshmint gum MP bottles 32pX2</t>
  </si>
  <si>
    <t xml:space="preserve"> Mentos Wintergreen gum MP bottles 32pX2</t>
  </si>
  <si>
    <t>Chupa chup Jellies 3 pck- Assorted</t>
  </si>
  <si>
    <t>DM PINEAPPLE SLICES 3X432GM NEW OFFER</t>
  </si>
  <si>
    <t>DM PINEAPPLE SLICES 3X567GM NEW OFFER</t>
  </si>
  <si>
    <t>DM PINEAPPLE CHUNK 3X435GM NEW OFFER</t>
  </si>
  <si>
    <t>DM FRUIT COCKTAIL 3X420GM NEW OFFER</t>
  </si>
  <si>
    <t>DM PEACH HALVES 3X420GM NEW OFFER</t>
  </si>
  <si>
    <t>DM(6) FOUL MEDAMMAS 4X400GM</t>
  </si>
  <si>
    <t>DM HOMMOS TAHINA 3X400GM NEW OFFER</t>
  </si>
  <si>
    <t>DM(8) BAKED BEANS 3X420GM</t>
  </si>
  <si>
    <t>DM(24) CREAM STYLE CORN 410GM</t>
  </si>
  <si>
    <t>DM JUICE PINEAPPLE-UNSWEETED 6X240ML</t>
  </si>
  <si>
    <t>DM(12) JUICE PINEAPPLE-UNSWEETED 1.36LTR</t>
  </si>
  <si>
    <t>DM(6) MIXED PICKLE 2X454GM</t>
  </si>
  <si>
    <t>DM(48) SKIPJACK TUNA IN SF OIL 180GM</t>
  </si>
  <si>
    <t>DM(48) SKIPJACK TUNA HOT &amp; SPICY 180GM</t>
  </si>
  <si>
    <t>DELMONTE PLAIN BLACK OLIVES 12X335G</t>
  </si>
  <si>
    <t>DELMONTE PLAIN BLACK OLIVES 12X460G</t>
  </si>
  <si>
    <t>DELMONTE PLAIN GREEN OLIVES 12X335G</t>
  </si>
  <si>
    <t>DELMONTE PLAIN GREEN OLIVES 12X460G</t>
  </si>
  <si>
    <t>DELMONTE SLICED GREEN OLIVES 12X460G</t>
  </si>
  <si>
    <t>DELMONTE PITTED GREEN OLIVES 12X335G</t>
  </si>
  <si>
    <t>DM  SPAGHETTI 400G X 4 OFFER PACK</t>
  </si>
  <si>
    <t>DM  MACARONI-CORNETTO MEDIUM 400G X 4 OF</t>
  </si>
  <si>
    <t>DM FUSILLI 400G X 4 OFFER PACK</t>
  </si>
  <si>
    <t>DM PENNE RIGATE  400G X 4 OFFER PACK</t>
  </si>
  <si>
    <t>DM VERMICIELLI CURVE 400G X 4 OFFER PACK</t>
  </si>
  <si>
    <t>-</t>
  </si>
  <si>
    <t>New Price</t>
  </si>
  <si>
    <t>ddd</t>
  </si>
  <si>
    <t>check</t>
  </si>
  <si>
    <t>Smint Spearmint S/F 35g</t>
  </si>
  <si>
    <t>Smint CleanBrth SF WintrGrn35g</t>
  </si>
  <si>
    <t>C.Chup Mshmlw Mini Stbr.Lem65g</t>
  </si>
  <si>
    <t>C.Chup Marshmallow Cola 120g</t>
  </si>
  <si>
    <t>C.Chup Mshmlw Dsy Stbr.Van140g</t>
  </si>
  <si>
    <t>C.Chup Mshmlw Dsy Stbr.Van280g</t>
  </si>
  <si>
    <t>C.Chup Magic Cube BubleGum 86g</t>
  </si>
  <si>
    <t>Ment.Incred Chew Grape&amp;stw140g</t>
  </si>
  <si>
    <t>Ment.Incred Chew Cola 140g</t>
  </si>
  <si>
    <t>C/Chup Melody L/Pops Cola 15g</t>
  </si>
  <si>
    <t>Mentos Gum.Nano Bottle Mint</t>
  </si>
  <si>
    <t>Mentos Gum.Nano Bottle Strawberry</t>
  </si>
  <si>
    <t>Mentos Gum.Nano Bottle Bubble Fresh</t>
  </si>
  <si>
    <t>1 UN01 100814 Alpenliebe Caramel Candy Original 100Gm 8990800011332 40 EA 1EA 0.300 12.002 0.000 12.002 0.000 0.600</t>
  </si>
  <si>
    <t>3 UN01 101360 Big Babol Mega Milk Shake 27Gm 80757467 50 EA 1EA 0.081 4.050 0.000 4.050 0.000 0.203</t>
  </si>
  <si>
    <t>4 UN01 347407 Chupa Chupa Lollipop Bubble Gum 96Gm 4601798006302 50 EA 1EA 0.358 17.900 0.000 17.900 0.000 0.895</t>
  </si>
  <si>
    <t>20 UN01 229638 Smint#Tin Box Strawberry 35Gm 8410031948745 12 EA 1EA 0.632 7.584 0.000 7.584 0.000 0.379</t>
  </si>
  <si>
    <t>2 UN01 453003 Pons Extra Vrgn Blnded Olive Oil 250Ml 214504 8429671351259 12 EA 1EA 0.655 7.860 0.000 7.860 0.000 0.000</t>
  </si>
  <si>
    <t>5 UN01 103542 Hero Baby Apple Juice 125Ml 8410175061034 24 EA 1EA 0.380 9.120 0.000 9.120 0.000 0.456</t>
  </si>
  <si>
    <t>24 UN01 321128 Pons Pomace Olive Oil 500Ml 91294 8429671350566 12 EA 1EA 1.183 14.196 0.000 14.196 0.000 0.000</t>
  </si>
  <si>
    <t>6 UN01 453003 Pons Extra Vrgn Blnded Olive Oil 250Ml 214504 8429671351259 12 EA 1EA 0.655 7.860 0.000 7.860 0.000 0.000</t>
  </si>
  <si>
    <t>7 UN01 316073 Pons Pomace Olive Oil 1Lt 8429671360336 6 EA 1EA 2.130 12.780 0.000 12.780 0.000 0.000</t>
  </si>
  <si>
    <t>8 UN01 321129 Pons Pomace Olive Oil 250Ml 107249 8429671350399 12 EA 1EA 0.650 7.800 0.000 7.800 0.000 0.000</t>
  </si>
  <si>
    <t>5 UN01 272119 Mentos Pure Fresh Lime Mint 56gm 80983460 36 EA 1EA 0.767 27.612 0.000 27.612 0.000 1.381</t>
  </si>
  <si>
    <t>DID NOT PUNCHED</t>
  </si>
  <si>
    <t>DUE TO PRICE DIFFERENCE DID  NOT PUNCHED</t>
  </si>
  <si>
    <t>2 UN01 174501 Kiri Creamy Labneh 350Gm 293034 3073780984515 12 EA 1EA 1.057 12.684 0.000 12.684 0.000 0.000</t>
  </si>
  <si>
    <t>3 UN01 366235 Kiri Creamy Labneh 500Gm 3073781062762 12 EA 1EA 1.501 18.012 0.000 18.012 0.000 0.000</t>
  </si>
  <si>
    <t>20 UN01 474457 Regal Picon Tub Cheese 480Gm 249065 3073781090130 24 EA 1EA 1.005 24.120 0.000 24.120 0.000 0.000</t>
  </si>
  <si>
    <t>13 UN01 116571 LVQR Round Box Reduced Fat 120gm 3073780689014 24 EA 1EA 0.424 10.176 0.000 10.176 0.000 0.000</t>
  </si>
  <si>
    <t>14 UN01 411866 Regal Picon 12 Slice Burger 200Gm 1800000007974 20 EA 1EA 0.488 9.760 0.000 9.760 0.000 0.000</t>
  </si>
  <si>
    <t>15 UN01 411865 Regal Picon 12 Slice Cheddar 200Gm 1800000007981 20 EA 1EA 0.488 9.760 0.000 9.760 0.000 0.000</t>
  </si>
  <si>
    <t>21 S UN01 284081 Vqr Kiri 6P 5X108Gm 3073781050318 60 EA 1EA 1.700 102.000 0.000 102.000 0.000 0.000</t>
  </si>
  <si>
    <t xml:space="preserve"> </t>
  </si>
  <si>
    <r>
      <rPr>
        <sz val="11.5"/>
        <rFont val="Times New Roman"/>
        <family val="1"/>
      </rPr>
      <t>CHUPA CHUP JELLIES- TWIN PACK 160G</t>
    </r>
  </si>
  <si>
    <t>MENTOS INCREDIBLE CHEW COLA 45G</t>
  </si>
  <si>
    <t>    5.208</t>
  </si>
  <si>
    <t>CHUPA CHUP MONO BELT COLA 57G</t>
  </si>
  <si>
    <t>    5.496</t>
  </si>
  <si>
    <t>CHUPA CHUPS JLY SOUR BLT COLA 10.5G</t>
  </si>
  <si>
    <t>    0.984</t>
  </si>
  <si>
    <t>MENTOS PURE FRSH FRSHMNT 50PC 87.5G</t>
  </si>
  <si>
    <t>  14.280</t>
  </si>
  <si>
    <t>MENTOS FRESH DIVE PEPPERMINT 88G</t>
  </si>
  <si>
    <t>  14.880</t>
  </si>
  <si>
    <t>MENTOS FRESH DIVE GRAPE 88G</t>
  </si>
  <si>
    <t>delisted</t>
  </si>
  <si>
    <t>NO CODE</t>
  </si>
  <si>
    <t>Del Monte Fista Mix Fruit In Syrup 850Gm</t>
  </si>
  <si>
    <t>Devon Cream Crackers 200Gm</t>
  </si>
  <si>
    <t>Smint#Tin Box Pepper Mint 35Gm</t>
  </si>
  <si>
    <t>Smint#Tin Box Spear Mnt 35Gm</t>
  </si>
  <si>
    <t>Smint#Tin Box Strawberry 35Gm</t>
  </si>
  <si>
    <t>Tova Jam Fig 450Gm</t>
  </si>
  <si>
    <t>Tova Mixed Fruit Jam 450Gm</t>
  </si>
  <si>
    <t>DISCONTINUED</t>
  </si>
  <si>
    <t>TOVA JAM MIXFRUIT 450G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</si>
</sst>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3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color rgb="FF0000FF"/>
      <name val="Calibri"/>
      <family val="2"/>
    </font>
    <font>
      <sz val="12"/>
      <name val="Calibri"/>
      <family val="2"/>
    </font>
    <font>
      <sz val="12"/>
      <color indexed="8"/>
      <name val="Calibri"/>
      <family val="2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sz val="12"/>
      <color rgb="FF000000"/>
      <name val="Arial"/>
      <family val="2"/>
    </font>
    <font>
      <sz val="9"/>
      <color rgb="FF000000"/>
      <name val="DejaVu Serif"/>
    </font>
    <font>
      <sz val="11.5"/>
      <name val="Times New Roman"/>
      <family val="1"/>
    </font>
    <font>
      <sz val="12"/>
      <color theme="1"/>
      <name val="Arial"/>
      <family val="2"/>
    </font>
    <font>
      <b/>
      <sz val="8"/>
      <color rgb="FF000000"/>
      <name val="Times New Roman"/>
      <family val="1"/>
    </font>
    <font>
      <b/>
      <sz val="13.5"/>
      <color rgb="FF000080"/>
      <name val="Arial"/>
      <family val="2"/>
    </font>
    <font>
      <sz val="11.5"/>
      <name val="Times New Roman"/>
      <family val="1"/>
    </font>
    <font>
      <sz val="8"/>
      <name val="Arial"/>
      <family val="2"/>
    </font>
    <font>
      <sz val="11"/>
      <name val="Calibri"/>
      <family val="2"/>
      <scheme val="minor"/>
    </font>
    <font>
      <b/>
      <sz val="8"/>
      <color rgb="FF000000"/>
      <name val="Times New Roman"/>
      <family val="1"/>
    </font>
    <font>
      <sz val="12"/>
      <name val="Arial"/>
      <family val="2"/>
    </font>
    <font>
      <sz val="11.5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CCCFF"/>
      </left>
      <right/>
      <top style="thin">
        <color rgb="FFCCCCFF"/>
      </top>
      <bottom/>
      <diagonal/>
    </border>
    <border>
      <left style="thin">
        <color rgb="FFCCCCFF"/>
      </left>
      <right/>
      <top style="thin">
        <color rgb="FFCCCCFF"/>
      </top>
      <bottom style="thin">
        <color rgb="FFCCCCF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8" fillId="0" borderId="0"/>
    <xf numFmtId="0" fontId="16" fillId="0" borderId="0"/>
    <xf numFmtId="43" fontId="17" fillId="0" borderId="0" applyFont="0" applyFill="0" applyBorder="0" applyAlignment="0" applyProtection="0"/>
    <xf numFmtId="0" fontId="4" fillId="0" borderId="0"/>
    <xf numFmtId="4" fontId="27" fillId="6" borderId="8" applyNumberFormat="0" applyProtection="0">
      <alignment horizontal="left" vertical="center" indent="1"/>
    </xf>
    <xf numFmtId="0" fontId="16" fillId="0" borderId="0"/>
    <xf numFmtId="4" fontId="27" fillId="6" borderId="11" applyNumberFormat="0" applyProtection="0">
      <alignment horizontal="left" vertical="center" indent="1"/>
    </xf>
  </cellStyleXfs>
  <cellXfs count="103">
    <xf numFmtId="0" fontId="0" fillId="0" borderId="0" xfId="0"/>
    <xf numFmtId="1" fontId="9" fillId="0" borderId="1" xfId="1" applyNumberFormat="1" applyFont="1" applyFill="1" applyBorder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10" fontId="11" fillId="0" borderId="1" xfId="1" applyNumberFormat="1" applyFont="1" applyFill="1" applyBorder="1" applyAlignment="1">
      <alignment horizontal="center" vertical="center"/>
    </xf>
    <xf numFmtId="1" fontId="10" fillId="0" borderId="1" xfId="1" applyNumberFormat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8" fillId="0" borderId="0" xfId="1" applyAlignment="1"/>
    <xf numFmtId="1" fontId="0" fillId="0" borderId="1" xfId="0" applyNumberFormat="1" applyBorder="1" applyAlignment="1">
      <alignment vertical="top"/>
    </xf>
    <xf numFmtId="0" fontId="9" fillId="2" borderId="1" xfId="1" applyNumberFormat="1" applyFont="1" applyFill="1" applyBorder="1" applyAlignment="1">
      <alignment horizontal="left" vertical="center"/>
    </xf>
    <xf numFmtId="0" fontId="13" fillId="0" borderId="1" xfId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1" fontId="9" fillId="0" borderId="2" xfId="1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>
      <alignment vertical="center"/>
    </xf>
    <xf numFmtId="1" fontId="13" fillId="0" borderId="1" xfId="1" applyNumberFormat="1" applyFont="1" applyFill="1" applyBorder="1" applyAlignment="1">
      <alignment horizontal="center" vertical="center"/>
    </xf>
    <xf numFmtId="3" fontId="13" fillId="0" borderId="1" xfId="1" applyNumberFormat="1" applyFont="1" applyBorder="1" applyAlignment="1">
      <alignment horizontal="center" vertical="center"/>
    </xf>
    <xf numFmtId="0" fontId="14" fillId="2" borderId="1" xfId="1" applyNumberFormat="1" applyFont="1" applyFill="1" applyBorder="1" applyAlignment="1">
      <alignment vertical="center"/>
    </xf>
    <xf numFmtId="1" fontId="14" fillId="0" borderId="1" xfId="1" applyNumberFormat="1" applyFont="1" applyFill="1" applyBorder="1" applyAlignment="1">
      <alignment horizontal="center" vertical="center"/>
    </xf>
    <xf numFmtId="0" fontId="13" fillId="2" borderId="1" xfId="1" applyNumberFormat="1" applyFont="1" applyFill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3" fontId="13" fillId="0" borderId="1" xfId="1" applyNumberFormat="1" applyFont="1" applyFill="1" applyBorder="1" applyAlignment="1">
      <alignment horizontal="center" vertical="center"/>
    </xf>
    <xf numFmtId="0" fontId="13" fillId="0" borderId="1" xfId="1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left" vertical="center"/>
    </xf>
    <xf numFmtId="3" fontId="9" fillId="0" borderId="1" xfId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9" fillId="0" borderId="1" xfId="1" applyNumberFormat="1" applyFont="1" applyFill="1" applyBorder="1" applyAlignment="1">
      <alignment vertical="center"/>
    </xf>
    <xf numFmtId="0" fontId="0" fillId="0" borderId="0" xfId="0" applyAlignment="1">
      <alignment vertical="top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" fontId="9" fillId="2" borderId="1" xfId="1" applyNumberFormat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1" fontId="9" fillId="3" borderId="1" xfId="1" applyNumberFormat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0" fillId="3" borderId="1" xfId="1" applyNumberFormat="1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left" vertical="center"/>
    </xf>
    <xf numFmtId="0" fontId="0" fillId="0" borderId="0" xfId="0" applyFill="1"/>
    <xf numFmtId="1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1" fontId="9" fillId="0" borderId="1" xfId="0" applyNumberFormat="1" applyFont="1" applyFill="1" applyBorder="1" applyAlignment="1">
      <alignment horizontal="center" vertical="center"/>
    </xf>
    <xf numFmtId="0" fontId="7" fillId="0" borderId="0" xfId="1" applyFont="1" applyAlignment="1"/>
    <xf numFmtId="0" fontId="0" fillId="4" borderId="0" xfId="0" applyFill="1"/>
    <xf numFmtId="0" fontId="6" fillId="0" borderId="0" xfId="1" applyFont="1" applyAlignment="1"/>
    <xf numFmtId="0" fontId="5" fillId="0" borderId="0" xfId="1" applyFont="1" applyAlignment="1"/>
    <xf numFmtId="1" fontId="19" fillId="0" borderId="0" xfId="0" applyNumberFormat="1" applyFont="1" applyAlignment="1">
      <alignment vertical="top" wrapText="1"/>
    </xf>
    <xf numFmtId="1" fontId="19" fillId="0" borderId="3" xfId="0" applyNumberFormat="1" applyFont="1" applyBorder="1" applyAlignment="1">
      <alignment vertical="top" wrapText="1"/>
    </xf>
    <xf numFmtId="1" fontId="9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20" fillId="5" borderId="4" xfId="0" applyFont="1" applyFill="1" applyBorder="1" applyAlignment="1">
      <alignment vertical="center"/>
    </xf>
    <xf numFmtId="1" fontId="10" fillId="3" borderId="1" xfId="3" applyNumberFormat="1" applyFont="1" applyFill="1" applyBorder="1" applyAlignment="1">
      <alignment horizontal="center" vertical="center"/>
    </xf>
    <xf numFmtId="1" fontId="9" fillId="3" borderId="1" xfId="3" applyNumberFormat="1" applyFont="1" applyFill="1" applyBorder="1" applyAlignment="1">
      <alignment horizontal="center" vertical="center"/>
    </xf>
    <xf numFmtId="1" fontId="19" fillId="0" borderId="0" xfId="3" applyNumberFormat="1" applyFont="1" applyAlignment="1">
      <alignment vertical="top" wrapText="1"/>
    </xf>
    <xf numFmtId="1" fontId="19" fillId="0" borderId="3" xfId="3" applyNumberFormat="1" applyFont="1" applyBorder="1" applyAlignment="1">
      <alignment vertical="top" wrapText="1"/>
    </xf>
    <xf numFmtId="1" fontId="0" fillId="0" borderId="0" xfId="3" applyNumberFormat="1" applyFont="1" applyFill="1"/>
    <xf numFmtId="0" fontId="9" fillId="0" borderId="1" xfId="0" applyFont="1" applyBorder="1" applyAlignment="1">
      <alignment horizontal="center" vertical="center" wrapText="1"/>
    </xf>
    <xf numFmtId="0" fontId="21" fillId="0" borderId="5" xfId="0" applyFont="1" applyBorder="1" applyAlignment="1">
      <alignment vertical="top" wrapText="1"/>
    </xf>
    <xf numFmtId="0" fontId="21" fillId="0" borderId="6" xfId="0" applyFont="1" applyBorder="1" applyAlignment="1">
      <alignment vertical="top" wrapText="1"/>
    </xf>
    <xf numFmtId="1" fontId="22" fillId="0" borderId="1" xfId="0" applyNumberFormat="1" applyFont="1" applyBorder="1" applyAlignment="1">
      <alignment horizontal="left" vertical="top" wrapText="1"/>
    </xf>
    <xf numFmtId="1" fontId="23" fillId="0" borderId="7" xfId="4" applyNumberFormat="1" applyFont="1" applyBorder="1" applyAlignment="1">
      <alignment horizontal="center" vertical="center"/>
    </xf>
    <xf numFmtId="1" fontId="0" fillId="4" borderId="0" xfId="0" applyNumberFormat="1" applyFill="1"/>
    <xf numFmtId="1" fontId="11" fillId="0" borderId="2" xfId="1" applyNumberFormat="1" applyFont="1" applyFill="1" applyBorder="1" applyAlignment="1" applyProtection="1">
      <alignment horizontal="center" vertical="center"/>
    </xf>
    <xf numFmtId="1" fontId="18" fillId="0" borderId="0" xfId="0" applyNumberFormat="1" applyFont="1" applyAlignment="1">
      <alignment vertical="top" wrapText="1"/>
    </xf>
    <xf numFmtId="1" fontId="24" fillId="0" borderId="0" xfId="0" applyNumberFormat="1" applyFont="1" applyAlignment="1">
      <alignment vertical="top" wrapText="1"/>
    </xf>
    <xf numFmtId="0" fontId="25" fillId="0" borderId="0" xfId="0" applyFont="1" applyAlignment="1">
      <alignment vertical="center"/>
    </xf>
    <xf numFmtId="0" fontId="17" fillId="0" borderId="0" xfId="0" applyFont="1"/>
    <xf numFmtId="1" fontId="22" fillId="0" borderId="0" xfId="0" applyNumberFormat="1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1" fontId="26" fillId="0" borderId="1" xfId="0" applyNumberFormat="1" applyFont="1" applyBorder="1" applyAlignment="1">
      <alignment horizontal="left" vertical="top" wrapText="1"/>
    </xf>
    <xf numFmtId="0" fontId="0" fillId="0" borderId="7" xfId="0" applyBorder="1" applyAlignment="1">
      <alignment horizontal="center" vertical="center" wrapText="1"/>
    </xf>
    <xf numFmtId="0" fontId="28" fillId="0" borderId="7" xfId="5" quotePrefix="1" applyNumberFormat="1" applyFont="1" applyFill="1" applyBorder="1" applyAlignment="1">
      <alignment horizontal="center" vertical="center"/>
    </xf>
    <xf numFmtId="1" fontId="3" fillId="0" borderId="7" xfId="5" quotePrefix="1" applyNumberFormat="1" applyFont="1" applyFill="1" applyBorder="1" applyAlignment="1">
      <alignment horizontal="center" vertical="center"/>
    </xf>
    <xf numFmtId="1" fontId="29" fillId="0" borderId="0" xfId="0" applyNumberFormat="1" applyFont="1" applyAlignment="1">
      <alignment vertical="top" wrapText="1"/>
    </xf>
    <xf numFmtId="1" fontId="29" fillId="0" borderId="3" xfId="0" applyNumberFormat="1" applyFont="1" applyBorder="1" applyAlignment="1">
      <alignment vertical="top" wrapText="1"/>
    </xf>
    <xf numFmtId="0" fontId="30" fillId="3" borderId="7" xfId="2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left" vertical="top" wrapText="1"/>
    </xf>
    <xf numFmtId="0" fontId="22" fillId="0" borderId="0" xfId="0" applyFont="1" applyAlignment="1">
      <alignment horizontal="right" vertical="top" wrapText="1"/>
    </xf>
    <xf numFmtId="0" fontId="22" fillId="0" borderId="0" xfId="0" applyFont="1" applyAlignment="1">
      <alignment vertical="top" wrapText="1"/>
    </xf>
    <xf numFmtId="0" fontId="16" fillId="0" borderId="0" xfId="0" applyFont="1" applyAlignment="1">
      <alignment horizontal="right" wrapText="1"/>
    </xf>
    <xf numFmtId="1" fontId="22" fillId="0" borderId="9" xfId="0" applyNumberFormat="1" applyFont="1" applyBorder="1" applyAlignment="1">
      <alignment horizontal="left" vertical="top" wrapText="1"/>
    </xf>
    <xf numFmtId="1" fontId="2" fillId="0" borderId="7" xfId="5" quotePrefix="1" applyNumberFormat="1" applyFont="1" applyFill="1" applyBorder="1" applyAlignment="1">
      <alignment horizontal="center" vertical="center"/>
    </xf>
    <xf numFmtId="0" fontId="30" fillId="3" borderId="10" xfId="0" applyFont="1" applyFill="1" applyBorder="1" applyAlignment="1">
      <alignment horizontal="center" vertical="center"/>
    </xf>
    <xf numFmtId="1" fontId="2" fillId="0" borderId="7" xfId="7" quotePrefix="1" applyNumberFormat="1" applyFont="1" applyFill="1" applyBorder="1" applyAlignment="1">
      <alignment horizontal="center" vertical="center"/>
    </xf>
    <xf numFmtId="0" fontId="23" fillId="0" borderId="0" xfId="0" applyFont="1"/>
    <xf numFmtId="0" fontId="30" fillId="0" borderId="7" xfId="0" applyFont="1" applyBorder="1" applyAlignment="1">
      <alignment horizontal="center" vertical="center"/>
    </xf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" fillId="0" borderId="0" xfId="1" applyFont="1" applyAlignment="1"/>
    <xf numFmtId="164" fontId="1" fillId="0" borderId="12" xfId="7" quotePrefix="1" applyNumberFormat="1" applyFont="1" applyFill="1" applyBorder="1" applyAlignment="1">
      <alignment horizontal="left" vertical="center"/>
    </xf>
    <xf numFmtId="1" fontId="0" fillId="0" borderId="12" xfId="0" applyNumberFormat="1" applyBorder="1" applyAlignment="1">
      <alignment horizontal="center" vertical="center"/>
    </xf>
    <xf numFmtId="1" fontId="1" fillId="0" borderId="7" xfId="7" quotePrefix="1" applyNumberFormat="1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left" vertical="top" wrapText="1"/>
    </xf>
    <xf numFmtId="1" fontId="29" fillId="0" borderId="0" xfId="0" applyNumberFormat="1" applyFont="1" applyFill="1" applyAlignment="1">
      <alignment vertical="top" wrapText="1"/>
    </xf>
    <xf numFmtId="1" fontId="29" fillId="0" borderId="3" xfId="0" applyNumberFormat="1" applyFont="1" applyFill="1" applyBorder="1" applyAlignment="1">
      <alignment vertical="top" wrapText="1"/>
    </xf>
    <xf numFmtId="1" fontId="18" fillId="0" borderId="0" xfId="0" applyNumberFormat="1" applyFont="1" applyFill="1" applyAlignment="1">
      <alignment vertical="top" wrapText="1"/>
    </xf>
    <xf numFmtId="1" fontId="18" fillId="0" borderId="3" xfId="0" applyNumberFormat="1" applyFont="1" applyFill="1" applyBorder="1" applyAlignment="1">
      <alignment vertical="top" wrapText="1"/>
    </xf>
    <xf numFmtId="1" fontId="19" fillId="0" borderId="3" xfId="0" applyNumberFormat="1" applyFont="1" applyFill="1" applyBorder="1" applyAlignment="1">
      <alignment vertical="top" wrapText="1"/>
    </xf>
    <xf numFmtId="1" fontId="19" fillId="0" borderId="0" xfId="0" applyNumberFormat="1" applyFont="1" applyFill="1" applyAlignment="1">
      <alignment vertical="top" wrapText="1"/>
    </xf>
    <xf numFmtId="1" fontId="0" fillId="0" borderId="1" xfId="0" applyNumberFormat="1" applyFill="1" applyBorder="1" applyAlignment="1">
      <alignment vertical="top"/>
    </xf>
    <xf numFmtId="1" fontId="24" fillId="0" borderId="0" xfId="0" applyNumberFormat="1" applyFont="1" applyFill="1" applyAlignment="1">
      <alignment vertical="top" wrapText="1"/>
    </xf>
  </cellXfs>
  <cellStyles count="8">
    <cellStyle name="Comma" xfId="3" builtinId="3"/>
    <cellStyle name="Normal" xfId="0" builtinId="0"/>
    <cellStyle name="Normal 2" xfId="1" xr:uid="{00000000-0005-0000-0000-000001000000}"/>
    <cellStyle name="Normal 3" xfId="2" xr:uid="{B43709CF-7E68-407D-8934-02B1C6312390}"/>
    <cellStyle name="Normal 4" xfId="4" xr:uid="{B27FFFED-A740-4BAC-AAAE-22155ED5E39F}"/>
    <cellStyle name="Normal 5" xfId="6" xr:uid="{7EFF2FED-E005-4374-95CF-F24919E6BD5E}"/>
    <cellStyle name="SAPBEXstdItem" xfId="7" xr:uid="{3EBFD765-C707-47E1-B7EC-D17B0047DBA7}"/>
    <cellStyle name="SAPBEXstdItem 3" xfId="5" xr:uid="{16A012ED-BD0B-43CF-ACE9-71198FB4B1F5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el%20Consolidated%20Order%20Form%20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.mehta/Downloads/112532-1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Bel\Bel%202024\Finance\bel%20price%20increase%204.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ulu%20Order%20Form%208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Vlookup"/>
      <sheetName val="Sheet3"/>
      <sheetName val="Sheet2"/>
    </sheetNames>
    <sheetDataSet>
      <sheetData sheetId="0">
        <row r="1">
          <cell r="B1" t="str">
            <v>SAP CODE</v>
          </cell>
          <cell r="C1" t="str">
            <v xml:space="preserve">Product Description </v>
          </cell>
          <cell r="D1" t="str">
            <v>Packing</v>
          </cell>
          <cell r="E1" t="str">
            <v>Units per Cs</v>
          </cell>
          <cell r="F1" t="str">
            <v>Price to Trade Ro (Per Unit)</v>
          </cell>
          <cell r="G1" t="str">
            <v>Barcode (Per Unit)</v>
          </cell>
          <cell r="H1" t="str">
            <v>Price to Trade Ro (Cs)</v>
          </cell>
          <cell r="I1" t="str">
            <v>Barcode (Per Carton)</v>
          </cell>
          <cell r="J1" t="str">
            <v>Order Qty (Each)</v>
          </cell>
          <cell r="L1" t="str">
            <v>Nesto</v>
          </cell>
          <cell r="N1" t="str">
            <v>SAP CODE</v>
          </cell>
        </row>
        <row r="2">
          <cell r="B2">
            <v>152859</v>
          </cell>
          <cell r="C2" t="str">
            <v>Regal Picon 8 Portion</v>
          </cell>
          <cell r="D2" t="str">
            <v>40 x 120gms</v>
          </cell>
          <cell r="E2">
            <v>40</v>
          </cell>
          <cell r="F2">
            <v>0.35199999999999998</v>
          </cell>
          <cell r="G2">
            <v>3251350126002</v>
          </cell>
          <cell r="H2">
            <v>12.56</v>
          </cell>
          <cell r="I2">
            <v>3073781030907</v>
          </cell>
          <cell r="J2">
            <v>152859</v>
          </cell>
          <cell r="K2" t="str">
            <v/>
          </cell>
          <cell r="L2" t="e">
            <v>#REF!</v>
          </cell>
          <cell r="N2">
            <v>269087</v>
          </cell>
        </row>
        <row r="3">
          <cell r="B3">
            <v>94576</v>
          </cell>
          <cell r="C3" t="str">
            <v>Regal Picon 16 Portion</v>
          </cell>
          <cell r="D3" t="str">
            <v>32 x 240gms</v>
          </cell>
          <cell r="E3">
            <v>32</v>
          </cell>
          <cell r="F3">
            <v>0.70599999999999996</v>
          </cell>
          <cell r="G3">
            <v>3251350161003</v>
          </cell>
          <cell r="H3">
            <v>20.16</v>
          </cell>
          <cell r="I3">
            <v>3073780921145</v>
          </cell>
          <cell r="J3">
            <v>94576</v>
          </cell>
          <cell r="K3" t="str">
            <v/>
          </cell>
          <cell r="L3" t="e">
            <v>#REF!</v>
          </cell>
          <cell r="N3">
            <v>269088</v>
          </cell>
        </row>
        <row r="4">
          <cell r="B4">
            <v>94581</v>
          </cell>
          <cell r="C4" t="str">
            <v>Regal Picon 24 Portion</v>
          </cell>
          <cell r="D4" t="str">
            <v>24 x 360gms</v>
          </cell>
          <cell r="E4">
            <v>24</v>
          </cell>
          <cell r="F4">
            <v>1.056</v>
          </cell>
          <cell r="G4">
            <v>3251350162000</v>
          </cell>
          <cell r="H4">
            <v>22.607999999999997</v>
          </cell>
          <cell r="I4">
            <v>3073780921138</v>
          </cell>
          <cell r="J4">
            <v>94581</v>
          </cell>
          <cell r="K4" t="str">
            <v/>
          </cell>
          <cell r="L4" t="e">
            <v>#REF!</v>
          </cell>
          <cell r="N4">
            <v>269086</v>
          </cell>
        </row>
        <row r="5">
          <cell r="B5">
            <v>94590</v>
          </cell>
          <cell r="C5" t="str">
            <v>Regal Picon 32 Portion</v>
          </cell>
          <cell r="D5" t="str">
            <v>16 x 480gms</v>
          </cell>
          <cell r="E5">
            <v>16</v>
          </cell>
          <cell r="F5">
            <v>1.373</v>
          </cell>
          <cell r="G5">
            <v>3251350163007</v>
          </cell>
          <cell r="H5">
            <v>19.600000000000001</v>
          </cell>
          <cell r="I5">
            <v>3073780896559</v>
          </cell>
          <cell r="J5">
            <v>94590</v>
          </cell>
          <cell r="K5" t="str">
            <v/>
          </cell>
          <cell r="L5" t="e">
            <v>#REF!</v>
          </cell>
          <cell r="N5">
            <v>229394</v>
          </cell>
        </row>
        <row r="6">
          <cell r="B6">
            <v>177009</v>
          </cell>
          <cell r="C6" t="str">
            <v>Regal Picon 48 Portion</v>
          </cell>
          <cell r="D6" t="str">
            <v>8 x 720gms</v>
          </cell>
          <cell r="E6">
            <v>8</v>
          </cell>
          <cell r="F6">
            <v>1.903</v>
          </cell>
          <cell r="G6">
            <v>3073781046601</v>
          </cell>
          <cell r="H6">
            <v>13.584</v>
          </cell>
          <cell r="I6">
            <v>3073781049848</v>
          </cell>
          <cell r="J6">
            <v>177009</v>
          </cell>
          <cell r="K6" t="str">
            <v/>
          </cell>
          <cell r="L6" t="e">
            <v>#REF!</v>
          </cell>
          <cell r="N6">
            <v>176188</v>
          </cell>
        </row>
        <row r="7">
          <cell r="B7">
            <v>94567</v>
          </cell>
          <cell r="C7" t="str">
            <v>Regal Picon 72 Portion</v>
          </cell>
          <cell r="D7" t="str">
            <v>8 x 1080gms</v>
          </cell>
          <cell r="E7">
            <v>8</v>
          </cell>
          <cell r="F7">
            <v>2.331</v>
          </cell>
          <cell r="G7">
            <v>3073780884655</v>
          </cell>
          <cell r="H7">
            <v>16.64</v>
          </cell>
          <cell r="I7">
            <v>3073780984096</v>
          </cell>
          <cell r="J7">
            <v>94567</v>
          </cell>
          <cell r="K7" t="str">
            <v/>
          </cell>
          <cell r="L7" t="e">
            <v>#REF!</v>
          </cell>
          <cell r="N7">
            <v>176189</v>
          </cell>
        </row>
        <row r="8">
          <cell r="B8">
            <v>152860</v>
          </cell>
          <cell r="C8" t="str">
            <v>Les Enfants 8 Portion</v>
          </cell>
          <cell r="D8" t="str">
            <v>40 x 120gms</v>
          </cell>
          <cell r="E8">
            <v>40</v>
          </cell>
          <cell r="F8">
            <v>0.35199999999999998</v>
          </cell>
          <cell r="G8">
            <v>3073780905817</v>
          </cell>
          <cell r="H8">
            <v>12.56</v>
          </cell>
          <cell r="I8">
            <v>3073781030921</v>
          </cell>
          <cell r="J8">
            <v>152860</v>
          </cell>
          <cell r="K8" t="str">
            <v/>
          </cell>
          <cell r="L8" t="e">
            <v>#REF!</v>
          </cell>
          <cell r="N8">
            <v>176191</v>
          </cell>
        </row>
        <row r="9">
          <cell r="B9">
            <v>94649</v>
          </cell>
          <cell r="C9" t="str">
            <v>Les Enfants 24 Portion</v>
          </cell>
          <cell r="D9" t="str">
            <v>24 x 360gms</v>
          </cell>
          <cell r="E9">
            <v>24</v>
          </cell>
          <cell r="F9">
            <v>1.056</v>
          </cell>
          <cell r="G9">
            <v>3073780905831</v>
          </cell>
          <cell r="H9">
            <v>22.607999999999997</v>
          </cell>
          <cell r="I9">
            <v>3073780905848</v>
          </cell>
          <cell r="J9">
            <v>94649</v>
          </cell>
          <cell r="K9" t="str">
            <v/>
          </cell>
          <cell r="L9" t="e">
            <v>#REF!</v>
          </cell>
          <cell r="N9">
            <v>229182</v>
          </cell>
        </row>
        <row r="10">
          <cell r="B10">
            <v>133208</v>
          </cell>
          <cell r="C10" t="str">
            <v>Les Enfants 32 Portion</v>
          </cell>
          <cell r="D10" t="str">
            <v>16 x 480gms</v>
          </cell>
          <cell r="E10">
            <v>16</v>
          </cell>
          <cell r="F10">
            <v>1.3919999999999999</v>
          </cell>
          <cell r="G10">
            <v>3073781021226</v>
          </cell>
          <cell r="H10">
            <v>19.872</v>
          </cell>
          <cell r="I10">
            <v>3073781021233</v>
          </cell>
          <cell r="J10">
            <v>133208</v>
          </cell>
          <cell r="K10" t="str">
            <v/>
          </cell>
          <cell r="L10" t="e">
            <v>#REF!</v>
          </cell>
          <cell r="N10">
            <v>229184</v>
          </cell>
        </row>
        <row r="11">
          <cell r="B11">
            <v>202753</v>
          </cell>
          <cell r="C11" t="str">
            <v>Les Enfants 48 Portion</v>
          </cell>
          <cell r="D11" t="str">
            <v>8 x 720gms</v>
          </cell>
          <cell r="E11">
            <v>8</v>
          </cell>
          <cell r="F11">
            <v>1.903</v>
          </cell>
          <cell r="G11">
            <v>3073781061857</v>
          </cell>
          <cell r="H11">
            <v>13.584</v>
          </cell>
          <cell r="I11">
            <v>3073781061864</v>
          </cell>
          <cell r="J11">
            <v>202753</v>
          </cell>
          <cell r="K11" t="str">
            <v/>
          </cell>
          <cell r="L11" t="e">
            <v>#REF!</v>
          </cell>
          <cell r="N11">
            <v>138945</v>
          </cell>
        </row>
        <row r="12">
          <cell r="B12">
            <v>155147</v>
          </cell>
          <cell r="C12" t="str">
            <v>La Vache Quirit 8 Portion</v>
          </cell>
          <cell r="D12" t="str">
            <v>40 x 120gms</v>
          </cell>
          <cell r="E12">
            <v>40</v>
          </cell>
          <cell r="F12">
            <v>0.45300000000000001</v>
          </cell>
          <cell r="G12">
            <v>3073786155186</v>
          </cell>
          <cell r="H12">
            <v>16.16</v>
          </cell>
          <cell r="I12">
            <v>3073781030938</v>
          </cell>
          <cell r="J12">
            <v>155147</v>
          </cell>
          <cell r="K12" t="str">
            <v/>
          </cell>
          <cell r="L12" t="e">
            <v>#REF!</v>
          </cell>
          <cell r="N12">
            <v>138947</v>
          </cell>
        </row>
        <row r="13">
          <cell r="B13">
            <v>94659</v>
          </cell>
          <cell r="C13" t="str">
            <v>La Vache Quirit 16 Portion</v>
          </cell>
          <cell r="D13" t="str">
            <v>32 x 240gms</v>
          </cell>
          <cell r="E13">
            <v>32</v>
          </cell>
          <cell r="F13">
            <v>0.84199999999999997</v>
          </cell>
          <cell r="G13">
            <v>3073780574242</v>
          </cell>
          <cell r="H13">
            <v>24.032</v>
          </cell>
          <cell r="I13">
            <v>3073780961363</v>
          </cell>
          <cell r="J13">
            <v>94659</v>
          </cell>
          <cell r="K13" t="str">
            <v/>
          </cell>
          <cell r="L13" t="e">
            <v>#REF!</v>
          </cell>
          <cell r="N13">
            <v>138946</v>
          </cell>
        </row>
        <row r="14">
          <cell r="B14">
            <v>94661</v>
          </cell>
          <cell r="C14" t="str">
            <v>La Vache Quirit 24 Portion</v>
          </cell>
          <cell r="D14" t="str">
            <v>24 x 360gms</v>
          </cell>
          <cell r="E14">
            <v>24</v>
          </cell>
          <cell r="F14">
            <v>1.2310000000000001</v>
          </cell>
          <cell r="G14">
            <v>3073780574310</v>
          </cell>
          <cell r="H14">
            <v>26.352000000000004</v>
          </cell>
          <cell r="I14">
            <v>3073780795135</v>
          </cell>
          <cell r="J14">
            <v>94661</v>
          </cell>
          <cell r="K14" t="str">
            <v/>
          </cell>
          <cell r="L14" t="e">
            <v>#REF!</v>
          </cell>
          <cell r="N14">
            <v>138937</v>
          </cell>
        </row>
        <row r="15">
          <cell r="B15">
            <v>94664</v>
          </cell>
          <cell r="C15" t="str">
            <v>La Vache Quirit 32 Portion</v>
          </cell>
          <cell r="D15" t="str">
            <v>16 x 480gms</v>
          </cell>
          <cell r="E15">
            <v>16</v>
          </cell>
          <cell r="F15">
            <v>1.619</v>
          </cell>
          <cell r="G15">
            <v>3073780593083</v>
          </cell>
          <cell r="H15">
            <v>23.103999999999999</v>
          </cell>
          <cell r="I15">
            <v>3073780830684</v>
          </cell>
          <cell r="J15">
            <v>94664</v>
          </cell>
          <cell r="K15" t="str">
            <v/>
          </cell>
          <cell r="L15" t="e">
            <v>#REF!</v>
          </cell>
          <cell r="N15">
            <v>138938</v>
          </cell>
        </row>
        <row r="16">
          <cell r="B16">
            <v>268317</v>
          </cell>
          <cell r="C16" t="str">
            <v>La Vache Quirit 48 Portion</v>
          </cell>
          <cell r="D16" t="str">
            <v>8 x 720gms</v>
          </cell>
          <cell r="E16">
            <v>8</v>
          </cell>
          <cell r="F16">
            <v>2.37</v>
          </cell>
          <cell r="G16">
            <v>3073781048957</v>
          </cell>
          <cell r="H16">
            <v>16.911999999999999</v>
          </cell>
          <cell r="I16">
            <v>3073781061901</v>
          </cell>
          <cell r="J16">
            <v>268317</v>
          </cell>
          <cell r="K16" t="str">
            <v/>
          </cell>
          <cell r="L16" t="e">
            <v>#REF!</v>
          </cell>
          <cell r="N16">
            <v>327491</v>
          </cell>
        </row>
        <row r="17">
          <cell r="B17">
            <v>94595</v>
          </cell>
          <cell r="C17" t="str">
            <v>Regal Picon 2x32p - 10% off</v>
          </cell>
          <cell r="D17" t="str">
            <v>2 x 8 x 480gms</v>
          </cell>
          <cell r="E17">
            <v>8</v>
          </cell>
          <cell r="F17">
            <v>2.4710000000000001</v>
          </cell>
          <cell r="G17">
            <v>3073781053616</v>
          </cell>
          <cell r="H17">
            <v>17.64</v>
          </cell>
          <cell r="I17"/>
          <cell r="J17">
            <v>94595</v>
          </cell>
          <cell r="K17" t="str">
            <v/>
          </cell>
          <cell r="L17" t="e">
            <v>#REF!</v>
          </cell>
          <cell r="N17">
            <v>138939</v>
          </cell>
        </row>
        <row r="18">
          <cell r="B18">
            <v>155145</v>
          </cell>
          <cell r="C18" t="str">
            <v>Regal Picon 40p - (5x8p)</v>
          </cell>
          <cell r="D18" t="str">
            <v>5 x 8 x 120gms</v>
          </cell>
          <cell r="E18">
            <v>8</v>
          </cell>
          <cell r="F18">
            <v>1.585</v>
          </cell>
          <cell r="G18">
            <v>3073781059793</v>
          </cell>
          <cell r="H18">
            <v>11.311999999999999</v>
          </cell>
          <cell r="I18"/>
          <cell r="J18">
            <v>155145</v>
          </cell>
          <cell r="K18" t="str">
            <v/>
          </cell>
          <cell r="L18" t="e">
            <v>#REF!</v>
          </cell>
          <cell r="N18">
            <v>138942</v>
          </cell>
        </row>
        <row r="19">
          <cell r="B19">
            <v>155146</v>
          </cell>
          <cell r="C19" t="str">
            <v>Les Enfants 40p - (5x8p)</v>
          </cell>
          <cell r="D19" t="str">
            <v>5 x 8 x 120gms</v>
          </cell>
          <cell r="E19">
            <v>8</v>
          </cell>
          <cell r="F19">
            <v>1.5669999999999999</v>
          </cell>
          <cell r="G19">
            <v>3073780959704</v>
          </cell>
          <cell r="H19">
            <v>11.183999999999999</v>
          </cell>
          <cell r="I19"/>
          <cell r="J19">
            <v>155146</v>
          </cell>
          <cell r="K19" t="str">
            <v/>
          </cell>
          <cell r="L19" t="e">
            <v>#REF!</v>
          </cell>
          <cell r="N19">
            <v>252583</v>
          </cell>
        </row>
        <row r="20">
          <cell r="B20">
            <v>182808</v>
          </cell>
          <cell r="C20" t="str">
            <v>Kiri 6 Portion</v>
          </cell>
          <cell r="D20" t="str">
            <v>60 x 108gms</v>
          </cell>
          <cell r="E20">
            <v>60</v>
          </cell>
          <cell r="F20">
            <v>0.51500000000000001</v>
          </cell>
          <cell r="G20">
            <v>3073780839631</v>
          </cell>
          <cell r="H20">
            <v>27.720000000000002</v>
          </cell>
          <cell r="I20">
            <v>3073780811309</v>
          </cell>
          <cell r="J20">
            <v>182808</v>
          </cell>
          <cell r="K20" t="str">
            <v/>
          </cell>
          <cell r="L20" t="e">
            <v>#REF!</v>
          </cell>
          <cell r="N20">
            <v>308536</v>
          </cell>
        </row>
        <row r="21">
          <cell r="B21">
            <v>182809</v>
          </cell>
          <cell r="C21" t="str">
            <v>Kiri 12 Portion</v>
          </cell>
          <cell r="D21" t="str">
            <v>40 x 216gms</v>
          </cell>
          <cell r="E21">
            <v>40</v>
          </cell>
          <cell r="F21">
            <v>0.96299999999999997</v>
          </cell>
          <cell r="G21">
            <v>3073780624435</v>
          </cell>
          <cell r="H21">
            <v>34.519999999999996</v>
          </cell>
          <cell r="I21">
            <v>3073780858724</v>
          </cell>
          <cell r="J21">
            <v>182809</v>
          </cell>
          <cell r="K21" t="str">
            <v/>
          </cell>
          <cell r="L21" t="e">
            <v>#REF!</v>
          </cell>
          <cell r="N21">
            <v>138949</v>
          </cell>
        </row>
        <row r="22">
          <cell r="B22">
            <v>94714</v>
          </cell>
          <cell r="C22" t="str">
            <v>Kiri 24 Portion</v>
          </cell>
          <cell r="D22" t="str">
            <v>16 x 432gms</v>
          </cell>
          <cell r="E22">
            <v>16</v>
          </cell>
          <cell r="F22">
            <v>1.8939999999999999</v>
          </cell>
          <cell r="G22">
            <v>3073780767897</v>
          </cell>
          <cell r="H22">
            <v>27.167999999999999</v>
          </cell>
          <cell r="I22">
            <v>3073780858731</v>
          </cell>
          <cell r="J22">
            <v>94714</v>
          </cell>
          <cell r="K22" t="str">
            <v/>
          </cell>
          <cell r="L22" t="e">
            <v>#REF!</v>
          </cell>
          <cell r="N22">
            <v>138950</v>
          </cell>
        </row>
        <row r="23">
          <cell r="B23">
            <v>312609</v>
          </cell>
          <cell r="C23" t="str">
            <v>KIRI GREEK STYLE 6 PORTION 100G</v>
          </cell>
          <cell r="D23" t="str">
            <v>40 x 100gms</v>
          </cell>
          <cell r="E23">
            <v>40</v>
          </cell>
          <cell r="F23">
            <v>0.60699999999999998</v>
          </cell>
          <cell r="G23">
            <v>3073781141382</v>
          </cell>
          <cell r="H23">
            <v>21.76</v>
          </cell>
          <cell r="I23">
            <v>3073781141399</v>
          </cell>
          <cell r="J23">
            <v>312609</v>
          </cell>
          <cell r="K23" t="str">
            <v/>
          </cell>
          <cell r="L23" t="e">
            <v>#REF!</v>
          </cell>
          <cell r="N23">
            <v>138948</v>
          </cell>
        </row>
        <row r="24">
          <cell r="B24">
            <v>312610</v>
          </cell>
          <cell r="C24" t="str">
            <v>KIRI GREEK STYLE 24 PORTION 400G</v>
          </cell>
          <cell r="D24" t="str">
            <v>16 x 400gms</v>
          </cell>
          <cell r="E24">
            <v>16</v>
          </cell>
          <cell r="F24">
            <v>2.1749999999999998</v>
          </cell>
          <cell r="G24">
            <v>3073781141368</v>
          </cell>
          <cell r="H24">
            <v>31.2</v>
          </cell>
          <cell r="I24">
            <v>3073781141375</v>
          </cell>
          <cell r="J24">
            <v>312610</v>
          </cell>
          <cell r="K24" t="str">
            <v/>
          </cell>
          <cell r="L24" t="e">
            <v>#REF!</v>
          </cell>
          <cell r="N24">
            <v>183930</v>
          </cell>
        </row>
        <row r="25">
          <cell r="B25">
            <v>195540</v>
          </cell>
          <cell r="C25" t="str">
            <v>Kiri 5x6p - 15% off</v>
          </cell>
          <cell r="D25" t="str">
            <v>5 x 12 x 108gms</v>
          </cell>
          <cell r="E25">
            <v>12</v>
          </cell>
          <cell r="F25">
            <v>2.19</v>
          </cell>
          <cell r="G25">
            <v>3073781053555</v>
          </cell>
          <cell r="H25">
            <v>23.567999999999998</v>
          </cell>
          <cell r="I25" t="str">
            <v>N/A</v>
          </cell>
          <cell r="J25">
            <v>195540</v>
          </cell>
          <cell r="K25" t="str">
            <v/>
          </cell>
          <cell r="L25" t="e">
            <v>#REF!</v>
          </cell>
          <cell r="N25">
            <v>184051</v>
          </cell>
        </row>
        <row r="26">
          <cell r="B26">
            <v>94715</v>
          </cell>
          <cell r="C26" t="str">
            <v>Kiri 2x24p - 10% off</v>
          </cell>
          <cell r="D26" t="str">
            <v>2 x 8 x 432gms</v>
          </cell>
          <cell r="E26">
            <v>8</v>
          </cell>
          <cell r="F26">
            <v>3.41</v>
          </cell>
          <cell r="G26">
            <v>3073781053586</v>
          </cell>
          <cell r="H26">
            <v>24.463999999999999</v>
          </cell>
          <cell r="I26" t="str">
            <v>N/A</v>
          </cell>
          <cell r="J26">
            <v>94715</v>
          </cell>
          <cell r="K26" t="str">
            <v/>
          </cell>
          <cell r="L26" t="e">
            <v>#REF!</v>
          </cell>
          <cell r="N26">
            <v>271358</v>
          </cell>
        </row>
        <row r="27">
          <cell r="B27">
            <v>195536</v>
          </cell>
          <cell r="C27" t="str">
            <v>Kiri 3x12p - 15% off</v>
          </cell>
          <cell r="D27" t="str">
            <v>3 x 12 x 216gms</v>
          </cell>
          <cell r="E27">
            <v>12</v>
          </cell>
          <cell r="F27">
            <v>2.444</v>
          </cell>
          <cell r="G27">
            <v>3073781053562</v>
          </cell>
          <cell r="H27">
            <v>26.400000000000002</v>
          </cell>
          <cell r="I27" t="str">
            <v>N/A</v>
          </cell>
          <cell r="J27">
            <v>195536</v>
          </cell>
          <cell r="K27" t="str">
            <v/>
          </cell>
          <cell r="L27" t="e">
            <v>#REF!</v>
          </cell>
          <cell r="N27">
            <v>271359</v>
          </cell>
        </row>
        <row r="28">
          <cell r="B28">
            <v>114598</v>
          </cell>
          <cell r="C28" t="str">
            <v>Regal Picon Slice Cheddar 200g</v>
          </cell>
          <cell r="D28" t="str">
            <v>24 x 200gms</v>
          </cell>
          <cell r="E28">
            <v>24</v>
          </cell>
          <cell r="F28">
            <v>0.754</v>
          </cell>
          <cell r="G28">
            <v>3073780998338</v>
          </cell>
          <cell r="H28">
            <v>16.224</v>
          </cell>
          <cell r="I28">
            <v>3073780998345</v>
          </cell>
          <cell r="J28">
            <v>114598</v>
          </cell>
          <cell r="K28" t="str">
            <v/>
          </cell>
          <cell r="L28" t="e">
            <v>#REF!</v>
          </cell>
          <cell r="N28">
            <v>309760</v>
          </cell>
        </row>
        <row r="29">
          <cell r="B29">
            <v>114599</v>
          </cell>
          <cell r="C29" t="str">
            <v>Regal Picon Slice Burger 200g</v>
          </cell>
          <cell r="D29" t="str">
            <v>24 x 200gms</v>
          </cell>
          <cell r="E29">
            <v>24</v>
          </cell>
          <cell r="F29">
            <v>0.754</v>
          </cell>
          <cell r="G29">
            <v>3073780998352</v>
          </cell>
          <cell r="H29">
            <v>16.224</v>
          </cell>
          <cell r="I29">
            <v>3073780998369</v>
          </cell>
          <cell r="J29">
            <v>114599</v>
          </cell>
          <cell r="K29" t="str">
            <v/>
          </cell>
          <cell r="L29" t="e">
            <v>#REF!</v>
          </cell>
          <cell r="N29">
            <v>309771</v>
          </cell>
        </row>
        <row r="30">
          <cell r="B30">
            <v>114600</v>
          </cell>
          <cell r="C30" t="str">
            <v>Regal Picon Slice Cheddar Family 400g</v>
          </cell>
          <cell r="D30" t="str">
            <v>16 x 400gms</v>
          </cell>
          <cell r="E30">
            <v>16</v>
          </cell>
          <cell r="F30">
            <v>1.508</v>
          </cell>
          <cell r="G30">
            <v>3073780998376</v>
          </cell>
          <cell r="H30">
            <v>21.632000000000001</v>
          </cell>
          <cell r="I30">
            <v>3073780998383</v>
          </cell>
          <cell r="J30">
            <v>114600</v>
          </cell>
          <cell r="K30" t="str">
            <v/>
          </cell>
          <cell r="L30" t="e">
            <v>#REF!</v>
          </cell>
          <cell r="N30">
            <v>351374</v>
          </cell>
        </row>
        <row r="31">
          <cell r="B31">
            <v>94671</v>
          </cell>
          <cell r="C31" t="str">
            <v>La Vache Quirit Slice Cheddar 200g</v>
          </cell>
          <cell r="D31" t="str">
            <v>32 x 200gms</v>
          </cell>
          <cell r="E31">
            <v>32</v>
          </cell>
          <cell r="F31">
            <v>0.74</v>
          </cell>
          <cell r="G31">
            <v>3073780450461</v>
          </cell>
          <cell r="H31">
            <v>21.248000000000001</v>
          </cell>
          <cell r="I31">
            <v>3073780985628</v>
          </cell>
          <cell r="J31">
            <v>94671</v>
          </cell>
          <cell r="K31" t="str">
            <v/>
          </cell>
          <cell r="L31" t="e">
            <v>#REF!</v>
          </cell>
          <cell r="N31">
            <v>229190</v>
          </cell>
        </row>
        <row r="32">
          <cell r="B32">
            <v>94674</v>
          </cell>
          <cell r="C32" t="str">
            <v>La Vache Quirit Slice Burger 200g</v>
          </cell>
          <cell r="D32" t="str">
            <v>32 x 200gms</v>
          </cell>
          <cell r="E32">
            <v>32</v>
          </cell>
          <cell r="F32">
            <v>0.74</v>
          </cell>
          <cell r="G32">
            <v>3073780985581</v>
          </cell>
          <cell r="H32">
            <v>21.248000000000001</v>
          </cell>
          <cell r="I32">
            <v>3073780985598</v>
          </cell>
          <cell r="J32">
            <v>94674</v>
          </cell>
          <cell r="K32" t="str">
            <v/>
          </cell>
          <cell r="L32" t="e">
            <v>#REF!</v>
          </cell>
          <cell r="N32">
            <v>229392</v>
          </cell>
        </row>
        <row r="33">
          <cell r="B33">
            <v>94698</v>
          </cell>
          <cell r="C33" t="str">
            <v>La Vache Quirit Slice Sandwich 200g</v>
          </cell>
          <cell r="D33" t="str">
            <v>32 x 200gms</v>
          </cell>
          <cell r="E33">
            <v>32</v>
          </cell>
          <cell r="F33">
            <v>0.74</v>
          </cell>
          <cell r="G33">
            <v>3073780450386</v>
          </cell>
          <cell r="H33">
            <v>21.248000000000001</v>
          </cell>
          <cell r="I33">
            <v>3073780985635</v>
          </cell>
          <cell r="J33">
            <v>94698</v>
          </cell>
          <cell r="K33" t="str">
            <v/>
          </cell>
          <cell r="L33" t="e">
            <v>#REF!</v>
          </cell>
          <cell r="N33">
            <v>229393</v>
          </cell>
        </row>
        <row r="34">
          <cell r="B34">
            <v>94693</v>
          </cell>
          <cell r="C34" t="str">
            <v>La Vache Quirit Slice Light 200g</v>
          </cell>
          <cell r="D34" t="str">
            <v>32 x 200gms</v>
          </cell>
          <cell r="E34">
            <v>32</v>
          </cell>
          <cell r="F34">
            <v>0.74</v>
          </cell>
          <cell r="G34">
            <v>3073780543989</v>
          </cell>
          <cell r="H34">
            <v>21.248000000000001</v>
          </cell>
          <cell r="I34">
            <v>3073780985642</v>
          </cell>
          <cell r="J34">
            <v>94693</v>
          </cell>
          <cell r="K34" t="str">
            <v/>
          </cell>
          <cell r="L34" t="e">
            <v>#REF!</v>
          </cell>
          <cell r="N34">
            <v>229186</v>
          </cell>
        </row>
        <row r="35">
          <cell r="B35">
            <v>94672</v>
          </cell>
          <cell r="C35" t="str">
            <v>La Vache Quirit Slice Cheddar Family 480g</v>
          </cell>
          <cell r="D35" t="str">
            <v>12 x 480gms</v>
          </cell>
          <cell r="E35">
            <v>12</v>
          </cell>
          <cell r="F35">
            <v>1.643</v>
          </cell>
          <cell r="G35">
            <v>3073780985604</v>
          </cell>
          <cell r="H35">
            <v>17.676000000000002</v>
          </cell>
          <cell r="I35">
            <v>3073780985611</v>
          </cell>
          <cell r="J35">
            <v>94672</v>
          </cell>
          <cell r="K35" t="str">
            <v/>
          </cell>
          <cell r="L35" t="e">
            <v>#REF!</v>
          </cell>
          <cell r="N35">
            <v>229187</v>
          </cell>
        </row>
        <row r="36">
          <cell r="B36">
            <v>318173</v>
          </cell>
          <cell r="C36" t="str">
            <v>La Vache Quirit Slice Light Family 480g</v>
          </cell>
          <cell r="D36" t="str">
            <v>12 x 480gms</v>
          </cell>
          <cell r="E36">
            <v>12</v>
          </cell>
          <cell r="F36">
            <v>1.643</v>
          </cell>
          <cell r="G36">
            <v>3073780999816</v>
          </cell>
          <cell r="H36">
            <v>17.676000000000002</v>
          </cell>
          <cell r="I36">
            <v>3073780999823</v>
          </cell>
          <cell r="J36">
            <v>318173</v>
          </cell>
          <cell r="K36" t="str">
            <v/>
          </cell>
          <cell r="L36" t="e">
            <v>#REF!</v>
          </cell>
          <cell r="N36">
            <v>229189</v>
          </cell>
        </row>
        <row r="37">
          <cell r="B37">
            <v>312611</v>
          </cell>
          <cell r="C37" t="str">
            <v>KIRI GREEK TUB 200G (X18)</v>
          </cell>
          <cell r="D37" t="str">
            <v>18 x 200gms</v>
          </cell>
          <cell r="E37">
            <v>18</v>
          </cell>
          <cell r="F37">
            <v>0.92</v>
          </cell>
          <cell r="G37">
            <v>3073781141429</v>
          </cell>
          <cell r="H37">
            <v>14.85</v>
          </cell>
          <cell r="I37">
            <v>3073781141436</v>
          </cell>
          <cell r="J37">
            <v>312611</v>
          </cell>
          <cell r="K37" t="str">
            <v/>
          </cell>
          <cell r="L37" t="e">
            <v>#REF!</v>
          </cell>
          <cell r="N37">
            <v>176198</v>
          </cell>
        </row>
        <row r="38">
          <cell r="B38">
            <v>312612</v>
          </cell>
          <cell r="C38" t="str">
            <v>KIRI GREEK TUB 500G (X8)</v>
          </cell>
          <cell r="D38" t="str">
            <v>8 x 500gms</v>
          </cell>
          <cell r="E38">
            <v>8</v>
          </cell>
          <cell r="F38">
            <v>1.9550000000000001</v>
          </cell>
          <cell r="G38">
            <v>3073781141443</v>
          </cell>
          <cell r="H38">
            <v>14.023999999999999</v>
          </cell>
          <cell r="I38">
            <v>3073781141450</v>
          </cell>
          <cell r="J38">
            <v>312612</v>
          </cell>
          <cell r="K38" t="str">
            <v/>
          </cell>
          <cell r="L38" t="e">
            <v>#REF!</v>
          </cell>
          <cell r="N38">
            <v>176199</v>
          </cell>
        </row>
        <row r="39">
          <cell r="B39">
            <v>194958</v>
          </cell>
          <cell r="C39" t="str">
            <v>KIRI TUB 200G</v>
          </cell>
          <cell r="D39" t="str">
            <v>18 x 200gms</v>
          </cell>
          <cell r="E39">
            <v>18</v>
          </cell>
          <cell r="F39">
            <v>0.80600000000000005</v>
          </cell>
          <cell r="G39">
            <v>1800000007721</v>
          </cell>
          <cell r="H39">
            <v>13.013999999999999</v>
          </cell>
          <cell r="I39">
            <v>3073781010732</v>
          </cell>
          <cell r="J39">
            <v>194958</v>
          </cell>
          <cell r="K39" t="str">
            <v/>
          </cell>
          <cell r="L39" t="e">
            <v>#REF!</v>
          </cell>
          <cell r="N39">
            <v>176200</v>
          </cell>
        </row>
        <row r="40">
          <cell r="B40">
            <v>293030</v>
          </cell>
          <cell r="C40" t="str">
            <v>KIRI TUB 350G (X12)</v>
          </cell>
          <cell r="D40" t="str">
            <v>12 x 350gms</v>
          </cell>
          <cell r="E40">
            <v>12</v>
          </cell>
          <cell r="F40">
            <v>1.3260000000000001</v>
          </cell>
          <cell r="G40">
            <v>1800000007738</v>
          </cell>
          <cell r="H40">
            <v>14.268000000000001</v>
          </cell>
          <cell r="I40">
            <v>3073781010756</v>
          </cell>
          <cell r="J40">
            <v>293030</v>
          </cell>
          <cell r="K40" t="str">
            <v/>
          </cell>
          <cell r="L40" t="e">
            <v>#REF!</v>
          </cell>
          <cell r="N40">
            <v>176201</v>
          </cell>
        </row>
        <row r="41">
          <cell r="B41">
            <v>293031</v>
          </cell>
          <cell r="C41" t="str">
            <v>KIRI TUB 500G (X8)</v>
          </cell>
          <cell r="D41" t="str">
            <v>8 x 500gms</v>
          </cell>
          <cell r="E41">
            <v>8</v>
          </cell>
          <cell r="F41">
            <v>1.73</v>
          </cell>
          <cell r="G41">
            <v>1800000007745</v>
          </cell>
          <cell r="H41">
            <v>12.407999999999999</v>
          </cell>
          <cell r="I41">
            <v>3073781058833</v>
          </cell>
          <cell r="J41">
            <v>293031</v>
          </cell>
          <cell r="K41" t="str">
            <v/>
          </cell>
          <cell r="L41" t="e">
            <v>#REF!</v>
          </cell>
          <cell r="N41">
            <v>374046</v>
          </cell>
        </row>
        <row r="42">
          <cell r="B42">
            <v>194963</v>
          </cell>
          <cell r="C42" t="str">
            <v>La Vache Quirit Dipper 4’s</v>
          </cell>
          <cell r="D42" t="str">
            <v>12 x 140gms</v>
          </cell>
          <cell r="E42">
            <v>12</v>
          </cell>
          <cell r="F42">
            <v>1.0349999999999999</v>
          </cell>
          <cell r="G42">
            <v>3073780810661</v>
          </cell>
          <cell r="H42">
            <v>11.136000000000001</v>
          </cell>
          <cell r="I42">
            <v>3073780829311</v>
          </cell>
          <cell r="J42">
            <v>194963</v>
          </cell>
          <cell r="K42" t="str">
            <v/>
          </cell>
          <cell r="L42" t="e">
            <v>#REF!</v>
          </cell>
          <cell r="N42">
            <v>176206</v>
          </cell>
        </row>
        <row r="43">
          <cell r="B43">
            <v>194964</v>
          </cell>
          <cell r="C43" t="str">
            <v>La Vache Quirit Dipper 8’s</v>
          </cell>
          <cell r="D43" t="str">
            <v>12 x 280gms</v>
          </cell>
          <cell r="E43">
            <v>12</v>
          </cell>
          <cell r="F43" t="e">
            <v>#N/A</v>
          </cell>
          <cell r="G43">
            <v>3073781009842</v>
          </cell>
          <cell r="H43">
            <v>20.423999999999999</v>
          </cell>
          <cell r="I43">
            <v>3073781040777</v>
          </cell>
          <cell r="J43">
            <v>194964</v>
          </cell>
          <cell r="K43" t="str">
            <v/>
          </cell>
          <cell r="L43" t="e">
            <v>#REF!</v>
          </cell>
          <cell r="N43">
            <v>176207</v>
          </cell>
        </row>
        <row r="44">
          <cell r="B44">
            <v>309827</v>
          </cell>
          <cell r="C44" t="str">
            <v>LA VACHE QUIRIT DIPPER (Solo) 35G</v>
          </cell>
          <cell r="D44" t="str">
            <v>20 x 35gms</v>
          </cell>
          <cell r="E44">
            <v>20</v>
          </cell>
          <cell r="F44" t="e">
            <v>#N/A</v>
          </cell>
          <cell r="G44">
            <v>30087798</v>
          </cell>
          <cell r="H44">
            <v>4.26</v>
          </cell>
          <cell r="I44">
            <v>3073780850643</v>
          </cell>
          <cell r="J44">
            <v>309827</v>
          </cell>
          <cell r="K44" t="str">
            <v/>
          </cell>
          <cell r="L44" t="e">
            <v>#REF!</v>
          </cell>
          <cell r="N44">
            <v>176210</v>
          </cell>
        </row>
        <row r="45">
          <cell r="B45">
            <v>213406</v>
          </cell>
          <cell r="C45" t="str">
            <v>Kiri Dipper 4’s</v>
          </cell>
          <cell r="D45" t="str">
            <v>12 x 140gms</v>
          </cell>
          <cell r="E45">
            <v>12</v>
          </cell>
          <cell r="F45" t="e">
            <v>#N/A</v>
          </cell>
          <cell r="G45">
            <v>3073781058628</v>
          </cell>
          <cell r="H45">
            <v>11.7</v>
          </cell>
          <cell r="I45">
            <v>3073781065060</v>
          </cell>
          <cell r="J45">
            <v>213406</v>
          </cell>
          <cell r="K45" t="str">
            <v/>
          </cell>
          <cell r="L45" t="e">
            <v>#REF!</v>
          </cell>
          <cell r="N45">
            <v>176208</v>
          </cell>
        </row>
        <row r="46">
          <cell r="B46">
            <v>214355</v>
          </cell>
          <cell r="C46" t="str">
            <v>Babybel Maxi 200g (x8)</v>
          </cell>
          <cell r="D46" t="str">
            <v>8 x 200gms</v>
          </cell>
          <cell r="E46">
            <v>8</v>
          </cell>
          <cell r="F46">
            <v>1.4179999999999999</v>
          </cell>
          <cell r="G46">
            <v>3073780460262</v>
          </cell>
          <cell r="H46">
            <v>10.167999999999999</v>
          </cell>
          <cell r="I46">
            <v>3073781065435</v>
          </cell>
          <cell r="J46">
            <v>214355</v>
          </cell>
          <cell r="K46" t="str">
            <v/>
          </cell>
          <cell r="L46" t="e">
            <v>#REF!</v>
          </cell>
          <cell r="N46">
            <v>363700</v>
          </cell>
        </row>
        <row r="47">
          <cell r="B47">
            <v>94730</v>
          </cell>
          <cell r="C47" t="str">
            <v>Babybel Mini Original 100g</v>
          </cell>
          <cell r="D47" t="str">
            <v>12 x 100gms</v>
          </cell>
          <cell r="E47">
            <v>12</v>
          </cell>
          <cell r="F47">
            <v>1.1599999999999999</v>
          </cell>
          <cell r="G47">
            <v>3073780968508</v>
          </cell>
          <cell r="H47">
            <v>12.48</v>
          </cell>
          <cell r="I47">
            <v>3073780969680</v>
          </cell>
          <cell r="J47">
            <v>94730</v>
          </cell>
          <cell r="K47" t="str">
            <v/>
          </cell>
          <cell r="L47" t="e">
            <v>#REF!</v>
          </cell>
          <cell r="N47">
            <v>181554</v>
          </cell>
        </row>
        <row r="48">
          <cell r="B48">
            <v>94734</v>
          </cell>
          <cell r="C48" t="str">
            <v>Babybel Mini Light 100g</v>
          </cell>
          <cell r="D48" t="str">
            <v>12 x 100gms</v>
          </cell>
          <cell r="E48">
            <v>12</v>
          </cell>
          <cell r="F48">
            <v>1.1599999999999999</v>
          </cell>
          <cell r="G48">
            <v>3073780965828</v>
          </cell>
          <cell r="H48">
            <v>12.48</v>
          </cell>
          <cell r="I48">
            <v>3073780965835</v>
          </cell>
          <cell r="J48">
            <v>94734</v>
          </cell>
          <cell r="K48" t="str">
            <v/>
          </cell>
          <cell r="L48" t="e">
            <v>#REF!</v>
          </cell>
          <cell r="N48">
            <v>181557</v>
          </cell>
        </row>
        <row r="49">
          <cell r="B49">
            <v>94733</v>
          </cell>
          <cell r="C49" t="str">
            <v>Babybel Mini Cheddar 100g</v>
          </cell>
          <cell r="D49" t="str">
            <v>12 x 100gms</v>
          </cell>
          <cell r="E49">
            <v>12</v>
          </cell>
          <cell r="F49">
            <v>1.1599999999999999</v>
          </cell>
          <cell r="G49">
            <v>3073780965729</v>
          </cell>
          <cell r="H49">
            <v>12.48</v>
          </cell>
          <cell r="I49">
            <v>3073780965736</v>
          </cell>
          <cell r="J49">
            <v>94733</v>
          </cell>
          <cell r="K49" t="str">
            <v/>
          </cell>
          <cell r="L49" t="e">
            <v>#REF!</v>
          </cell>
          <cell r="N49">
            <v>181558</v>
          </cell>
        </row>
        <row r="50">
          <cell r="B50">
            <v>215668</v>
          </cell>
          <cell r="C50" t="str">
            <v>Kiri Labneh 200g</v>
          </cell>
          <cell r="D50" t="str">
            <v>18 x 200gms</v>
          </cell>
          <cell r="E50">
            <v>18</v>
          </cell>
          <cell r="F50">
            <v>0.748</v>
          </cell>
          <cell r="G50">
            <v>3073780984492</v>
          </cell>
          <cell r="H50">
            <v>12.078000000000001</v>
          </cell>
          <cell r="I50">
            <v>3073781063059</v>
          </cell>
          <cell r="J50">
            <v>215668</v>
          </cell>
          <cell r="K50" t="str">
            <v/>
          </cell>
          <cell r="L50" t="e">
            <v>#REF!</v>
          </cell>
          <cell r="N50">
            <v>181559</v>
          </cell>
        </row>
        <row r="51">
          <cell r="B51">
            <v>293034</v>
          </cell>
          <cell r="C51" t="str">
            <v>NEW Kiri Labneh 350g</v>
          </cell>
          <cell r="D51" t="str">
            <v>9 x 350gms</v>
          </cell>
          <cell r="E51">
            <v>12</v>
          </cell>
          <cell r="F51" t="e">
            <v>#N/A</v>
          </cell>
          <cell r="G51">
            <v>3073780984515</v>
          </cell>
          <cell r="H51">
            <v>13.86</v>
          </cell>
          <cell r="I51">
            <v>3073781063066</v>
          </cell>
          <cell r="J51">
            <v>293034</v>
          </cell>
          <cell r="K51" t="str">
            <v/>
          </cell>
          <cell r="L51" t="e">
            <v>#REF!</v>
          </cell>
          <cell r="N51">
            <v>329171</v>
          </cell>
        </row>
        <row r="52">
          <cell r="B52">
            <v>293035</v>
          </cell>
          <cell r="C52" t="str">
            <v>NEW Kiri Labneh 500g</v>
          </cell>
          <cell r="D52" t="str">
            <v>9 x 500gms</v>
          </cell>
          <cell r="E52">
            <v>8</v>
          </cell>
          <cell r="F52">
            <v>1.6739999999999999</v>
          </cell>
          <cell r="G52">
            <v>3073781062762</v>
          </cell>
          <cell r="H52">
            <v>12.007999999999999</v>
          </cell>
          <cell r="I52">
            <v>3073781063073</v>
          </cell>
          <cell r="J52">
            <v>293035</v>
          </cell>
          <cell r="K52" t="str">
            <v/>
          </cell>
          <cell r="L52" t="e">
            <v>#REF!</v>
          </cell>
          <cell r="N52">
            <v>329172</v>
          </cell>
        </row>
        <row r="53">
          <cell r="B53">
            <v>293087</v>
          </cell>
          <cell r="C53" t="str">
            <v>REGAL PICON WHITE JAR- 240G</v>
          </cell>
          <cell r="D53" t="str">
            <v>24 x 240gms</v>
          </cell>
          <cell r="E53">
            <v>24</v>
          </cell>
          <cell r="F53">
            <v>0.84799999999999998</v>
          </cell>
          <cell r="G53">
            <v>3073781125627</v>
          </cell>
          <cell r="H53">
            <v>18.096</v>
          </cell>
          <cell r="I53">
            <v>3073781125597</v>
          </cell>
          <cell r="J53">
            <v>293087</v>
          </cell>
          <cell r="K53" t="str">
            <v/>
          </cell>
          <cell r="L53" t="e">
            <v>#REF!</v>
          </cell>
          <cell r="N53">
            <v>255466</v>
          </cell>
        </row>
        <row r="54">
          <cell r="B54">
            <v>293088</v>
          </cell>
          <cell r="C54" t="str">
            <v>REGAL PICON WHITE JAR- 500G</v>
          </cell>
          <cell r="D54" t="str">
            <v>12 x 500gms</v>
          </cell>
          <cell r="E54">
            <v>12</v>
          </cell>
          <cell r="F54">
            <v>1.667</v>
          </cell>
          <cell r="G54">
            <v>3073781125634</v>
          </cell>
          <cell r="H54">
            <v>17.783999999999999</v>
          </cell>
          <cell r="I54">
            <v>3073781125603</v>
          </cell>
          <cell r="J54">
            <v>293088</v>
          </cell>
          <cell r="K54" t="str">
            <v/>
          </cell>
          <cell r="L54" t="e">
            <v>#REF!</v>
          </cell>
          <cell r="N54">
            <v>255467</v>
          </cell>
        </row>
        <row r="55">
          <cell r="B55">
            <v>293293</v>
          </cell>
          <cell r="C55" t="str">
            <v>REGAL PICON WHITE JAR- 900G</v>
          </cell>
          <cell r="D55" t="str">
            <v>6 x 900gms</v>
          </cell>
          <cell r="E55">
            <v>6</v>
          </cell>
          <cell r="F55">
            <v>2.7679999999999998</v>
          </cell>
          <cell r="G55">
            <v>3073781125641</v>
          </cell>
          <cell r="H55">
            <v>14.765999999999998</v>
          </cell>
          <cell r="I55">
            <v>3073781125610</v>
          </cell>
          <cell r="J55">
            <v>293293</v>
          </cell>
          <cell r="K55" t="str">
            <v/>
          </cell>
          <cell r="L55" t="e">
            <v>#REF!</v>
          </cell>
          <cell r="N55">
            <v>324335</v>
          </cell>
        </row>
        <row r="56">
          <cell r="B56">
            <v>293294</v>
          </cell>
          <cell r="C56" t="str">
            <v>REGAL PICON WHITE JAR(2x500G)- 20% off</v>
          </cell>
          <cell r="D56" t="str">
            <v>6 x 2x500gms</v>
          </cell>
          <cell r="E56">
            <v>6</v>
          </cell>
          <cell r="F56">
            <v>2.6659999999999999</v>
          </cell>
          <cell r="G56">
            <v>3073781134537</v>
          </cell>
          <cell r="H56">
            <v>14.225999999999999</v>
          </cell>
          <cell r="I56">
            <v>3073781134544</v>
          </cell>
          <cell r="J56">
            <v>293294</v>
          </cell>
          <cell r="K56" t="str">
            <v/>
          </cell>
          <cell r="L56" t="e">
            <v>#REF!</v>
          </cell>
          <cell r="N56">
            <v>324336</v>
          </cell>
        </row>
        <row r="57">
          <cell r="B57">
            <v>293732</v>
          </cell>
          <cell r="C57" t="str">
            <v>REGAL PICON WHITE JAR 2X900G- 15% off</v>
          </cell>
          <cell r="D57" t="str">
            <v>3x2x900gms</v>
          </cell>
          <cell r="E57">
            <v>3</v>
          </cell>
          <cell r="F57">
            <v>4.7050000000000001</v>
          </cell>
          <cell r="G57">
            <v>3073781134193</v>
          </cell>
          <cell r="H57">
            <v>12.552</v>
          </cell>
          <cell r="I57" t="str">
            <v>307378 1134551</v>
          </cell>
          <cell r="J57">
            <v>293732</v>
          </cell>
          <cell r="K57" t="str">
            <v/>
          </cell>
          <cell r="L57" t="e">
            <v>#REF!</v>
          </cell>
          <cell r="N57">
            <v>234074</v>
          </cell>
        </row>
        <row r="58">
          <cell r="B58">
            <v>194957</v>
          </cell>
          <cell r="C58" t="str">
            <v>KIRI BLOCK 1KG</v>
          </cell>
          <cell r="D58" t="str">
            <v>12x1000gms</v>
          </cell>
          <cell r="E58">
            <v>12</v>
          </cell>
          <cell r="F58">
            <v>3.9689999999999999</v>
          </cell>
          <cell r="G58">
            <v>3073780853545</v>
          </cell>
          <cell r="H58">
            <v>42.707999999999998</v>
          </cell>
          <cell r="I58">
            <v>3073780853552</v>
          </cell>
          <cell r="J58">
            <v>194957</v>
          </cell>
          <cell r="K58" t="str">
            <v/>
          </cell>
          <cell r="L58" t="e">
            <v>#REF!</v>
          </cell>
          <cell r="N58">
            <v>234075</v>
          </cell>
        </row>
        <row r="59">
          <cell r="B59">
            <v>308347</v>
          </cell>
          <cell r="C59" t="str">
            <v>KIRI BLOCK 200G (X30)</v>
          </cell>
          <cell r="D59" t="str">
            <v>30X200gms</v>
          </cell>
          <cell r="E59">
            <v>30</v>
          </cell>
          <cell r="F59">
            <v>1.3440000000000001</v>
          </cell>
          <cell r="G59">
            <v>3073781089172</v>
          </cell>
          <cell r="H59">
            <v>36.150000000000006</v>
          </cell>
          <cell r="I59">
            <v>3073781133745</v>
          </cell>
          <cell r="J59">
            <v>308347</v>
          </cell>
          <cell r="K59" t="str">
            <v/>
          </cell>
          <cell r="L59" t="e">
            <v>#REF!</v>
          </cell>
          <cell r="N59">
            <v>372698</v>
          </cell>
        </row>
        <row r="60">
          <cell r="B60">
            <v>94667</v>
          </cell>
          <cell r="C60" t="str">
            <v>LVQ SLICES 3X200G 2+1 FREE ASSTD</v>
          </cell>
          <cell r="D60"/>
          <cell r="F60">
            <v>1.48</v>
          </cell>
          <cell r="G60">
            <v>1800000004737</v>
          </cell>
          <cell r="J60">
            <v>94667</v>
          </cell>
          <cell r="K60" t="str">
            <v/>
          </cell>
          <cell r="L60" t="e">
            <v>#REF!</v>
          </cell>
          <cell r="N60">
            <v>371252</v>
          </cell>
        </row>
        <row r="61">
          <cell r="B61">
            <v>91558</v>
          </cell>
          <cell r="C61" t="str">
            <v>DM(48) PINEAPPLE SLICES 235GM</v>
          </cell>
          <cell r="D61" t="str">
            <v>48 x 234 GM</v>
          </cell>
          <cell r="F61">
            <v>0.30499999999999999</v>
          </cell>
          <cell r="G61">
            <v>24000003649</v>
          </cell>
          <cell r="J61">
            <v>91558</v>
          </cell>
          <cell r="K61" t="str">
            <v/>
          </cell>
          <cell r="L61" t="e">
            <v>#REF!</v>
          </cell>
          <cell r="N61">
            <v>372699</v>
          </cell>
        </row>
        <row r="62">
          <cell r="B62">
            <v>356749</v>
          </cell>
          <cell r="C62" t="str">
            <v>DM PINEAPPLE SLICES 6X235GM NEW OFFER</v>
          </cell>
          <cell r="D62" t="str">
            <v>6X235GM</v>
          </cell>
          <cell r="F62">
            <v>1.7301818181818185</v>
          </cell>
          <cell r="G62">
            <v>1800000015900</v>
          </cell>
          <cell r="J62">
            <v>356749</v>
          </cell>
          <cell r="K62" t="str">
            <v/>
          </cell>
          <cell r="L62" t="e">
            <v>#REF!</v>
          </cell>
          <cell r="N62">
            <v>293097</v>
          </cell>
        </row>
        <row r="63">
          <cell r="B63">
            <v>91560</v>
          </cell>
          <cell r="C63" t="str">
            <v>DM(24) PINEAPPLE SLICES 432GM</v>
          </cell>
          <cell r="D63" t="str">
            <v>24X432 GM</v>
          </cell>
          <cell r="F63">
            <v>0.54</v>
          </cell>
          <cell r="G63">
            <v>24000015963</v>
          </cell>
          <cell r="J63">
            <v>91560</v>
          </cell>
          <cell r="K63" t="str">
            <v/>
          </cell>
          <cell r="L63" t="e">
            <v>#REF!</v>
          </cell>
          <cell r="N63">
            <v>293098</v>
          </cell>
        </row>
        <row r="64">
          <cell r="B64">
            <v>356746</v>
          </cell>
          <cell r="C64" t="str">
            <v>DM PINEAPPLE SLICES 3X432GM NEW OFFER</v>
          </cell>
          <cell r="D64" t="str">
            <v xml:space="preserve">3X432GM </v>
          </cell>
          <cell r="F64">
            <v>1.5347368421052632</v>
          </cell>
          <cell r="G64">
            <v>1800000015603</v>
          </cell>
          <cell r="J64">
            <v>356746</v>
          </cell>
          <cell r="K64" t="str">
            <v/>
          </cell>
          <cell r="L64" t="e">
            <v>#REF!</v>
          </cell>
          <cell r="N64">
            <v>293099</v>
          </cell>
        </row>
        <row r="65">
          <cell r="B65">
            <v>91566</v>
          </cell>
          <cell r="C65" t="str">
            <v>DM(24) PINEAPPLE SLICES 567GM</v>
          </cell>
          <cell r="D65" t="str">
            <v>24X567 GM</v>
          </cell>
          <cell r="F65">
            <v>0.60099999999999998</v>
          </cell>
          <cell r="G65">
            <v>24000012313</v>
          </cell>
          <cell r="J65">
            <v>91566</v>
          </cell>
          <cell r="K65" t="str">
            <v/>
          </cell>
          <cell r="L65" t="e">
            <v>#REF!</v>
          </cell>
          <cell r="N65">
            <v>308066</v>
          </cell>
        </row>
        <row r="66">
          <cell r="B66">
            <v>356747</v>
          </cell>
          <cell r="C66" t="str">
            <v>DM PINEAPPLE SLICES 3X567GM NEW OFFER</v>
          </cell>
          <cell r="D66" t="str">
            <v xml:space="preserve"> 3X567GM </v>
          </cell>
          <cell r="F66">
            <v>1.7171428571428571</v>
          </cell>
          <cell r="G66">
            <v>1800000015702</v>
          </cell>
          <cell r="J66">
            <v>356747</v>
          </cell>
          <cell r="K66" t="str">
            <v/>
          </cell>
          <cell r="L66" t="e">
            <v>#REF!</v>
          </cell>
          <cell r="N66">
            <v>308067</v>
          </cell>
        </row>
        <row r="67">
          <cell r="B67">
            <v>91568</v>
          </cell>
          <cell r="C67" t="str">
            <v>DM(24) PINEAPPLE SLICES 840GM</v>
          </cell>
          <cell r="D67" t="str">
            <v>24X836 GM</v>
          </cell>
          <cell r="F67">
            <v>0.71499999999999997</v>
          </cell>
          <cell r="G67">
            <v>24000012306</v>
          </cell>
          <cell r="J67">
            <v>91568</v>
          </cell>
          <cell r="K67" t="str">
            <v/>
          </cell>
          <cell r="L67" t="e">
            <v>#REF!</v>
          </cell>
          <cell r="N67">
            <v>308068</v>
          </cell>
        </row>
        <row r="68">
          <cell r="B68">
            <v>91570</v>
          </cell>
          <cell r="C68" t="str">
            <v>DM(48) PINEAPPLE CHUNK 234GM</v>
          </cell>
          <cell r="D68" t="str">
            <v>48 X 234 GM</v>
          </cell>
          <cell r="F68">
            <v>0.30499999999999999</v>
          </cell>
          <cell r="G68">
            <v>24000008934</v>
          </cell>
          <cell r="J68">
            <v>91570</v>
          </cell>
          <cell r="K68" t="str">
            <v/>
          </cell>
          <cell r="L68" t="e">
            <v>#REF!</v>
          </cell>
          <cell r="N68">
            <v>329173</v>
          </cell>
        </row>
        <row r="69">
          <cell r="B69">
            <v>356748</v>
          </cell>
          <cell r="C69" t="str">
            <v>DM PINEAPPLE CHUNK 6X234GM NEW OFFER</v>
          </cell>
          <cell r="D69" t="str">
            <v xml:space="preserve"> 6X234GM</v>
          </cell>
          <cell r="F69">
            <v>1.7301818181818185</v>
          </cell>
          <cell r="G69">
            <v>1800000016020</v>
          </cell>
          <cell r="J69">
            <v>356748</v>
          </cell>
          <cell r="K69" t="str">
            <v/>
          </cell>
          <cell r="L69" t="e">
            <v>#REF!</v>
          </cell>
          <cell r="N69">
            <v>345781</v>
          </cell>
        </row>
        <row r="70">
          <cell r="B70">
            <v>91572</v>
          </cell>
          <cell r="C70" t="str">
            <v>DM(24) PINEAPPLE CHUNK 435GM</v>
          </cell>
          <cell r="D70" t="str">
            <v>24X432 GM</v>
          </cell>
          <cell r="F70">
            <v>0.55500000000000005</v>
          </cell>
          <cell r="G70">
            <v>24000015970</v>
          </cell>
          <cell r="J70">
            <v>91572</v>
          </cell>
          <cell r="K70" t="str">
            <v/>
          </cell>
          <cell r="L70" t="e">
            <v>#REF!</v>
          </cell>
          <cell r="N70">
            <v>345782</v>
          </cell>
        </row>
        <row r="71">
          <cell r="B71">
            <v>356744</v>
          </cell>
          <cell r="C71" t="str">
            <v>DM PINEAPPLE CHUNK 3X435GM NEW OFFER</v>
          </cell>
          <cell r="D71" t="str">
            <v>3X435GM</v>
          </cell>
          <cell r="F71">
            <v>1.5773684210526318</v>
          </cell>
          <cell r="G71">
            <v>1800000016013</v>
          </cell>
          <cell r="J71">
            <v>356744</v>
          </cell>
          <cell r="K71" t="str">
            <v/>
          </cell>
          <cell r="L71" t="e">
            <v>#REF!</v>
          </cell>
          <cell r="N71">
            <v>177501</v>
          </cell>
        </row>
        <row r="72">
          <cell r="B72">
            <v>91575</v>
          </cell>
          <cell r="C72" t="str">
            <v>DM(24) PINEAPPLE CHUNK 570GM</v>
          </cell>
          <cell r="D72" t="str">
            <v>24X567 GM</v>
          </cell>
          <cell r="F72">
            <v>0.58599999999999997</v>
          </cell>
          <cell r="G72">
            <v>24000012412</v>
          </cell>
          <cell r="J72">
            <v>91575</v>
          </cell>
          <cell r="K72" t="str">
            <v/>
          </cell>
          <cell r="L72" t="e">
            <v>#REF!</v>
          </cell>
          <cell r="N72">
            <v>370080</v>
          </cell>
        </row>
        <row r="73">
          <cell r="B73">
            <v>356745</v>
          </cell>
          <cell r="C73" t="str">
            <v>DM(8) PINEAPPLE CHUNK 3X570GM NEW OFFER</v>
          </cell>
          <cell r="D73" t="str">
            <v xml:space="preserve"> 3X570GM</v>
          </cell>
          <cell r="F73">
            <v>1.6742857142857142</v>
          </cell>
          <cell r="G73">
            <v>1800000015504</v>
          </cell>
          <cell r="J73">
            <v>356745</v>
          </cell>
          <cell r="K73" t="str">
            <v/>
          </cell>
          <cell r="L73" t="e">
            <v>#REF!</v>
          </cell>
          <cell r="N73">
            <v>357356</v>
          </cell>
        </row>
        <row r="74">
          <cell r="B74">
            <v>91531</v>
          </cell>
          <cell r="C74" t="str">
            <v>DM(24) FRUIT COCKTAIL 420GM</v>
          </cell>
          <cell r="D74" t="str">
            <v>24X420 GM</v>
          </cell>
          <cell r="F74">
            <v>0.57399999999999995</v>
          </cell>
          <cell r="G74">
            <v>24000024675</v>
          </cell>
          <cell r="J74">
            <v>91531</v>
          </cell>
          <cell r="K74" t="str">
            <v/>
          </cell>
          <cell r="L74" t="e">
            <v>#REF!</v>
          </cell>
          <cell r="N74">
            <v>357356</v>
          </cell>
        </row>
        <row r="75">
          <cell r="B75">
            <v>356740</v>
          </cell>
          <cell r="C75" t="str">
            <v>DM FRUIT COCKTAIL 3X420GM NEW OFFER</v>
          </cell>
          <cell r="D75" t="str">
            <v>3X420GM</v>
          </cell>
          <cell r="F75">
            <v>1.6399999999999997</v>
          </cell>
          <cell r="G75">
            <v>1800000015108</v>
          </cell>
          <cell r="J75">
            <v>356740</v>
          </cell>
          <cell r="K75" t="str">
            <v/>
          </cell>
          <cell r="L75" t="e">
            <v>#REF!</v>
          </cell>
          <cell r="N75">
            <v>357356</v>
          </cell>
        </row>
        <row r="76">
          <cell r="B76">
            <v>91535</v>
          </cell>
          <cell r="C76" t="str">
            <v>DM(24) FRUIT COCKTAIL 825GM</v>
          </cell>
          <cell r="D76" t="str">
            <v>24X825 GM</v>
          </cell>
          <cell r="F76">
            <v>0.92100000000000004</v>
          </cell>
          <cell r="G76">
            <v>24000010920</v>
          </cell>
          <cell r="J76">
            <v>91535</v>
          </cell>
          <cell r="K76" t="str">
            <v/>
          </cell>
          <cell r="N76"/>
        </row>
        <row r="77">
          <cell r="B77">
            <v>91538</v>
          </cell>
          <cell r="C77" t="str">
            <v>DM(24) FRUIT COCKTAIL 227GM</v>
          </cell>
          <cell r="D77" t="str">
            <v>24X227 GM</v>
          </cell>
          <cell r="F77">
            <v>0.46500000000000002</v>
          </cell>
          <cell r="G77">
            <v>24000011477</v>
          </cell>
          <cell r="J77">
            <v>91538</v>
          </cell>
          <cell r="K77" t="str">
            <v/>
          </cell>
          <cell r="N77"/>
        </row>
        <row r="78">
          <cell r="B78">
            <v>356739</v>
          </cell>
          <cell r="C78" t="str">
            <v>DM FRUIT COCKTAIL 4X227GM NEW OFFER</v>
          </cell>
          <cell r="D78" t="str">
            <v xml:space="preserve">4X227GM </v>
          </cell>
          <cell r="F78">
            <v>1.7681481481481482</v>
          </cell>
          <cell r="G78">
            <v>1800000015009</v>
          </cell>
          <cell r="J78">
            <v>356739</v>
          </cell>
          <cell r="K78" t="str">
            <v/>
          </cell>
          <cell r="N78"/>
        </row>
        <row r="79">
          <cell r="B79">
            <v>91552</v>
          </cell>
          <cell r="C79" t="str">
            <v>DM(24) PEACH HALVES 420GM</v>
          </cell>
          <cell r="D79" t="str">
            <v>24X420 GM</v>
          </cell>
          <cell r="F79">
            <v>0.498</v>
          </cell>
          <cell r="G79">
            <v>24000025528</v>
          </cell>
          <cell r="J79">
            <v>91552</v>
          </cell>
          <cell r="K79" t="str">
            <v/>
          </cell>
          <cell r="N79"/>
        </row>
        <row r="80">
          <cell r="B80">
            <v>356741</v>
          </cell>
          <cell r="C80" t="str">
            <v>DM PEACH HALVES 3X420GM NEW OFFER</v>
          </cell>
          <cell r="D80" t="str">
            <v xml:space="preserve">3X420GM </v>
          </cell>
          <cell r="F80">
            <v>1.4190202247191011</v>
          </cell>
          <cell r="G80">
            <v>1800000015207</v>
          </cell>
          <cell r="J80">
            <v>356741</v>
          </cell>
          <cell r="K80" t="str">
            <v/>
          </cell>
          <cell r="N80"/>
        </row>
        <row r="81">
          <cell r="B81">
            <v>91554</v>
          </cell>
          <cell r="C81" t="str">
            <v>DM(24) PEACH HALVES 825GM</v>
          </cell>
          <cell r="D81" t="str">
            <v>24X825 GM</v>
          </cell>
          <cell r="F81">
            <v>0.82899999999999996</v>
          </cell>
          <cell r="G81">
            <v>24000010418</v>
          </cell>
          <cell r="J81">
            <v>91554</v>
          </cell>
          <cell r="K81" t="str">
            <v/>
          </cell>
          <cell r="N81"/>
        </row>
        <row r="82">
          <cell r="B82">
            <v>91555</v>
          </cell>
          <cell r="C82" t="str">
            <v>DM(24) PEACH SLICES 420GM</v>
          </cell>
          <cell r="D82" t="str">
            <v>24X425 GM</v>
          </cell>
          <cell r="F82">
            <v>0.47399999999999998</v>
          </cell>
          <cell r="G82">
            <v>24000025993</v>
          </cell>
          <cell r="J82">
            <v>91555</v>
          </cell>
          <cell r="K82" t="str">
            <v/>
          </cell>
          <cell r="N82"/>
        </row>
        <row r="83">
          <cell r="B83">
            <v>91579</v>
          </cell>
          <cell r="C83" t="str">
            <v>DM(24) CHICK PEAS 400GM</v>
          </cell>
          <cell r="D83" t="str">
            <v>24 X 400GM</v>
          </cell>
          <cell r="F83">
            <v>0.314</v>
          </cell>
          <cell r="G83">
            <v>24000102328</v>
          </cell>
          <cell r="J83">
            <v>91579</v>
          </cell>
          <cell r="K83" t="str">
            <v/>
          </cell>
          <cell r="N83"/>
        </row>
        <row r="84">
          <cell r="B84">
            <v>356737</v>
          </cell>
          <cell r="C84" t="str">
            <v>DM CHICK PEAS 4X400GM NEW OFFER</v>
          </cell>
          <cell r="D84" t="str">
            <v xml:space="preserve"> 4X400GM</v>
          </cell>
          <cell r="F84">
            <v>1.1943068477318695</v>
          </cell>
          <cell r="G84">
            <v>1800000014804</v>
          </cell>
          <cell r="J84">
            <v>356737</v>
          </cell>
          <cell r="K84" t="str">
            <v/>
          </cell>
          <cell r="N84"/>
        </row>
        <row r="85">
          <cell r="B85">
            <v>91584</v>
          </cell>
          <cell r="C85" t="str">
            <v>DM(24) FOUL MEDAMMAS 400GM</v>
          </cell>
          <cell r="D85" t="str">
            <v>24 X 400GM</v>
          </cell>
          <cell r="F85">
            <v>0.30299999999999999</v>
          </cell>
          <cell r="G85">
            <v>24000130123</v>
          </cell>
          <cell r="J85">
            <v>91584</v>
          </cell>
          <cell r="K85" t="str">
            <v/>
          </cell>
          <cell r="N85"/>
        </row>
        <row r="86">
          <cell r="B86">
            <v>91586</v>
          </cell>
          <cell r="C86" t="str">
            <v>DM(6) FOUL MEDAMMAS 4X400GM</v>
          </cell>
          <cell r="D86" t="str">
            <v>4X400GM</v>
          </cell>
          <cell r="F86">
            <v>1.0823080445733475</v>
          </cell>
          <cell r="G86">
            <v>6291106770292</v>
          </cell>
          <cell r="J86">
            <v>91586</v>
          </cell>
          <cell r="K86">
            <v>91586</v>
          </cell>
          <cell r="L86" t="e">
            <v>#REF!</v>
          </cell>
          <cell r="N86">
            <v>91558</v>
          </cell>
        </row>
        <row r="87">
          <cell r="B87">
            <v>91589</v>
          </cell>
          <cell r="C87" t="str">
            <v>DM(24) HOMMOS TAHINA 400GM</v>
          </cell>
          <cell r="D87" t="str">
            <v>24 X 400GM</v>
          </cell>
          <cell r="F87">
            <v>0.44800000000000001</v>
          </cell>
          <cell r="G87">
            <v>24000156123</v>
          </cell>
          <cell r="J87">
            <v>91589</v>
          </cell>
          <cell r="K87">
            <v>91589</v>
          </cell>
          <cell r="L87" t="e">
            <v>#REF!</v>
          </cell>
          <cell r="N87">
            <v>356749</v>
          </cell>
        </row>
        <row r="88">
          <cell r="B88">
            <v>356738</v>
          </cell>
          <cell r="C88" t="str">
            <v>DM HOMMOS TAHINA 3X400GM NEW OFFER</v>
          </cell>
          <cell r="D88" t="str">
            <v xml:space="preserve">3X400GM </v>
          </cell>
          <cell r="F88">
            <v>1.277378123719787</v>
          </cell>
          <cell r="G88">
            <v>1800000014903</v>
          </cell>
          <cell r="J88">
            <v>356738</v>
          </cell>
          <cell r="K88">
            <v>356738</v>
          </cell>
          <cell r="L88" t="e">
            <v>#REF!</v>
          </cell>
          <cell r="N88">
            <v>91560</v>
          </cell>
        </row>
        <row r="89">
          <cell r="B89">
            <v>91592</v>
          </cell>
          <cell r="C89" t="str">
            <v>DELMONTE RED KIDNEY BEANS  400GM</v>
          </cell>
          <cell r="D89" t="str">
            <v>24 X 400GM</v>
          </cell>
          <cell r="F89">
            <v>0.30099999999999999</v>
          </cell>
          <cell r="G89">
            <v>24000074342</v>
          </cell>
          <cell r="J89">
            <v>91592</v>
          </cell>
          <cell r="K89">
            <v>91592</v>
          </cell>
          <cell r="L89" t="e">
            <v>#REF!</v>
          </cell>
          <cell r="N89">
            <v>356746</v>
          </cell>
        </row>
        <row r="90">
          <cell r="B90">
            <v>91597</v>
          </cell>
          <cell r="C90" t="str">
            <v>DM(24) BAKED BEANS 420GM</v>
          </cell>
          <cell r="D90" t="str">
            <v>24 X 420 GM</v>
          </cell>
          <cell r="F90">
            <v>0.33200000000000002</v>
          </cell>
          <cell r="G90">
            <v>24000175056</v>
          </cell>
          <cell r="J90">
            <v>91597</v>
          </cell>
          <cell r="K90">
            <v>91597</v>
          </cell>
          <cell r="L90" t="e">
            <v>#REF!</v>
          </cell>
          <cell r="N90">
            <v>91566</v>
          </cell>
        </row>
        <row r="91">
          <cell r="B91">
            <v>165189</v>
          </cell>
          <cell r="C91" t="str">
            <v>DM(8) BAKED BEANS 3X420GM</v>
          </cell>
          <cell r="D91" t="str">
            <v>3X420GM</v>
          </cell>
          <cell r="F91">
            <v>0.92222222222222228</v>
          </cell>
          <cell r="G91">
            <v>6291106771619</v>
          </cell>
          <cell r="J91">
            <v>165189</v>
          </cell>
          <cell r="K91">
            <v>165189</v>
          </cell>
          <cell r="L91" t="e">
            <v>#REF!</v>
          </cell>
          <cell r="N91">
            <v>356747</v>
          </cell>
        </row>
        <row r="92">
          <cell r="B92">
            <v>91599</v>
          </cell>
          <cell r="C92" t="str">
            <v>DM(24) GOLDEN SWEET CORN 410GM</v>
          </cell>
          <cell r="D92" t="str">
            <v>24 X 410 GM</v>
          </cell>
          <cell r="F92">
            <v>0.41199999999999998</v>
          </cell>
          <cell r="G92">
            <v>24000104582</v>
          </cell>
          <cell r="J92">
            <v>91599</v>
          </cell>
          <cell r="K92">
            <v>91599</v>
          </cell>
          <cell r="L92" t="e">
            <v>#REF!</v>
          </cell>
          <cell r="N92">
            <v>91568</v>
          </cell>
        </row>
        <row r="93">
          <cell r="B93">
            <v>356743</v>
          </cell>
          <cell r="C93" t="str">
            <v>DM GOLDEN SWEET CORN 4X410GM NEW OFFER</v>
          </cell>
          <cell r="D93" t="str">
            <v xml:space="preserve">4X410GM </v>
          </cell>
          <cell r="F93">
            <v>1.3440000000000001</v>
          </cell>
          <cell r="G93">
            <v>1800000015405</v>
          </cell>
          <cell r="J93">
            <v>356743</v>
          </cell>
          <cell r="K93">
            <v>356743</v>
          </cell>
          <cell r="L93" t="e">
            <v>#REF!</v>
          </cell>
          <cell r="N93">
            <v>91570</v>
          </cell>
        </row>
        <row r="94">
          <cell r="B94">
            <v>165099</v>
          </cell>
          <cell r="C94" t="str">
            <v>DM(24) MIXED VEGETABLES 425GM</v>
          </cell>
          <cell r="D94" t="str">
            <v>24 X 425 GM</v>
          </cell>
          <cell r="F94">
            <v>0.442</v>
          </cell>
          <cell r="G94">
            <v>24000238171</v>
          </cell>
          <cell r="J94">
            <v>165099</v>
          </cell>
          <cell r="K94">
            <v>165099</v>
          </cell>
          <cell r="L94" t="e">
            <v>#REF!</v>
          </cell>
          <cell r="N94">
            <v>356748</v>
          </cell>
        </row>
        <row r="95">
          <cell r="B95">
            <v>165100</v>
          </cell>
          <cell r="C95" t="str">
            <v>DM(24) GARDEN PEAS 425GM</v>
          </cell>
          <cell r="D95" t="str">
            <v>24 X 425 GM</v>
          </cell>
          <cell r="F95">
            <v>0.45300000000000001</v>
          </cell>
          <cell r="G95">
            <v>24000238188</v>
          </cell>
          <cell r="J95">
            <v>165100</v>
          </cell>
          <cell r="K95">
            <v>165100</v>
          </cell>
          <cell r="L95" t="e">
            <v>#REF!</v>
          </cell>
          <cell r="N95">
            <v>91572</v>
          </cell>
        </row>
        <row r="96">
          <cell r="B96">
            <v>356742</v>
          </cell>
          <cell r="C96" t="str">
            <v>DM(8) GARDEN PEAS 3X425GM NEW OFFER</v>
          </cell>
          <cell r="D96" t="str">
            <v>3X425GM</v>
          </cell>
          <cell r="F96">
            <v>1.2965172413793105</v>
          </cell>
          <cell r="G96">
            <v>1800000015306</v>
          </cell>
          <cell r="J96">
            <v>356742</v>
          </cell>
          <cell r="K96">
            <v>356742</v>
          </cell>
          <cell r="L96" t="e">
            <v>#REF!</v>
          </cell>
          <cell r="N96">
            <v>356744</v>
          </cell>
        </row>
        <row r="97">
          <cell r="B97">
            <v>165101</v>
          </cell>
          <cell r="C97" t="str">
            <v>DM(24) PEAS &amp; CARROTS 425GM</v>
          </cell>
          <cell r="D97" t="str">
            <v>24 X 425 GM</v>
          </cell>
          <cell r="F97">
            <v>0.44400000000000001</v>
          </cell>
          <cell r="G97">
            <v>24000238201</v>
          </cell>
          <cell r="J97">
            <v>165101</v>
          </cell>
          <cell r="K97">
            <v>165101</v>
          </cell>
          <cell r="L97" t="e">
            <v>#REF!</v>
          </cell>
          <cell r="N97">
            <v>91575</v>
          </cell>
        </row>
        <row r="98">
          <cell r="B98">
            <v>255031</v>
          </cell>
          <cell r="C98" t="str">
            <v>DM(24) CREAM STYLE CORN 410GM</v>
          </cell>
          <cell r="D98" t="str">
            <v>24 X 410 GM</v>
          </cell>
          <cell r="F98">
            <v>0.46200000000000002</v>
          </cell>
          <cell r="G98">
            <v>24000104209</v>
          </cell>
          <cell r="J98">
            <v>255031</v>
          </cell>
          <cell r="K98">
            <v>255031</v>
          </cell>
          <cell r="L98" t="e">
            <v>#REF!</v>
          </cell>
          <cell r="N98">
            <v>356745</v>
          </cell>
        </row>
        <row r="99">
          <cell r="B99">
            <v>302679</v>
          </cell>
          <cell r="C99" t="str">
            <v>DM(24) GOLDEN SWEET CORN 180GM</v>
          </cell>
          <cell r="D99" t="str">
            <v>24 x 180 gm</v>
          </cell>
          <cell r="F99">
            <v>0.28299999999999997</v>
          </cell>
          <cell r="G99">
            <v>24000101895</v>
          </cell>
          <cell r="J99">
            <v>302679</v>
          </cell>
          <cell r="K99">
            <v>302679</v>
          </cell>
          <cell r="L99" t="e">
            <v>#REF!</v>
          </cell>
          <cell r="N99">
            <v>91531</v>
          </cell>
        </row>
        <row r="100">
          <cell r="B100">
            <v>91604</v>
          </cell>
          <cell r="C100" t="str">
            <v>DM(24) JUICE PINEAPPLE-UNSWEETED 240ML</v>
          </cell>
          <cell r="D100" t="str">
            <v>24 X 240ML</v>
          </cell>
          <cell r="F100">
            <v>0.20300000000000001</v>
          </cell>
          <cell r="G100">
            <v>4800024562692</v>
          </cell>
          <cell r="J100">
            <v>91604</v>
          </cell>
          <cell r="K100">
            <v>91604</v>
          </cell>
          <cell r="L100" t="e">
            <v>#REF!</v>
          </cell>
          <cell r="N100">
            <v>356740</v>
          </cell>
        </row>
        <row r="101">
          <cell r="B101">
            <v>91606</v>
          </cell>
          <cell r="C101" t="str">
            <v>DM(24) JUICE PINEAPPLE-SWEETENED 240ML</v>
          </cell>
          <cell r="D101" t="str">
            <v>24 X 240ML</v>
          </cell>
          <cell r="F101">
            <v>0.20899999999999999</v>
          </cell>
          <cell r="G101">
            <v>4800024550927</v>
          </cell>
          <cell r="J101">
            <v>91606</v>
          </cell>
          <cell r="K101">
            <v>91606</v>
          </cell>
          <cell r="L101" t="e">
            <v>#REF!</v>
          </cell>
          <cell r="N101">
            <v>91535</v>
          </cell>
        </row>
        <row r="102">
          <cell r="B102">
            <v>91607</v>
          </cell>
          <cell r="C102" t="str">
            <v>DM(24) JUICE PINEAPPLE CRUSH 240ML</v>
          </cell>
          <cell r="D102" t="str">
            <v>24 X 240ML</v>
          </cell>
          <cell r="F102">
            <v>0.20899999999999999</v>
          </cell>
          <cell r="G102">
            <v>4800024550057</v>
          </cell>
          <cell r="J102">
            <v>91607</v>
          </cell>
          <cell r="K102">
            <v>91607</v>
          </cell>
          <cell r="L102" t="e">
            <v>#REF!</v>
          </cell>
          <cell r="N102">
            <v>91538</v>
          </cell>
        </row>
        <row r="103">
          <cell r="B103">
            <v>91608</v>
          </cell>
          <cell r="C103" t="str">
            <v>DM(24) JUICE PINEAPPLE-ORANGE 240ML</v>
          </cell>
          <cell r="D103" t="str">
            <v>24 X 240ML</v>
          </cell>
          <cell r="F103">
            <v>0.20899999999999999</v>
          </cell>
          <cell r="G103">
            <v>4800024550088</v>
          </cell>
          <cell r="J103">
            <v>91608</v>
          </cell>
          <cell r="K103">
            <v>91608</v>
          </cell>
          <cell r="L103" t="e">
            <v>#REF!</v>
          </cell>
          <cell r="N103">
            <v>356739</v>
          </cell>
        </row>
        <row r="104">
          <cell r="B104">
            <v>91614</v>
          </cell>
          <cell r="C104" t="str">
            <v>DM JUICE PINEAPPLE-UNSWEETED 6X240ML</v>
          </cell>
          <cell r="D104" t="str">
            <v>6X240ML</v>
          </cell>
          <cell r="F104">
            <v>1.0551456310679612</v>
          </cell>
          <cell r="G104">
            <v>6291106770223</v>
          </cell>
          <cell r="J104">
            <v>91614</v>
          </cell>
          <cell r="K104">
            <v>91614</v>
          </cell>
          <cell r="L104" t="e">
            <v>#REF!</v>
          </cell>
          <cell r="N104">
            <v>91552</v>
          </cell>
        </row>
        <row r="105">
          <cell r="B105">
            <v>91616</v>
          </cell>
          <cell r="C105" t="str">
            <v>DM(12) JUICE PINEAPPLE-UNSWEETED 1.36LTR</v>
          </cell>
          <cell r="D105" t="str">
            <v>12 X 1.36 LTR</v>
          </cell>
          <cell r="F105">
            <v>0.69699999999999995</v>
          </cell>
          <cell r="G105">
            <v>4800024562739</v>
          </cell>
          <cell r="J105">
            <v>91616</v>
          </cell>
          <cell r="K105">
            <v>91616</v>
          </cell>
          <cell r="L105" t="e">
            <v>#REF!</v>
          </cell>
          <cell r="N105">
            <v>356741</v>
          </cell>
        </row>
        <row r="106">
          <cell r="B106">
            <v>193127</v>
          </cell>
          <cell r="C106" t="str">
            <v>DM(6) GRAPE LEAVES IN BRINE 907GM</v>
          </cell>
          <cell r="D106" t="str">
            <v>6 x 907 gm</v>
          </cell>
          <cell r="F106">
            <v>1.5880000000000001</v>
          </cell>
          <cell r="G106">
            <v>24000244417</v>
          </cell>
          <cell r="J106">
            <v>193127</v>
          </cell>
          <cell r="K106">
            <v>193127</v>
          </cell>
          <cell r="L106" t="e">
            <v>#REF!</v>
          </cell>
          <cell r="N106">
            <v>91554</v>
          </cell>
        </row>
        <row r="107">
          <cell r="B107">
            <v>198563</v>
          </cell>
          <cell r="C107" t="str">
            <v>DM(3) GRAPE LEAVES IN BRINE 2X907GM</v>
          </cell>
          <cell r="D107" t="str">
            <v>2X907GM</v>
          </cell>
          <cell r="F107">
            <v>2.7113440514469453</v>
          </cell>
          <cell r="G107">
            <v>6291106772029</v>
          </cell>
          <cell r="J107">
            <v>198563</v>
          </cell>
          <cell r="K107">
            <v>198563</v>
          </cell>
          <cell r="L107" t="e">
            <v>#REF!</v>
          </cell>
          <cell r="N107">
            <v>91555</v>
          </cell>
        </row>
        <row r="108">
          <cell r="B108">
            <v>296891</v>
          </cell>
          <cell r="C108" t="str">
            <v>DM(12) MIXED PICKLE 454GM</v>
          </cell>
          <cell r="D108" t="str">
            <v>12 X 454 GM</v>
          </cell>
          <cell r="F108">
            <v>0.66200000000000003</v>
          </cell>
          <cell r="G108">
            <v>24000106470</v>
          </cell>
          <cell r="J108">
            <v>296891</v>
          </cell>
          <cell r="K108">
            <v>296891</v>
          </cell>
          <cell r="L108" t="e">
            <v>#REF!</v>
          </cell>
          <cell r="N108">
            <v>91579</v>
          </cell>
        </row>
        <row r="109">
          <cell r="B109">
            <v>304053</v>
          </cell>
          <cell r="C109" t="str">
            <v>DM(6) MIXED PICKLE 2X454GM</v>
          </cell>
          <cell r="D109" t="str">
            <v>2X454GM</v>
          </cell>
          <cell r="F109">
            <v>1.1254</v>
          </cell>
          <cell r="G109">
            <v>6291108214817</v>
          </cell>
          <cell r="J109">
            <v>304053</v>
          </cell>
          <cell r="K109">
            <v>304053</v>
          </cell>
          <cell r="L109" t="e">
            <v>#REF!</v>
          </cell>
          <cell r="N109">
            <v>356737</v>
          </cell>
        </row>
        <row r="110">
          <cell r="B110">
            <v>159579</v>
          </cell>
          <cell r="C110" t="str">
            <v>DM(48) LM TUNA IN BRINE 185GM</v>
          </cell>
          <cell r="D110" t="str">
            <v>48 x 185 gm</v>
          </cell>
          <cell r="F110">
            <v>0.80100000000000005</v>
          </cell>
          <cell r="G110">
            <v>736211763730</v>
          </cell>
          <cell r="J110">
            <v>159579</v>
          </cell>
          <cell r="K110">
            <v>159579</v>
          </cell>
          <cell r="L110" t="e">
            <v>#REF!</v>
          </cell>
          <cell r="N110">
            <v>91584</v>
          </cell>
        </row>
        <row r="111">
          <cell r="B111">
            <v>159580</v>
          </cell>
          <cell r="C111" t="str">
            <v>DM(48) LM TUNA IN OIL 185GM</v>
          </cell>
          <cell r="D111" t="str">
            <v>48 x 185 gm</v>
          </cell>
          <cell r="F111">
            <v>0.80300000000000005</v>
          </cell>
          <cell r="G111">
            <v>736211763631</v>
          </cell>
          <cell r="J111">
            <v>159580</v>
          </cell>
          <cell r="K111">
            <v>159580</v>
          </cell>
          <cell r="L111" t="e">
            <v>#REF!</v>
          </cell>
          <cell r="N111">
            <v>91586</v>
          </cell>
        </row>
        <row r="112">
          <cell r="B112">
            <v>159661</v>
          </cell>
          <cell r="C112" t="str">
            <v>DELMONTE WM TUNA IN BRINE 185GM</v>
          </cell>
          <cell r="D112" t="str">
            <v>48 x 185 gm</v>
          </cell>
          <cell r="F112">
            <v>0.85099999999999998</v>
          </cell>
          <cell r="G112">
            <v>736211763938</v>
          </cell>
          <cell r="J112">
            <v>159661</v>
          </cell>
          <cell r="K112">
            <v>159661</v>
          </cell>
          <cell r="L112" t="e">
            <v>#REF!</v>
          </cell>
          <cell r="N112">
            <v>91589</v>
          </cell>
        </row>
        <row r="113">
          <cell r="B113">
            <v>159662</v>
          </cell>
          <cell r="C113" t="str">
            <v>DELMONTE WM TUNA IN OIL 185GM</v>
          </cell>
          <cell r="D113" t="str">
            <v>48 x 185 gm</v>
          </cell>
          <cell r="F113">
            <v>0.85199999999999998</v>
          </cell>
          <cell r="G113">
            <v>736211763839</v>
          </cell>
          <cell r="J113">
            <v>159662</v>
          </cell>
          <cell r="K113">
            <v>159662</v>
          </cell>
          <cell r="L113" t="e">
            <v>#REF!</v>
          </cell>
          <cell r="N113">
            <v>356738</v>
          </cell>
        </row>
        <row r="114">
          <cell r="B114">
            <v>159749</v>
          </cell>
          <cell r="C114" t="str">
            <v>DELMONTE TUNA CHUNK IN BRINE 185GM</v>
          </cell>
          <cell r="D114" t="str">
            <v>48 x 185 gm</v>
          </cell>
          <cell r="F114">
            <v>0.70399999999999996</v>
          </cell>
          <cell r="G114">
            <v>24000155997</v>
          </cell>
          <cell r="J114">
            <v>159749</v>
          </cell>
          <cell r="K114">
            <v>159749</v>
          </cell>
          <cell r="L114" t="e">
            <v>#REF!</v>
          </cell>
          <cell r="N114">
            <v>91592</v>
          </cell>
        </row>
        <row r="115">
          <cell r="B115">
            <v>159750</v>
          </cell>
          <cell r="C115" t="str">
            <v>DELMONTE TUNA CHUNK IN OIL 185GM</v>
          </cell>
          <cell r="D115" t="str">
            <v>48 x 185 gm</v>
          </cell>
          <cell r="F115">
            <v>0.70599999999999996</v>
          </cell>
          <cell r="G115">
            <v>24000156000</v>
          </cell>
          <cell r="J115">
            <v>159750</v>
          </cell>
          <cell r="K115">
            <v>159750</v>
          </cell>
          <cell r="L115" t="e">
            <v>#REF!</v>
          </cell>
          <cell r="N115">
            <v>91597</v>
          </cell>
        </row>
        <row r="116">
          <cell r="B116">
            <v>293042</v>
          </cell>
          <cell r="C116" t="str">
            <v>DM(48) SKIPJACK TUNA IN SF OIL 180GM</v>
          </cell>
          <cell r="D116" t="str">
            <v>48 x 180 gm</v>
          </cell>
          <cell r="F116">
            <v>0.58899999999999997</v>
          </cell>
          <cell r="G116">
            <v>24000105619</v>
          </cell>
          <cell r="J116">
            <v>293042</v>
          </cell>
          <cell r="K116">
            <v>293042</v>
          </cell>
          <cell r="L116" t="e">
            <v>#REF!</v>
          </cell>
          <cell r="N116">
            <v>165189</v>
          </cell>
        </row>
        <row r="117">
          <cell r="B117">
            <v>293043</v>
          </cell>
          <cell r="C117" t="str">
            <v>DM(48) SKIPJACK TUNA HOT &amp; SPICY 180GM</v>
          </cell>
          <cell r="D117" t="str">
            <v>48 x 180 gm</v>
          </cell>
          <cell r="F117">
            <v>0.58899999999999997</v>
          </cell>
          <cell r="G117">
            <v>24000105626</v>
          </cell>
          <cell r="J117">
            <v>293043</v>
          </cell>
          <cell r="K117">
            <v>293043</v>
          </cell>
          <cell r="L117" t="e">
            <v>#REF!</v>
          </cell>
          <cell r="N117">
            <v>91599</v>
          </cell>
        </row>
        <row r="118">
          <cell r="B118">
            <v>372600</v>
          </cell>
          <cell r="C118" t="str">
            <v>DELMONTE PLAIN BLACK OLIVES 12X335G</v>
          </cell>
          <cell r="D118" t="str">
            <v xml:space="preserve"> 12X335G</v>
          </cell>
          <cell r="F118">
            <v>0.85</v>
          </cell>
          <cell r="G118">
            <v>87208651905517</v>
          </cell>
          <cell r="J118">
            <v>372600</v>
          </cell>
          <cell r="K118">
            <v>372600</v>
          </cell>
          <cell r="L118" t="e">
            <v>#REF!</v>
          </cell>
          <cell r="N118">
            <v>356743</v>
          </cell>
        </row>
        <row r="119">
          <cell r="B119">
            <v>372601</v>
          </cell>
          <cell r="C119" t="str">
            <v>DELMONTE PLAIN BLACK OLIVES 12X460G</v>
          </cell>
          <cell r="D119" t="str">
            <v xml:space="preserve"> 12X460G</v>
          </cell>
          <cell r="F119">
            <v>1.37</v>
          </cell>
          <cell r="G119">
            <v>87208651906316</v>
          </cell>
          <cell r="J119">
            <v>372601</v>
          </cell>
          <cell r="K119">
            <v>372601</v>
          </cell>
          <cell r="L119" t="e">
            <v>#REF!</v>
          </cell>
          <cell r="N119">
            <v>165099</v>
          </cell>
        </row>
        <row r="120">
          <cell r="B120">
            <v>372602</v>
          </cell>
          <cell r="C120" t="str">
            <v>DELMONTE PLAIN GREEN OLIVES 12X335G</v>
          </cell>
          <cell r="D120" t="str">
            <v>12X335G</v>
          </cell>
          <cell r="F120">
            <v>0.85</v>
          </cell>
          <cell r="G120">
            <v>87208651905319</v>
          </cell>
          <cell r="J120">
            <v>372602</v>
          </cell>
          <cell r="K120">
            <v>372602</v>
          </cell>
          <cell r="L120" t="e">
            <v>#REF!</v>
          </cell>
          <cell r="N120">
            <v>165100</v>
          </cell>
        </row>
        <row r="121">
          <cell r="B121">
            <v>372603</v>
          </cell>
          <cell r="C121" t="str">
            <v>DELMONTE PLAIN GREEN OLIVES 12X460G</v>
          </cell>
          <cell r="D121" t="str">
            <v xml:space="preserve"> 12X460G</v>
          </cell>
          <cell r="F121">
            <v>1.37</v>
          </cell>
          <cell r="G121">
            <v>87208651906118</v>
          </cell>
          <cell r="J121">
            <v>372603</v>
          </cell>
          <cell r="K121">
            <v>372603</v>
          </cell>
          <cell r="L121" t="e">
            <v>#REF!</v>
          </cell>
          <cell r="N121">
            <v>356742</v>
          </cell>
        </row>
        <row r="122">
          <cell r="B122">
            <v>372604</v>
          </cell>
          <cell r="C122" t="str">
            <v>DELMONTE SLICED GREEN OLIVES 12X460G</v>
          </cell>
          <cell r="D122" t="str">
            <v>12X460G</v>
          </cell>
          <cell r="F122">
            <v>1.37</v>
          </cell>
          <cell r="G122">
            <v>87208651906514</v>
          </cell>
          <cell r="J122">
            <v>372604</v>
          </cell>
          <cell r="K122">
            <v>372604</v>
          </cell>
          <cell r="L122" t="e">
            <v>#REF!</v>
          </cell>
          <cell r="N122">
            <v>165101</v>
          </cell>
        </row>
        <row r="123">
          <cell r="B123">
            <v>372605</v>
          </cell>
          <cell r="C123" t="str">
            <v>DELMONTE PITTED GREEN OLIVES 12X335G</v>
          </cell>
          <cell r="D123" t="str">
            <v xml:space="preserve"> 12X335G</v>
          </cell>
          <cell r="F123">
            <v>1.1000000000000001</v>
          </cell>
          <cell r="G123">
            <v>87208651905913</v>
          </cell>
          <cell r="J123">
            <v>372605</v>
          </cell>
          <cell r="K123">
            <v>372605</v>
          </cell>
          <cell r="L123" t="e">
            <v>#REF!</v>
          </cell>
          <cell r="N123">
            <v>255031</v>
          </cell>
        </row>
        <row r="124">
          <cell r="B124">
            <v>341279</v>
          </cell>
          <cell r="C124" t="str">
            <v>DM (20) SPAGHETTI 400G</v>
          </cell>
          <cell r="D124" t="str">
            <v>20 X 400 GM</v>
          </cell>
          <cell r="F124">
            <v>0.38</v>
          </cell>
          <cell r="G124">
            <v>24000109822</v>
          </cell>
          <cell r="J124">
            <v>341279</v>
          </cell>
          <cell r="K124">
            <v>341279</v>
          </cell>
          <cell r="L124" t="e">
            <v>#REF!</v>
          </cell>
          <cell r="N124">
            <v>302679</v>
          </cell>
        </row>
        <row r="125">
          <cell r="B125">
            <v>341280</v>
          </cell>
          <cell r="C125" t="str">
            <v>DM (20) MACARONI-CORNETTO MEDIUM 400G</v>
          </cell>
          <cell r="D125" t="str">
            <v>20 X 400 GM</v>
          </cell>
          <cell r="F125">
            <v>0.38</v>
          </cell>
          <cell r="G125">
            <v>24000109785</v>
          </cell>
          <cell r="J125">
            <v>341280</v>
          </cell>
          <cell r="K125">
            <v>341280</v>
          </cell>
          <cell r="L125" t="e">
            <v>#REF!</v>
          </cell>
          <cell r="N125">
            <v>91604</v>
          </cell>
        </row>
        <row r="126">
          <cell r="B126">
            <v>341281</v>
          </cell>
          <cell r="C126" t="str">
            <v>DM (20) FUSILLI 400G</v>
          </cell>
          <cell r="D126" t="str">
            <v>20 X 400 GM</v>
          </cell>
          <cell r="F126">
            <v>0.38</v>
          </cell>
          <cell r="G126">
            <v>24000109792</v>
          </cell>
          <cell r="J126">
            <v>341281</v>
          </cell>
          <cell r="K126">
            <v>341281</v>
          </cell>
          <cell r="L126" t="e">
            <v>#REF!</v>
          </cell>
          <cell r="N126">
            <v>91606</v>
          </cell>
        </row>
        <row r="127">
          <cell r="B127">
            <v>341282</v>
          </cell>
          <cell r="C127" t="str">
            <v>DM (20) PENNE RIGATE  400G</v>
          </cell>
          <cell r="D127" t="str">
            <v>20 X 400 GM</v>
          </cell>
          <cell r="F127">
            <v>0.38</v>
          </cell>
          <cell r="G127">
            <v>24000109808</v>
          </cell>
          <cell r="J127">
            <v>341282</v>
          </cell>
          <cell r="K127">
            <v>341282</v>
          </cell>
          <cell r="L127" t="e">
            <v>#REF!</v>
          </cell>
          <cell r="N127">
            <v>91607</v>
          </cell>
        </row>
        <row r="128">
          <cell r="B128">
            <v>341283</v>
          </cell>
          <cell r="C128" t="str">
            <v>DM (20) VERMICIELLI CURVE 400G</v>
          </cell>
          <cell r="D128" t="str">
            <v>20 X 400 GM</v>
          </cell>
          <cell r="F128">
            <v>0.38</v>
          </cell>
          <cell r="G128">
            <v>24000109815</v>
          </cell>
          <cell r="J128">
            <v>341283</v>
          </cell>
          <cell r="K128">
            <v>341283</v>
          </cell>
          <cell r="L128" t="e">
            <v>#REF!</v>
          </cell>
          <cell r="N128">
            <v>91608</v>
          </cell>
        </row>
        <row r="129">
          <cell r="B129">
            <v>357352</v>
          </cell>
          <cell r="C129" t="str">
            <v>DM  SPAGHETTI 400G X 4 OFFER PACK</v>
          </cell>
          <cell r="D129" t="str">
            <v>4 X 400 GM</v>
          </cell>
          <cell r="F129">
            <v>1.3680000000000001</v>
          </cell>
          <cell r="G129">
            <v>1800000016037</v>
          </cell>
          <cell r="J129">
            <v>357352</v>
          </cell>
          <cell r="K129">
            <v>357352</v>
          </cell>
          <cell r="L129" t="e">
            <v>#REF!</v>
          </cell>
          <cell r="N129">
            <v>91614</v>
          </cell>
        </row>
        <row r="130">
          <cell r="B130">
            <v>357353</v>
          </cell>
          <cell r="C130" t="str">
            <v>DM  MACARONI-CORNETTO MEDIUM 400G X 4 OF</v>
          </cell>
          <cell r="D130" t="str">
            <v>4 X 400 GM</v>
          </cell>
          <cell r="F130">
            <v>1.3680000000000001</v>
          </cell>
          <cell r="G130">
            <v>1800000016044</v>
          </cell>
          <cell r="J130">
            <v>357353</v>
          </cell>
          <cell r="K130">
            <v>357353</v>
          </cell>
          <cell r="L130" t="e">
            <v>#REF!</v>
          </cell>
          <cell r="N130">
            <v>91616</v>
          </cell>
        </row>
        <row r="131">
          <cell r="B131">
            <v>357354</v>
          </cell>
          <cell r="C131" t="str">
            <v>DM FUSILLI 400G X 4 OFFER PACK</v>
          </cell>
          <cell r="D131" t="str">
            <v>4 X 400 GM</v>
          </cell>
          <cell r="F131">
            <v>1.3680000000000001</v>
          </cell>
          <cell r="G131">
            <v>1800000016051</v>
          </cell>
          <cell r="J131">
            <v>357354</v>
          </cell>
          <cell r="K131">
            <v>357354</v>
          </cell>
          <cell r="L131" t="e">
            <v>#REF!</v>
          </cell>
          <cell r="N131">
            <v>193127</v>
          </cell>
        </row>
        <row r="132">
          <cell r="B132">
            <v>357355</v>
          </cell>
          <cell r="C132" t="str">
            <v>DM PENNE RIGATE  400G X 4 OFFER PACK</v>
          </cell>
          <cell r="D132" t="str">
            <v>4 X 400 GM</v>
          </cell>
          <cell r="F132">
            <v>1.3680000000000001</v>
          </cell>
          <cell r="G132">
            <v>1800000016068</v>
          </cell>
          <cell r="J132">
            <v>357355</v>
          </cell>
          <cell r="K132">
            <v>357355</v>
          </cell>
          <cell r="L132" t="e">
            <v>#REF!</v>
          </cell>
          <cell r="N132">
            <v>198563</v>
          </cell>
        </row>
        <row r="133">
          <cell r="B133">
            <v>357356</v>
          </cell>
          <cell r="C133" t="str">
            <v>DM VERMICIELLI CURVE 400G X 4 OFFER PACK</v>
          </cell>
          <cell r="D133" t="str">
            <v>4 X 400 GM</v>
          </cell>
          <cell r="F133">
            <v>1.3680000000000001</v>
          </cell>
          <cell r="G133">
            <v>1800000016075</v>
          </cell>
          <cell r="J133">
            <v>357356</v>
          </cell>
          <cell r="K133">
            <v>357356</v>
          </cell>
          <cell r="L133" t="e">
            <v>#REF!</v>
          </cell>
          <cell r="N133">
            <v>296891</v>
          </cell>
        </row>
        <row r="134">
          <cell r="B134">
            <v>91541</v>
          </cell>
          <cell r="C134" t="str">
            <v>DM(24) FIESTA FRUIT COCKTAIL 850GM</v>
          </cell>
          <cell r="D134"/>
          <cell r="E134">
            <v>24</v>
          </cell>
          <cell r="F134">
            <v>0.84</v>
          </cell>
          <cell r="G134">
            <v>24000037484</v>
          </cell>
          <cell r="J134">
            <v>91541</v>
          </cell>
          <cell r="K134">
            <v>91541</v>
          </cell>
          <cell r="L134" t="e">
            <v>#REF!</v>
          </cell>
          <cell r="N134">
            <v>304053</v>
          </cell>
        </row>
        <row r="135">
          <cell r="B135">
            <v>377203</v>
          </cell>
          <cell r="C135" t="str">
            <v>DM STUFFED GREEN OLIVES JARS 12X335G</v>
          </cell>
          <cell r="D135"/>
          <cell r="E135">
            <v>12</v>
          </cell>
          <cell r="F135">
            <v>1.1000000000000001</v>
          </cell>
          <cell r="G135">
            <v>8720865190563</v>
          </cell>
          <cell r="J135">
            <v>377203</v>
          </cell>
          <cell r="K135">
            <v>377203</v>
          </cell>
          <cell r="L135" t="e">
            <v>#REF!</v>
          </cell>
          <cell r="N135">
            <v>159579</v>
          </cell>
        </row>
        <row r="136">
          <cell r="B136">
            <v>377204</v>
          </cell>
          <cell r="C136" t="str">
            <v>DM BLACK SLICED OLIVES JARS 12X460GM</v>
          </cell>
          <cell r="D136"/>
          <cell r="E136">
            <v>12</v>
          </cell>
          <cell r="F136">
            <v>1.4530000000000001</v>
          </cell>
          <cell r="G136">
            <v>8720865190662</v>
          </cell>
          <cell r="J136">
            <v>377204</v>
          </cell>
          <cell r="K136">
            <v>377204</v>
          </cell>
          <cell r="L136" t="e">
            <v>#REF!</v>
          </cell>
          <cell r="N136">
            <v>159580</v>
          </cell>
        </row>
        <row r="137">
          <cell r="B137">
            <v>375630</v>
          </cell>
          <cell r="C137" t="str">
            <v>DELMONTE PLAIN BLACK OLIVES 335G* 2</v>
          </cell>
          <cell r="D137"/>
          <cell r="E137">
            <v>6</v>
          </cell>
          <cell r="F137">
            <v>1.44</v>
          </cell>
          <cell r="G137">
            <v>1800000020706</v>
          </cell>
          <cell r="J137">
            <v>375630</v>
          </cell>
          <cell r="K137">
            <v>375630</v>
          </cell>
          <cell r="L137" t="e">
            <v>#REF!</v>
          </cell>
          <cell r="N137">
            <v>159661</v>
          </cell>
        </row>
        <row r="138">
          <cell r="B138">
            <v>375631</v>
          </cell>
          <cell r="C138" t="str">
            <v>DELMONTE PLAIN BLACK OLIVES 460G *2</v>
          </cell>
          <cell r="D138"/>
          <cell r="E138">
            <v>6</v>
          </cell>
          <cell r="F138">
            <v>2.3250000000000002</v>
          </cell>
          <cell r="G138">
            <v>1800000020805</v>
          </cell>
          <cell r="J138">
            <v>375631</v>
          </cell>
          <cell r="K138">
            <v>375631</v>
          </cell>
          <cell r="L138" t="e">
            <v>#REF!</v>
          </cell>
          <cell r="N138">
            <v>159662</v>
          </cell>
        </row>
        <row r="139">
          <cell r="B139">
            <v>375632</v>
          </cell>
          <cell r="C139" t="str">
            <v>DELMONTE PLAIN GREEN OLIVES 335G*2</v>
          </cell>
          <cell r="D139"/>
          <cell r="E139">
            <v>6</v>
          </cell>
          <cell r="F139">
            <v>1.44</v>
          </cell>
          <cell r="G139">
            <v>1800000020904</v>
          </cell>
          <cell r="J139">
            <v>375632</v>
          </cell>
          <cell r="K139">
            <v>375632</v>
          </cell>
          <cell r="L139" t="e">
            <v>#REF!</v>
          </cell>
          <cell r="N139">
            <v>159749</v>
          </cell>
        </row>
        <row r="140">
          <cell r="B140">
            <v>375633</v>
          </cell>
          <cell r="C140" t="str">
            <v>DELMONTE PLAIN GREEN OLIVES 460G*2</v>
          </cell>
          <cell r="D140"/>
          <cell r="E140">
            <v>6</v>
          </cell>
          <cell r="F140">
            <v>2.3250000000000002</v>
          </cell>
          <cell r="G140">
            <v>1800000021000</v>
          </cell>
          <cell r="J140">
            <v>375633</v>
          </cell>
          <cell r="K140">
            <v>375633</v>
          </cell>
          <cell r="L140" t="e">
            <v>#REF!</v>
          </cell>
          <cell r="N140">
            <v>159750</v>
          </cell>
        </row>
        <row r="141">
          <cell r="B141">
            <v>106958</v>
          </cell>
          <cell r="C141" t="str">
            <v>PONS EXTRA VIRGIN OLIVE OIL</v>
          </cell>
          <cell r="D141" t="str">
            <v>12X250 ML</v>
          </cell>
          <cell r="F141">
            <v>1.2749999999999999</v>
          </cell>
          <cell r="G141">
            <v>8429671350054</v>
          </cell>
          <cell r="J141">
            <v>106958</v>
          </cell>
          <cell r="K141" t="str">
            <v/>
          </cell>
          <cell r="L141" t="e">
            <v>#REF!</v>
          </cell>
          <cell r="N141">
            <v>293042</v>
          </cell>
        </row>
        <row r="142">
          <cell r="B142">
            <v>91275</v>
          </cell>
          <cell r="C142" t="str">
            <v>PONS EXTRA VIRGIN OLIVE OIL</v>
          </cell>
          <cell r="D142" t="str">
            <v>12X500 ML</v>
          </cell>
          <cell r="F142">
            <v>2.3849999999999998</v>
          </cell>
          <cell r="G142">
            <v>8429671350061</v>
          </cell>
          <cell r="J142">
            <v>91275</v>
          </cell>
          <cell r="K142" t="str">
            <v/>
          </cell>
          <cell r="L142" t="e">
            <v>#REF!</v>
          </cell>
          <cell r="N142">
            <v>293043</v>
          </cell>
        </row>
        <row r="143">
          <cell r="B143">
            <v>91277</v>
          </cell>
          <cell r="C143" t="str">
            <v>PONS EXTRA VIRGIN OLIVE OIL</v>
          </cell>
          <cell r="D143" t="str">
            <v>6X1 LTR</v>
          </cell>
          <cell r="F143">
            <v>4.6829999999999998</v>
          </cell>
          <cell r="G143">
            <v>8429671350115</v>
          </cell>
          <cell r="J143">
            <v>91277</v>
          </cell>
          <cell r="K143" t="str">
            <v/>
          </cell>
          <cell r="L143" t="e">
            <v>#REF!</v>
          </cell>
          <cell r="N143">
            <v>372600</v>
          </cell>
        </row>
        <row r="144">
          <cell r="B144">
            <v>106959</v>
          </cell>
          <cell r="C144" t="str">
            <v>PONS PURE OLIVE OIL</v>
          </cell>
          <cell r="D144" t="str">
            <v>12X250 ML</v>
          </cell>
          <cell r="F144">
            <v>1.2869999999999999</v>
          </cell>
          <cell r="G144">
            <v>8429671350085</v>
          </cell>
          <cell r="J144">
            <v>106959</v>
          </cell>
          <cell r="K144" t="str">
            <v/>
          </cell>
          <cell r="L144" t="e">
            <v>#REF!</v>
          </cell>
          <cell r="N144">
            <v>372601</v>
          </cell>
        </row>
        <row r="145">
          <cell r="B145">
            <v>91284</v>
          </cell>
          <cell r="C145" t="str">
            <v>PONS PURE OLIVE OIL</v>
          </cell>
          <cell r="D145" t="str">
            <v>12X500 ML</v>
          </cell>
          <cell r="F145">
            <v>2.2120000000000002</v>
          </cell>
          <cell r="G145">
            <v>8429671350092</v>
          </cell>
          <cell r="J145">
            <v>91284</v>
          </cell>
          <cell r="K145" t="str">
            <v/>
          </cell>
          <cell r="L145" t="e">
            <v>#REF!</v>
          </cell>
          <cell r="N145">
            <v>372602</v>
          </cell>
        </row>
        <row r="146">
          <cell r="B146">
            <v>107250</v>
          </cell>
          <cell r="C146" t="str">
            <v>PONS BLENDED OLIVE OIL</v>
          </cell>
          <cell r="D146" t="str">
            <v>12 X 750 ML</v>
          </cell>
          <cell r="F146">
            <v>1.8160000000000001</v>
          </cell>
          <cell r="G146">
            <v>8429671351235</v>
          </cell>
          <cell r="J146">
            <v>107250</v>
          </cell>
          <cell r="K146" t="str">
            <v/>
          </cell>
          <cell r="L146" t="e">
            <v>#REF!</v>
          </cell>
          <cell r="N146">
            <v>372603</v>
          </cell>
        </row>
        <row r="147">
          <cell r="B147">
            <v>282412</v>
          </cell>
          <cell r="C147" t="str">
            <v>PONS BLENDED OLIVE OIL</v>
          </cell>
          <cell r="D147" t="str">
            <v>12 X 500 ML</v>
          </cell>
          <cell r="F147">
            <v>1.4430000000000003</v>
          </cell>
          <cell r="G147">
            <v>8429671351266</v>
          </cell>
          <cell r="J147">
            <v>282412</v>
          </cell>
          <cell r="K147" t="str">
            <v/>
          </cell>
          <cell r="L147" t="e">
            <v>#REF!</v>
          </cell>
          <cell r="N147">
            <v>372604</v>
          </cell>
        </row>
        <row r="148">
          <cell r="B148">
            <v>269087</v>
          </cell>
          <cell r="C148" t="str">
            <v>Fruitella 2in1 Straw Banana</v>
          </cell>
          <cell r="D148" t="str">
            <v>12 Outer x 20 Sticks</v>
          </cell>
          <cell r="E148"/>
          <cell r="F148">
            <v>0.14000000000000001</v>
          </cell>
          <cell r="G148">
            <v>6921211114338</v>
          </cell>
          <cell r="H148"/>
          <cell r="I148"/>
          <cell r="J148">
            <v>269087</v>
          </cell>
          <cell r="K148" t="str">
            <v/>
          </cell>
          <cell r="L148" t="e">
            <v>#REF!</v>
          </cell>
          <cell r="N148">
            <v>372605</v>
          </cell>
        </row>
        <row r="149">
          <cell r="B149">
            <v>269088</v>
          </cell>
          <cell r="C149" t="str">
            <v xml:space="preserve">Fruitella 2in1 Lemon Grape </v>
          </cell>
          <cell r="D149" t="str">
            <v>12 Outer x 20 Sticks</v>
          </cell>
          <cell r="E149"/>
          <cell r="F149">
            <v>0.14000000000000001</v>
          </cell>
          <cell r="G149">
            <v>6921211114307</v>
          </cell>
          <cell r="H149"/>
          <cell r="I149"/>
          <cell r="J149">
            <v>269088</v>
          </cell>
          <cell r="K149" t="str">
            <v/>
          </cell>
          <cell r="L149" t="e">
            <v>#REF!</v>
          </cell>
          <cell r="N149">
            <v>341279</v>
          </cell>
        </row>
        <row r="150">
          <cell r="B150">
            <v>269086</v>
          </cell>
          <cell r="C150" t="str">
            <v xml:space="preserve">Fruitella Fruit Assorted </v>
          </cell>
          <cell r="D150" t="str">
            <v>24 Bag x 140g</v>
          </cell>
          <cell r="E150"/>
          <cell r="F150">
            <v>0.65600000000000003</v>
          </cell>
          <cell r="G150">
            <v>6921211114994</v>
          </cell>
          <cell r="H150"/>
          <cell r="I150"/>
          <cell r="J150">
            <v>269086</v>
          </cell>
          <cell r="K150" t="str">
            <v/>
          </cell>
          <cell r="L150" t="e">
            <v>#REF!</v>
          </cell>
          <cell r="N150">
            <v>341280</v>
          </cell>
        </row>
        <row r="151">
          <cell r="B151">
            <v>229394</v>
          </cell>
          <cell r="C151" t="str">
            <v xml:space="preserve">Alpenliebe Milk Chews </v>
          </cell>
          <cell r="D151" t="str">
            <v>12 Outer x 20 Sticks</v>
          </cell>
          <cell r="E151"/>
          <cell r="F151">
            <v>0.13900000000000001</v>
          </cell>
          <cell r="G151">
            <v>87108781</v>
          </cell>
          <cell r="H151"/>
          <cell r="I151"/>
          <cell r="J151">
            <v>229394</v>
          </cell>
          <cell r="K151" t="str">
            <v/>
          </cell>
          <cell r="L151" t="e">
            <v>#REF!</v>
          </cell>
          <cell r="N151">
            <v>341281</v>
          </cell>
        </row>
        <row r="152">
          <cell r="B152">
            <v>176188</v>
          </cell>
          <cell r="C152" t="str">
            <v>Smint Original Mint</v>
          </cell>
          <cell r="D152" t="str">
            <v>12 Outer X 12 Dispenser</v>
          </cell>
          <cell r="E152"/>
          <cell r="F152">
            <v>0.41899999999999998</v>
          </cell>
          <cell r="G152">
            <v>84155634</v>
          </cell>
          <cell r="H152"/>
          <cell r="I152"/>
          <cell r="J152">
            <v>176188</v>
          </cell>
          <cell r="K152" t="str">
            <v/>
          </cell>
          <cell r="L152" t="e">
            <v>#REF!</v>
          </cell>
          <cell r="N152">
            <v>341282</v>
          </cell>
        </row>
        <row r="153">
          <cell r="B153">
            <v>176189</v>
          </cell>
          <cell r="C153" t="str">
            <v>Smint Original Peppermint</v>
          </cell>
          <cell r="D153" t="str">
            <v>12 Outer X 12 Dispenser</v>
          </cell>
          <cell r="E153"/>
          <cell r="F153">
            <v>0.41899999999999998</v>
          </cell>
          <cell r="G153">
            <v>84158833</v>
          </cell>
          <cell r="H153"/>
          <cell r="I153"/>
          <cell r="J153">
            <v>176189</v>
          </cell>
          <cell r="K153" t="str">
            <v/>
          </cell>
          <cell r="L153" t="e">
            <v>#REF!</v>
          </cell>
          <cell r="N153">
            <v>341283</v>
          </cell>
        </row>
        <row r="154">
          <cell r="B154">
            <v>176191</v>
          </cell>
          <cell r="C154" t="str">
            <v>Smint Original Wildberry</v>
          </cell>
          <cell r="D154" t="str">
            <v>12 Outer X 12 Dispenser</v>
          </cell>
          <cell r="E154"/>
          <cell r="F154">
            <v>0.41899999999999998</v>
          </cell>
          <cell r="G154">
            <v>84196033</v>
          </cell>
          <cell r="H154"/>
          <cell r="I154"/>
          <cell r="J154">
            <v>176191</v>
          </cell>
          <cell r="K154" t="str">
            <v/>
          </cell>
          <cell r="L154" t="e">
            <v>#REF!</v>
          </cell>
          <cell r="N154">
            <v>357352</v>
          </cell>
        </row>
        <row r="155">
          <cell r="B155">
            <v>229182</v>
          </cell>
          <cell r="C155" t="str">
            <v>Alpenliebe Original Jar</v>
          </cell>
          <cell r="D155" t="str">
            <v>12 Jars x 200 Mono Wraps</v>
          </cell>
          <cell r="E155"/>
          <cell r="F155">
            <v>1.871</v>
          </cell>
          <cell r="G155">
            <v>8990800011554</v>
          </cell>
          <cell r="H155"/>
          <cell r="I155"/>
          <cell r="J155">
            <v>229182</v>
          </cell>
          <cell r="K155" t="str">
            <v/>
          </cell>
          <cell r="L155" t="e">
            <v>#REF!</v>
          </cell>
          <cell r="N155">
            <v>357353</v>
          </cell>
        </row>
        <row r="156">
          <cell r="B156">
            <v>229184</v>
          </cell>
          <cell r="C156" t="str">
            <v>Alpenliebe Original Stick</v>
          </cell>
          <cell r="D156" t="str">
            <v>24 Outer x 16 Sticks</v>
          </cell>
          <cell r="E156"/>
          <cell r="F156">
            <v>9.5000000000000001E-2</v>
          </cell>
          <cell r="G156">
            <v>8990800011196</v>
          </cell>
          <cell r="H156"/>
          <cell r="I156"/>
          <cell r="J156">
            <v>229184</v>
          </cell>
          <cell r="K156" t="str">
            <v/>
          </cell>
          <cell r="L156" t="e">
            <v>#REF!</v>
          </cell>
          <cell r="N156">
            <v>357354</v>
          </cell>
        </row>
        <row r="157">
          <cell r="B157">
            <v>138945</v>
          </cell>
          <cell r="C157" t="str">
            <v xml:space="preserve">Mentos Pocket Bottle Fresh Mint </v>
          </cell>
          <cell r="D157" t="str">
            <v xml:space="preserve"> 6 Outer x 10 Bottles</v>
          </cell>
          <cell r="E157"/>
          <cell r="F157">
            <v>0.46200000000000002</v>
          </cell>
          <cell r="G157">
            <v>80756637</v>
          </cell>
          <cell r="H157"/>
          <cell r="I157"/>
          <cell r="J157">
            <v>138945</v>
          </cell>
          <cell r="K157" t="str">
            <v/>
          </cell>
          <cell r="L157" t="e">
            <v>#REF!</v>
          </cell>
          <cell r="N157">
            <v>357355</v>
          </cell>
        </row>
        <row r="158">
          <cell r="B158">
            <v>138947</v>
          </cell>
          <cell r="C158" t="str">
            <v xml:space="preserve">Mentos Pocket Bottle Watermelon </v>
          </cell>
          <cell r="D158" t="str">
            <v xml:space="preserve"> 6 Outer x 10 Bottles</v>
          </cell>
          <cell r="E158"/>
          <cell r="F158">
            <v>0.46200000000000002</v>
          </cell>
          <cell r="G158">
            <v>80756620</v>
          </cell>
          <cell r="H158"/>
          <cell r="I158"/>
          <cell r="J158">
            <v>138947</v>
          </cell>
          <cell r="K158" t="str">
            <v/>
          </cell>
          <cell r="L158" t="e">
            <v>#REF!</v>
          </cell>
          <cell r="N158">
            <v>357356</v>
          </cell>
        </row>
        <row r="159">
          <cell r="B159">
            <v>138946</v>
          </cell>
          <cell r="C159" t="str">
            <v xml:space="preserve">Mentos Pocket Bottle Fruit Lime </v>
          </cell>
          <cell r="D159" t="str">
            <v xml:space="preserve"> 6 Outer x 10 Bottles</v>
          </cell>
          <cell r="E159"/>
          <cell r="F159">
            <v>0.46200000000000002</v>
          </cell>
          <cell r="G159">
            <v>80756613</v>
          </cell>
          <cell r="H159"/>
          <cell r="I159"/>
          <cell r="J159">
            <v>138946</v>
          </cell>
          <cell r="K159" t="str">
            <v/>
          </cell>
          <cell r="N159"/>
        </row>
        <row r="160">
          <cell r="B160">
            <v>138937</v>
          </cell>
          <cell r="C160" t="str">
            <v xml:space="preserve">Mentos White Bottle Sweetmint </v>
          </cell>
          <cell r="D160" t="str">
            <v>12 Outer x 6 Bottles</v>
          </cell>
          <cell r="E160"/>
          <cell r="F160">
            <v>0.63100000000000001</v>
          </cell>
          <cell r="G160">
            <v>8935001706588</v>
          </cell>
          <cell r="H160"/>
          <cell r="I160"/>
          <cell r="J160">
            <v>138937</v>
          </cell>
          <cell r="K160" t="str">
            <v/>
          </cell>
          <cell r="N160"/>
        </row>
        <row r="161">
          <cell r="B161">
            <v>138938</v>
          </cell>
          <cell r="C161" t="str">
            <v xml:space="preserve">Mentos White Bottle Tutti Frutti </v>
          </cell>
          <cell r="D161" t="str">
            <v>12 Outer x 6 Bottles</v>
          </cell>
          <cell r="E161"/>
          <cell r="F161">
            <v>0.63100000000000001</v>
          </cell>
          <cell r="G161">
            <v>8935001706724</v>
          </cell>
          <cell r="H161"/>
          <cell r="I161"/>
          <cell r="J161">
            <v>138938</v>
          </cell>
          <cell r="K161" t="str">
            <v/>
          </cell>
          <cell r="N161"/>
        </row>
        <row r="162">
          <cell r="B162">
            <v>327491</v>
          </cell>
          <cell r="C162" t="str">
            <v>MENTOS WHITE BOTTLE PEPPERMINT- NEW</v>
          </cell>
          <cell r="D162" t="str">
            <v>12 Outer x 6 Bottles</v>
          </cell>
          <cell r="E162"/>
          <cell r="F162">
            <v>0.65200000000000002</v>
          </cell>
          <cell r="G162">
            <v>8935001725572</v>
          </cell>
          <cell r="H162"/>
          <cell r="I162"/>
          <cell r="J162">
            <v>327491</v>
          </cell>
          <cell r="K162" t="str">
            <v/>
          </cell>
          <cell r="N162"/>
        </row>
        <row r="163">
          <cell r="B163">
            <v>138940</v>
          </cell>
          <cell r="C163" t="str">
            <v xml:space="preserve">Mentos Bottle Fresh Mint </v>
          </cell>
          <cell r="D163" t="str">
            <v>6 Outer x 6 Bottles</v>
          </cell>
          <cell r="E163"/>
          <cell r="F163">
            <v>0.88900000000000001</v>
          </cell>
          <cell r="G163">
            <v>80756590</v>
          </cell>
          <cell r="H163"/>
          <cell r="I163"/>
          <cell r="J163">
            <v>138940</v>
          </cell>
          <cell r="K163" t="str">
            <v/>
          </cell>
          <cell r="N163"/>
        </row>
        <row r="164">
          <cell r="B164">
            <v>138939</v>
          </cell>
          <cell r="C164" t="str">
            <v xml:space="preserve">Mentos Bottle Winter Green </v>
          </cell>
          <cell r="D164" t="str">
            <v>6 Outer x 6 Bottles</v>
          </cell>
          <cell r="E164"/>
          <cell r="F164">
            <v>0.88900000000000001</v>
          </cell>
          <cell r="G164">
            <v>80756606</v>
          </cell>
          <cell r="H164"/>
          <cell r="I164"/>
          <cell r="J164">
            <v>138939</v>
          </cell>
          <cell r="K164" t="str">
            <v/>
          </cell>
          <cell r="N164"/>
        </row>
        <row r="165">
          <cell r="B165">
            <v>138942</v>
          </cell>
          <cell r="C165" t="str">
            <v xml:space="preserve">Mentos Bubble Gum Mixed Fruit </v>
          </cell>
          <cell r="D165" t="str">
            <v>6 Outer x 6 Bottles</v>
          </cell>
          <cell r="E165"/>
          <cell r="F165">
            <v>0.88900000000000001</v>
          </cell>
          <cell r="G165">
            <v>80759355</v>
          </cell>
          <cell r="H165"/>
          <cell r="I165"/>
          <cell r="J165">
            <v>138942</v>
          </cell>
          <cell r="K165" t="str">
            <v/>
          </cell>
          <cell r="N165"/>
        </row>
        <row r="166">
          <cell r="B166">
            <v>252583</v>
          </cell>
          <cell r="C166" t="str">
            <v>Mentos 50p Bottle Spearmint</v>
          </cell>
          <cell r="D166" t="str">
            <v>6 Outer x 6 Bottles</v>
          </cell>
          <cell r="E166"/>
          <cell r="F166">
            <v>1.1459999999999999</v>
          </cell>
          <cell r="G166">
            <v>8935001724087</v>
          </cell>
          <cell r="H166"/>
          <cell r="I166"/>
          <cell r="J166">
            <v>252583</v>
          </cell>
          <cell r="K166" t="str">
            <v/>
          </cell>
          <cell r="L166" t="e">
            <v>#REF!</v>
          </cell>
          <cell r="N166">
            <v>152859</v>
          </cell>
        </row>
        <row r="167">
          <cell r="B167">
            <v>252584</v>
          </cell>
          <cell r="C167" t="str">
            <v>Mentos 50p Bottle Bubble Fresh</v>
          </cell>
          <cell r="D167" t="str">
            <v>6 Outer x 6 Bottles</v>
          </cell>
          <cell r="E167"/>
          <cell r="F167">
            <v>1.1459999999999999</v>
          </cell>
          <cell r="G167">
            <v>8935001724063</v>
          </cell>
          <cell r="H167"/>
          <cell r="I167"/>
          <cell r="J167">
            <v>252584</v>
          </cell>
          <cell r="K167" t="str">
            <v/>
          </cell>
          <cell r="L167" t="e">
            <v>#REF!</v>
          </cell>
          <cell r="N167">
            <v>94576</v>
          </cell>
        </row>
        <row r="168">
          <cell r="B168">
            <v>308535</v>
          </cell>
          <cell r="C168" t="str">
            <v>MENTOS 50P BOTTLE STRAWBERRY</v>
          </cell>
          <cell r="D168" t="str">
            <v>6 Outer x 6 Bottles</v>
          </cell>
          <cell r="E168"/>
          <cell r="F168">
            <v>1.206</v>
          </cell>
          <cell r="G168">
            <v>8935001725015</v>
          </cell>
          <cell r="H168"/>
          <cell r="I168"/>
          <cell r="J168">
            <v>308535</v>
          </cell>
          <cell r="K168" t="str">
            <v/>
          </cell>
          <cell r="L168" t="e">
            <v>#REF!</v>
          </cell>
          <cell r="N168">
            <v>94581</v>
          </cell>
        </row>
        <row r="169">
          <cell r="B169">
            <v>308536</v>
          </cell>
          <cell r="C169" t="str">
            <v>MENTOS 50P BOTTLE WATERMELON</v>
          </cell>
          <cell r="D169" t="str">
            <v>6 Outer x 6 Bottles</v>
          </cell>
          <cell r="E169"/>
          <cell r="F169">
            <v>1.206</v>
          </cell>
          <cell r="G169">
            <v>8935001725039</v>
          </cell>
          <cell r="H169"/>
          <cell r="I169"/>
          <cell r="J169">
            <v>308536</v>
          </cell>
          <cell r="K169" t="str">
            <v/>
          </cell>
          <cell r="L169" t="e">
            <v>#REF!</v>
          </cell>
          <cell r="N169">
            <v>94590</v>
          </cell>
        </row>
        <row r="170">
          <cell r="B170">
            <v>138949</v>
          </cell>
          <cell r="C170" t="str">
            <v xml:space="preserve">Mentos 3D Pine/Melon </v>
          </cell>
          <cell r="D170" t="str">
            <v>16 Outer x 15 Wallet</v>
          </cell>
          <cell r="E170"/>
          <cell r="F170" t="str">
            <v/>
          </cell>
          <cell r="G170">
            <v>80789222</v>
          </cell>
          <cell r="H170"/>
          <cell r="I170"/>
          <cell r="J170">
            <v>138949</v>
          </cell>
          <cell r="K170" t="str">
            <v/>
          </cell>
          <cell r="L170" t="e">
            <v>#REF!</v>
          </cell>
          <cell r="N170">
            <v>177009</v>
          </cell>
        </row>
        <row r="171">
          <cell r="B171">
            <v>138950</v>
          </cell>
          <cell r="C171" t="str">
            <v>Mentos 3D Strawberry / Apple / Raspberry</v>
          </cell>
          <cell r="D171" t="str">
            <v>16 Outer x 15 Wallet</v>
          </cell>
          <cell r="E171"/>
          <cell r="F171">
            <v>0.4</v>
          </cell>
          <cell r="G171">
            <v>80792598</v>
          </cell>
          <cell r="H171"/>
          <cell r="I171"/>
          <cell r="J171">
            <v>138950</v>
          </cell>
          <cell r="K171" t="str">
            <v/>
          </cell>
          <cell r="L171" t="e">
            <v>#REF!</v>
          </cell>
          <cell r="N171">
            <v>94567</v>
          </cell>
        </row>
        <row r="172">
          <cell r="B172">
            <v>138948</v>
          </cell>
          <cell r="C172" t="str">
            <v xml:space="preserve">Mentos 3D Freshmint </v>
          </cell>
          <cell r="D172" t="str">
            <v>16 Outer x 15 Wallet</v>
          </cell>
          <cell r="E172"/>
          <cell r="F172">
            <v>0.4</v>
          </cell>
          <cell r="G172">
            <v>80945086</v>
          </cell>
          <cell r="H172"/>
          <cell r="I172"/>
          <cell r="J172">
            <v>138948</v>
          </cell>
          <cell r="K172" t="str">
            <v/>
          </cell>
          <cell r="L172" t="e">
            <v>#REF!</v>
          </cell>
          <cell r="N172">
            <v>152860</v>
          </cell>
        </row>
        <row r="173">
          <cell r="B173">
            <v>183930</v>
          </cell>
          <cell r="C173" t="str">
            <v>Mentos XL White Bottle Strawberry</v>
          </cell>
          <cell r="D173" t="str">
            <v>8 Outer x 6 Bottles</v>
          </cell>
          <cell r="E173"/>
          <cell r="F173">
            <v>1.087</v>
          </cell>
          <cell r="G173">
            <v>8935001722519</v>
          </cell>
          <cell r="H173"/>
          <cell r="I173"/>
          <cell r="J173">
            <v>183930</v>
          </cell>
          <cell r="K173" t="str">
            <v/>
          </cell>
          <cell r="L173" t="e">
            <v>#REF!</v>
          </cell>
          <cell r="N173">
            <v>94649</v>
          </cell>
        </row>
        <row r="174">
          <cell r="B174">
            <v>184051</v>
          </cell>
          <cell r="C174" t="str">
            <v>Mentos XL White Bottle Spearmint</v>
          </cell>
          <cell r="D174" t="str">
            <v>8 Outer x 6 Bottles</v>
          </cell>
          <cell r="E174"/>
          <cell r="F174">
            <v>1.087</v>
          </cell>
          <cell r="G174">
            <v>8935001722533</v>
          </cell>
          <cell r="H174"/>
          <cell r="I174"/>
          <cell r="J174">
            <v>184051</v>
          </cell>
          <cell r="K174" t="str">
            <v/>
          </cell>
          <cell r="L174" t="e">
            <v>#REF!</v>
          </cell>
          <cell r="N174">
            <v>133208</v>
          </cell>
        </row>
        <row r="175">
          <cell r="B175">
            <v>271358</v>
          </cell>
          <cell r="C175" t="str">
            <v>Mentos 9P Pure Fresh Fresh Mint 1.75Gm</v>
          </cell>
          <cell r="D175" t="str">
            <v>12DB x 16Rollsx 9pcsx 1.75gms</v>
          </cell>
          <cell r="E175"/>
          <cell r="F175">
            <v>0.184</v>
          </cell>
          <cell r="G175">
            <v>8935001724544</v>
          </cell>
          <cell r="H175"/>
          <cell r="I175"/>
          <cell r="J175">
            <v>271358</v>
          </cell>
          <cell r="K175" t="str">
            <v/>
          </cell>
          <cell r="L175" t="e">
            <v>#REF!</v>
          </cell>
          <cell r="N175">
            <v>202753</v>
          </cell>
        </row>
        <row r="176">
          <cell r="B176">
            <v>271359</v>
          </cell>
          <cell r="C176" t="str">
            <v>Mentos 9P Pure Fresh Bubble Fresh 1.75Gm</v>
          </cell>
          <cell r="D176" t="str">
            <v>12DB x 16Rollsx 9pcsx 1.75gms</v>
          </cell>
          <cell r="E176"/>
          <cell r="F176">
            <v>0.184</v>
          </cell>
          <cell r="G176">
            <v>8935001724513</v>
          </cell>
          <cell r="H176"/>
          <cell r="I176"/>
          <cell r="J176">
            <v>271359</v>
          </cell>
          <cell r="K176" t="str">
            <v/>
          </cell>
          <cell r="L176" t="e">
            <v>#REF!</v>
          </cell>
          <cell r="N176">
            <v>155147</v>
          </cell>
        </row>
        <row r="177">
          <cell r="B177">
            <v>309760</v>
          </cell>
          <cell r="C177" t="str">
            <v>MENTOS 9P PURE FRESH STRAWBERRY 1.75GM</v>
          </cell>
          <cell r="D177" t="str">
            <v>12DB x 16Rollsx 9pcsx 1.75gms</v>
          </cell>
          <cell r="E177"/>
          <cell r="F177">
            <v>0.184</v>
          </cell>
          <cell r="G177">
            <v>8935001724537</v>
          </cell>
          <cell r="H177"/>
          <cell r="I177"/>
          <cell r="J177">
            <v>309760</v>
          </cell>
          <cell r="K177" t="str">
            <v/>
          </cell>
          <cell r="L177" t="e">
            <v>#REF!</v>
          </cell>
          <cell r="N177">
            <v>94659</v>
          </cell>
        </row>
        <row r="178">
          <cell r="B178">
            <v>309771</v>
          </cell>
          <cell r="C178" t="str">
            <v>MENTOS 9P PURE FRESH WATERMELON 1.75GM</v>
          </cell>
          <cell r="D178" t="str">
            <v>12DB x 16Rollsx 9pcsx 1.75gms</v>
          </cell>
          <cell r="E178"/>
          <cell r="F178">
            <v>0.191</v>
          </cell>
          <cell r="G178">
            <v>8935001724520</v>
          </cell>
          <cell r="H178"/>
          <cell r="I178"/>
          <cell r="J178">
            <v>309771</v>
          </cell>
          <cell r="K178" t="str">
            <v/>
          </cell>
          <cell r="L178" t="e">
            <v>#REF!</v>
          </cell>
          <cell r="N178">
            <v>94661</v>
          </cell>
        </row>
        <row r="179">
          <cell r="B179">
            <v>351374</v>
          </cell>
          <cell r="C179" t="str">
            <v>MENTOS PURE FRESH SPERMINT 9P</v>
          </cell>
          <cell r="D179" t="str">
            <v>12 outer *16 pcs</v>
          </cell>
          <cell r="E179"/>
          <cell r="F179">
            <v>0.184</v>
          </cell>
          <cell r="G179">
            <v>8935001726494</v>
          </cell>
          <cell r="H179"/>
          <cell r="I179"/>
          <cell r="J179">
            <v>351374</v>
          </cell>
          <cell r="K179" t="str">
            <v/>
          </cell>
          <cell r="L179" t="e">
            <v>#REF!</v>
          </cell>
          <cell r="N179">
            <v>94664</v>
          </cell>
        </row>
        <row r="180">
          <cell r="B180">
            <v>229190</v>
          </cell>
          <cell r="C180" t="str">
            <v>Big Babol Mega Berry Mix</v>
          </cell>
          <cell r="D180" t="str">
            <v>24 Outer x 20 Sticks</v>
          </cell>
          <cell r="E180"/>
          <cell r="F180">
            <v>9.0999999999999998E-2</v>
          </cell>
          <cell r="G180">
            <v>80757450</v>
          </cell>
          <cell r="H180"/>
          <cell r="I180"/>
          <cell r="J180">
            <v>229190</v>
          </cell>
          <cell r="K180" t="str">
            <v/>
          </cell>
          <cell r="L180" t="e">
            <v>#REF!</v>
          </cell>
          <cell r="N180">
            <v>268317</v>
          </cell>
        </row>
        <row r="181">
          <cell r="B181">
            <v>229392</v>
          </cell>
          <cell r="C181" t="str">
            <v>Big Babol Mega Strawberry</v>
          </cell>
          <cell r="D181" t="str">
            <v>24 Outer x 20 Sticks</v>
          </cell>
          <cell r="E181"/>
          <cell r="F181">
            <v>9.0999999999999998E-2</v>
          </cell>
          <cell r="G181">
            <v>80757474</v>
          </cell>
          <cell r="H181"/>
          <cell r="I181"/>
          <cell r="J181">
            <v>229392</v>
          </cell>
          <cell r="K181" t="str">
            <v/>
          </cell>
          <cell r="L181" t="e">
            <v>#REF!</v>
          </cell>
          <cell r="N181">
            <v>94656</v>
          </cell>
        </row>
        <row r="182">
          <cell r="B182">
            <v>229393</v>
          </cell>
          <cell r="C182" t="str">
            <v>Big Babol Mega Tutti Frutti</v>
          </cell>
          <cell r="D182" t="str">
            <v>24 Outer x 20 Sticks</v>
          </cell>
          <cell r="E182"/>
          <cell r="F182">
            <v>9.0999999999999998E-2</v>
          </cell>
          <cell r="G182">
            <v>80757481</v>
          </cell>
          <cell r="H182"/>
          <cell r="I182"/>
          <cell r="J182">
            <v>229393</v>
          </cell>
          <cell r="K182" t="str">
            <v/>
          </cell>
          <cell r="L182" t="e">
            <v>#REF!</v>
          </cell>
          <cell r="N182">
            <v>94595</v>
          </cell>
        </row>
        <row r="183">
          <cell r="B183">
            <v>229186</v>
          </cell>
          <cell r="C183" t="str">
            <v>Big Babol Fili Folly Strawberry</v>
          </cell>
          <cell r="D183" t="str">
            <v>12 Outer x 12 Pouches</v>
          </cell>
          <cell r="E183"/>
          <cell r="F183">
            <v>0.188</v>
          </cell>
          <cell r="G183">
            <v>6921211111559</v>
          </cell>
          <cell r="H183"/>
          <cell r="I183"/>
          <cell r="J183">
            <v>229186</v>
          </cell>
          <cell r="K183" t="str">
            <v/>
          </cell>
          <cell r="L183" t="e">
            <v>#REF!</v>
          </cell>
          <cell r="N183">
            <v>155145</v>
          </cell>
        </row>
        <row r="184">
          <cell r="B184">
            <v>229187</v>
          </cell>
          <cell r="C184" t="str">
            <v>Big Babol Fili Folly Tutti Frutti</v>
          </cell>
          <cell r="D184" t="str">
            <v>12 Outer x 12 Pouches</v>
          </cell>
          <cell r="E184"/>
          <cell r="F184">
            <v>0.188</v>
          </cell>
          <cell r="G184">
            <v>6921211111467</v>
          </cell>
          <cell r="H184"/>
          <cell r="I184"/>
          <cell r="J184">
            <v>229187</v>
          </cell>
          <cell r="K184" t="str">
            <v/>
          </cell>
          <cell r="L184" t="e">
            <v>#REF!</v>
          </cell>
          <cell r="N184">
            <v>155146</v>
          </cell>
        </row>
        <row r="185">
          <cell r="B185">
            <v>229189</v>
          </cell>
          <cell r="C185" t="str">
            <v>Big Babol Fili Folly Watermelon</v>
          </cell>
          <cell r="D185" t="str">
            <v>12 Outer x 12 Pouches</v>
          </cell>
          <cell r="E185"/>
          <cell r="F185">
            <v>0.188</v>
          </cell>
          <cell r="G185">
            <v>6921211112068</v>
          </cell>
          <cell r="H185"/>
          <cell r="I185"/>
          <cell r="J185">
            <v>229189</v>
          </cell>
          <cell r="K185" t="str">
            <v/>
          </cell>
          <cell r="L185" t="e">
            <v>#REF!</v>
          </cell>
          <cell r="N185">
            <v>139207</v>
          </cell>
        </row>
        <row r="186">
          <cell r="B186">
            <v>176198</v>
          </cell>
          <cell r="C186" t="str">
            <v>Chupa Chups Bag Colamix</v>
          </cell>
          <cell r="D186" t="str">
            <v>1 x 12 Bag x 10 Lollipops</v>
          </cell>
          <cell r="E186"/>
          <cell r="F186">
            <v>0.625</v>
          </cell>
          <cell r="G186">
            <v>8410031914443</v>
          </cell>
          <cell r="H186"/>
          <cell r="I186"/>
          <cell r="J186">
            <v>176198</v>
          </cell>
          <cell r="K186" t="str">
            <v/>
          </cell>
          <cell r="L186" t="e">
            <v>#REF!</v>
          </cell>
          <cell r="N186">
            <v>125019</v>
          </cell>
        </row>
        <row r="187">
          <cell r="B187">
            <v>176199</v>
          </cell>
          <cell r="C187" t="str">
            <v>Chupa Chups Bag Fruit</v>
          </cell>
          <cell r="D187" t="str">
            <v>1 x 12 Bag x 10 Lollipops</v>
          </cell>
          <cell r="E187"/>
          <cell r="F187">
            <v>0.625</v>
          </cell>
          <cell r="G187">
            <v>8410031996852</v>
          </cell>
          <cell r="H187"/>
          <cell r="I187"/>
          <cell r="J187">
            <v>176199</v>
          </cell>
          <cell r="K187" t="str">
            <v/>
          </cell>
          <cell r="L187" t="e">
            <v>#REF!</v>
          </cell>
          <cell r="N187">
            <v>182808</v>
          </cell>
        </row>
        <row r="188">
          <cell r="B188">
            <v>176200</v>
          </cell>
          <cell r="C188" t="str">
            <v>Chupa Chups Bag Milky</v>
          </cell>
          <cell r="D188" t="str">
            <v>1 x 12 Bag x 10 Lollipops</v>
          </cell>
          <cell r="E188"/>
          <cell r="F188">
            <v>0.625</v>
          </cell>
          <cell r="G188">
            <v>8410031122510</v>
          </cell>
          <cell r="H188"/>
          <cell r="I188"/>
          <cell r="J188">
            <v>176200</v>
          </cell>
          <cell r="K188" t="str">
            <v/>
          </cell>
          <cell r="L188" t="e">
            <v>#REF!</v>
          </cell>
          <cell r="N188">
            <v>182809</v>
          </cell>
        </row>
        <row r="189">
          <cell r="B189">
            <v>176201</v>
          </cell>
          <cell r="C189" t="str">
            <v>Chupa Chups Bag The Best of</v>
          </cell>
          <cell r="D189" t="str">
            <v>1 x 12 Bag x 10 Lollipops</v>
          </cell>
          <cell r="E189"/>
          <cell r="F189">
            <v>0.625</v>
          </cell>
          <cell r="G189">
            <v>8410031132519</v>
          </cell>
          <cell r="H189"/>
          <cell r="I189"/>
          <cell r="J189">
            <v>176201</v>
          </cell>
          <cell r="K189" t="str">
            <v/>
          </cell>
          <cell r="L189" t="e">
            <v>#REF!</v>
          </cell>
          <cell r="N189">
            <v>94714</v>
          </cell>
        </row>
        <row r="190">
          <cell r="B190">
            <v>374046</v>
          </cell>
          <cell r="C190" t="str">
            <v xml:space="preserve"> Chupa Chups Sour Bags Lollipops</v>
          </cell>
          <cell r="D190" t="str">
            <v>12 x 10 Bagsx 10 Lollipops</v>
          </cell>
          <cell r="E190"/>
          <cell r="F190">
            <v>0.63900000000000001</v>
          </cell>
          <cell r="G190">
            <v>8410031977240</v>
          </cell>
          <cell r="H190"/>
          <cell r="I190"/>
          <cell r="J190">
            <v>374046</v>
          </cell>
          <cell r="K190" t="str">
            <v/>
          </cell>
          <cell r="L190" t="e">
            <v>#REF!</v>
          </cell>
          <cell r="N190">
            <v>312609</v>
          </cell>
        </row>
        <row r="191">
          <cell r="B191">
            <v>176204</v>
          </cell>
          <cell r="C191" t="str">
            <v>Chupa Chups Singles The Best of</v>
          </cell>
          <cell r="D191" t="str">
            <v>6 Bag X 120 Lollipops</v>
          </cell>
          <cell r="E191"/>
          <cell r="F191">
            <v>5.2190000000000003</v>
          </cell>
          <cell r="G191">
            <v>8410031923605</v>
          </cell>
          <cell r="H191"/>
          <cell r="I191"/>
          <cell r="J191">
            <v>176204</v>
          </cell>
          <cell r="K191" t="str">
            <v/>
          </cell>
          <cell r="L191" t="e">
            <v>#REF!</v>
          </cell>
          <cell r="N191">
            <v>312610</v>
          </cell>
        </row>
        <row r="192">
          <cell r="B192">
            <v>247102</v>
          </cell>
          <cell r="C192" t="str">
            <v>CHUPA SINGLES Full Wheel</v>
          </cell>
          <cell r="D192" t="str">
            <v>1wheel x 240pcs</v>
          </cell>
          <cell r="E192"/>
          <cell r="F192" t="str">
            <v/>
          </cell>
          <cell r="G192" t="str">
            <v>-</v>
          </cell>
          <cell r="H192"/>
          <cell r="I192"/>
          <cell r="J192">
            <v>247102</v>
          </cell>
          <cell r="K192" t="str">
            <v/>
          </cell>
          <cell r="L192" t="e">
            <v>#REF!</v>
          </cell>
          <cell r="N192">
            <v>195540</v>
          </cell>
        </row>
        <row r="193">
          <cell r="B193">
            <v>176205</v>
          </cell>
          <cell r="C193" t="str">
            <v>Chupa Chups Bags Mini</v>
          </cell>
          <cell r="D193" t="str">
            <v>1 x 24 Bag</v>
          </cell>
          <cell r="E193"/>
          <cell r="F193">
            <v>1.159</v>
          </cell>
          <cell r="G193">
            <v>8410031936988</v>
          </cell>
          <cell r="H193"/>
          <cell r="I193"/>
          <cell r="J193">
            <v>176205</v>
          </cell>
          <cell r="K193" t="str">
            <v/>
          </cell>
          <cell r="L193" t="e">
            <v>#REF!</v>
          </cell>
          <cell r="N193">
            <v>94715</v>
          </cell>
        </row>
        <row r="194">
          <cell r="B194">
            <v>176206</v>
          </cell>
          <cell r="C194" t="str">
            <v>Chupa Chups Surprise Display</v>
          </cell>
          <cell r="D194" t="str">
            <v>6 Outers X 16 Lollipops</v>
          </cell>
          <cell r="E194"/>
          <cell r="F194">
            <v>0.28999999999999998</v>
          </cell>
          <cell r="G194">
            <v>84194107</v>
          </cell>
          <cell r="H194"/>
          <cell r="I194"/>
          <cell r="J194">
            <v>176206</v>
          </cell>
          <cell r="K194" t="str">
            <v/>
          </cell>
          <cell r="L194" t="e">
            <v>#REF!</v>
          </cell>
          <cell r="N194">
            <v>195536</v>
          </cell>
        </row>
        <row r="195">
          <cell r="B195">
            <v>176207</v>
          </cell>
          <cell r="C195" t="str">
            <v>Chupa Chups XXL Strawberry</v>
          </cell>
          <cell r="D195" t="str">
            <v>12 Outer X 25 Lollipops</v>
          </cell>
          <cell r="E195"/>
          <cell r="F195">
            <v>0.151</v>
          </cell>
          <cell r="G195">
            <v>8935001723684</v>
          </cell>
          <cell r="H195"/>
          <cell r="I195"/>
          <cell r="J195">
            <v>176207</v>
          </cell>
          <cell r="K195" t="str">
            <v/>
          </cell>
          <cell r="L195" t="e">
            <v>#REF!</v>
          </cell>
          <cell r="N195">
            <v>114598</v>
          </cell>
        </row>
        <row r="196">
          <cell r="B196">
            <v>176210</v>
          </cell>
          <cell r="C196" t="str">
            <v>Chupa Chups Melody Pop Strawberry</v>
          </cell>
          <cell r="D196" t="str">
            <v>6 Outers X 48 Lollipops</v>
          </cell>
          <cell r="E196"/>
          <cell r="F196">
            <v>9.5000000000000001E-2</v>
          </cell>
          <cell r="G196">
            <v>84196842</v>
          </cell>
          <cell r="H196"/>
          <cell r="I196"/>
          <cell r="J196">
            <v>176210</v>
          </cell>
          <cell r="K196" t="str">
            <v/>
          </cell>
          <cell r="L196" t="e">
            <v>#REF!</v>
          </cell>
          <cell r="N196">
            <v>114599</v>
          </cell>
        </row>
        <row r="197">
          <cell r="B197">
            <v>176208</v>
          </cell>
          <cell r="C197" t="str">
            <v>Chupa Chups Bubble Gum Display</v>
          </cell>
          <cell r="D197" t="str">
            <v>12 Outer x 70 Lollipops</v>
          </cell>
          <cell r="E197"/>
          <cell r="F197">
            <v>7.4999999999999997E-2</v>
          </cell>
          <cell r="G197">
            <v>46055460</v>
          </cell>
          <cell r="H197"/>
          <cell r="I197"/>
          <cell r="J197">
            <v>176208</v>
          </cell>
          <cell r="K197" t="str">
            <v/>
          </cell>
          <cell r="L197" t="e">
            <v>#REF!</v>
          </cell>
          <cell r="N197">
            <v>114600</v>
          </cell>
        </row>
        <row r="198">
          <cell r="B198">
            <v>363700</v>
          </cell>
          <cell r="C198" t="str">
            <v>Chupa chups Jar Code</v>
          </cell>
          <cell r="D198"/>
          <cell r="E198"/>
          <cell r="F198">
            <v>4.4749999999999996</v>
          </cell>
          <cell r="G198"/>
          <cell r="H198"/>
          <cell r="I198"/>
          <cell r="J198">
            <v>363700</v>
          </cell>
          <cell r="K198" t="str">
            <v/>
          </cell>
          <cell r="L198" t="e">
            <v>#REF!</v>
          </cell>
          <cell r="N198">
            <v>94671</v>
          </cell>
        </row>
        <row r="199">
          <cell r="B199">
            <v>181554</v>
          </cell>
          <cell r="C199" t="str">
            <v>Chupa Chups Jellies Crazy Cola</v>
          </cell>
          <cell r="D199" t="str">
            <v>1 x 12 Bag</v>
          </cell>
          <cell r="E199"/>
          <cell r="F199">
            <v>0.44600000000000001</v>
          </cell>
          <cell r="G199">
            <v>6925425474363</v>
          </cell>
          <cell r="H199"/>
          <cell r="I199"/>
          <cell r="J199">
            <v>181554</v>
          </cell>
          <cell r="K199" t="str">
            <v/>
          </cell>
          <cell r="L199" t="e">
            <v>#REF!</v>
          </cell>
          <cell r="N199">
            <v>94674</v>
          </cell>
        </row>
        <row r="200">
          <cell r="B200">
            <v>181557</v>
          </cell>
          <cell r="C200" t="str">
            <v>Chupa Chups Jellies Lollies</v>
          </cell>
          <cell r="D200" t="str">
            <v>1 x 12 Bag</v>
          </cell>
          <cell r="E200"/>
          <cell r="F200">
            <v>0.44600000000000001</v>
          </cell>
          <cell r="G200">
            <v>6925425474387</v>
          </cell>
          <cell r="H200"/>
          <cell r="I200"/>
          <cell r="J200">
            <v>181557</v>
          </cell>
          <cell r="K200" t="str">
            <v/>
          </cell>
          <cell r="L200" t="e">
            <v>#REF!</v>
          </cell>
          <cell r="N200">
            <v>94698</v>
          </cell>
        </row>
        <row r="201">
          <cell r="B201">
            <v>181558</v>
          </cell>
          <cell r="C201" t="str">
            <v>Chupa Chups Jellies Pinkies</v>
          </cell>
          <cell r="D201" t="str">
            <v>1 x 12 Bag</v>
          </cell>
          <cell r="E201"/>
          <cell r="F201">
            <v>0.44600000000000001</v>
          </cell>
          <cell r="G201">
            <v>6925425474462</v>
          </cell>
          <cell r="H201"/>
          <cell r="I201"/>
          <cell r="J201">
            <v>181558</v>
          </cell>
          <cell r="K201" t="str">
            <v/>
          </cell>
          <cell r="L201" t="e">
            <v>#REF!</v>
          </cell>
          <cell r="N201">
            <v>94693</v>
          </cell>
        </row>
        <row r="202">
          <cell r="B202">
            <v>181559</v>
          </cell>
          <cell r="C202" t="str">
            <v>Chupa Chups Jellies Sour Gecko</v>
          </cell>
          <cell r="D202" t="str">
            <v>1 x 12 Bag</v>
          </cell>
          <cell r="E202"/>
          <cell r="F202">
            <v>0.44600000000000001</v>
          </cell>
          <cell r="G202">
            <v>6925425474424</v>
          </cell>
          <cell r="H202"/>
          <cell r="I202"/>
          <cell r="J202">
            <v>181559</v>
          </cell>
          <cell r="K202" t="str">
            <v/>
          </cell>
          <cell r="L202" t="e">
            <v>#REF!</v>
          </cell>
          <cell r="N202">
            <v>94672</v>
          </cell>
        </row>
        <row r="203">
          <cell r="B203">
            <v>329171</v>
          </cell>
          <cell r="C203" t="str">
            <v>CHUPA CHUPS JELLIES CRAWLERS</v>
          </cell>
          <cell r="D203" t="str">
            <v>12Bags x 90gm</v>
          </cell>
          <cell r="E203"/>
          <cell r="F203">
            <v>0.433</v>
          </cell>
          <cell r="G203">
            <v>8992741993340</v>
          </cell>
          <cell r="H203"/>
          <cell r="I203"/>
          <cell r="J203">
            <v>329171</v>
          </cell>
          <cell r="K203" t="str">
            <v/>
          </cell>
          <cell r="L203" t="e">
            <v>#REF!</v>
          </cell>
          <cell r="N203">
            <v>318173</v>
          </cell>
        </row>
        <row r="204">
          <cell r="B204">
            <v>329172</v>
          </cell>
          <cell r="C204" t="str">
            <v>CHUPA CHUPS JELLIES PANDA BEAR</v>
          </cell>
          <cell r="D204" t="str">
            <v>12Bags x 90gm</v>
          </cell>
          <cell r="E204"/>
          <cell r="F204">
            <v>0.433</v>
          </cell>
          <cell r="G204">
            <v>8992741993333</v>
          </cell>
          <cell r="H204"/>
          <cell r="I204"/>
          <cell r="J204">
            <v>329172</v>
          </cell>
          <cell r="K204" t="str">
            <v/>
          </cell>
          <cell r="L204" t="e">
            <v>#REF!</v>
          </cell>
          <cell r="N204">
            <v>312611</v>
          </cell>
        </row>
        <row r="205">
          <cell r="B205">
            <v>255466</v>
          </cell>
          <cell r="C205" t="str">
            <v>Chupa Chups Extruded Jellies Pouch 24.2g</v>
          </cell>
          <cell r="D205" t="str">
            <v>10 Outers x 20 Pouches</v>
          </cell>
          <cell r="E205"/>
          <cell r="F205">
            <v>8.3000000000000004E-2</v>
          </cell>
          <cell r="G205">
            <v>8901393017106</v>
          </cell>
          <cell r="H205"/>
          <cell r="I205"/>
          <cell r="J205">
            <v>255466</v>
          </cell>
          <cell r="K205" t="str">
            <v/>
          </cell>
          <cell r="L205" t="e">
            <v>#REF!</v>
          </cell>
          <cell r="N205">
            <v>312612</v>
          </cell>
        </row>
        <row r="206">
          <cell r="B206">
            <v>255467</v>
          </cell>
          <cell r="C206" t="str">
            <v>Chupa Chups Extruded Jellies Bag 85.5g</v>
          </cell>
          <cell r="D206" t="str">
            <v>6 Outers x 12 Bags</v>
          </cell>
          <cell r="E206"/>
          <cell r="F206">
            <v>0.41099999999999998</v>
          </cell>
          <cell r="G206">
            <v>8901393017137</v>
          </cell>
          <cell r="H206"/>
          <cell r="I206"/>
          <cell r="J206">
            <v>255467</v>
          </cell>
          <cell r="K206" t="str">
            <v/>
          </cell>
          <cell r="L206" t="e">
            <v>#REF!</v>
          </cell>
          <cell r="N206">
            <v>208761</v>
          </cell>
        </row>
        <row r="207">
          <cell r="B207">
            <v>324335</v>
          </cell>
          <cell r="C207" t="str">
            <v>CHUPA CHUPS EXTRUDED JELLIES TUBE 24.2GM- NEW</v>
          </cell>
          <cell r="D207" t="str">
            <v>10 Outers x 20 Pouches</v>
          </cell>
          <cell r="E207"/>
          <cell r="F207">
            <v>9.1999999999999998E-2</v>
          </cell>
          <cell r="G207">
            <v>8901393020564</v>
          </cell>
          <cell r="H207"/>
          <cell r="I207"/>
          <cell r="J207">
            <v>324335</v>
          </cell>
          <cell r="K207" t="str">
            <v/>
          </cell>
          <cell r="L207" t="e">
            <v>#REF!</v>
          </cell>
          <cell r="N207">
            <v>293032</v>
          </cell>
        </row>
        <row r="208">
          <cell r="B208">
            <v>324336</v>
          </cell>
          <cell r="C208" t="str">
            <v>CHUPA CHUPS EXTRUDED JELLY TUBE 85.5GM- NEW</v>
          </cell>
          <cell r="D208" t="str">
            <v>6 Outers x 12 Bags</v>
          </cell>
          <cell r="E208"/>
          <cell r="F208">
            <v>0.43</v>
          </cell>
          <cell r="G208">
            <v>8901393020557</v>
          </cell>
          <cell r="H208"/>
          <cell r="I208"/>
          <cell r="J208">
            <v>324336</v>
          </cell>
          <cell r="K208" t="str">
            <v/>
          </cell>
          <cell r="L208" t="e">
            <v>#REF!</v>
          </cell>
          <cell r="N208">
            <v>293033</v>
          </cell>
        </row>
        <row r="209">
          <cell r="B209">
            <v>234074</v>
          </cell>
          <cell r="C209" t="str">
            <v>Chupa Chups Extruded Jellies Monos 10.5g</v>
          </cell>
          <cell r="D209" t="str">
            <v>16 Outers x 32 Flowpacks</v>
          </cell>
          <cell r="E209"/>
          <cell r="F209">
            <v>4.1000000000000002E-2</v>
          </cell>
          <cell r="G209">
            <v>8901393017045</v>
          </cell>
          <cell r="H209"/>
          <cell r="I209"/>
          <cell r="J209">
            <v>234074</v>
          </cell>
          <cell r="K209" t="str">
            <v/>
          </cell>
          <cell r="L209" t="e">
            <v>#REF!</v>
          </cell>
          <cell r="N209">
            <v>252499</v>
          </cell>
        </row>
        <row r="210">
          <cell r="B210">
            <v>234075</v>
          </cell>
          <cell r="C210" t="str">
            <v>Chupa Chups Extruded Jellies Tray 57g</v>
          </cell>
          <cell r="D210" t="str">
            <v>8 Outers x 12 Trays</v>
          </cell>
          <cell r="E210"/>
          <cell r="F210">
            <v>0.22600000000000001</v>
          </cell>
          <cell r="G210">
            <v>8901393017076</v>
          </cell>
          <cell r="H210"/>
          <cell r="I210"/>
          <cell r="J210">
            <v>234075</v>
          </cell>
          <cell r="K210" t="str">
            <v/>
          </cell>
          <cell r="L210" t="e">
            <v>#REF!</v>
          </cell>
          <cell r="N210">
            <v>252500</v>
          </cell>
        </row>
        <row r="211">
          <cell r="B211">
            <v>372698</v>
          </cell>
          <cell r="C211" t="str">
            <v> CHUPA CHUPS EXTRUDED JELLIES- Sour  tubes  80gm- STRAWBERRY</v>
          </cell>
          <cell r="D211" t="str">
            <v>8 outer *12pc*80gm</v>
          </cell>
          <cell r="E211"/>
          <cell r="F211">
            <v>0.28499999999999998</v>
          </cell>
          <cell r="G211">
            <v>8901393025804</v>
          </cell>
          <cell r="H211"/>
          <cell r="I211"/>
          <cell r="J211">
            <v>372698</v>
          </cell>
          <cell r="K211" t="str">
            <v/>
          </cell>
          <cell r="L211" t="e">
            <v>#REF!</v>
          </cell>
          <cell r="N211">
            <v>252501</v>
          </cell>
        </row>
        <row r="212">
          <cell r="B212">
            <v>371252</v>
          </cell>
          <cell r="C212" t="str">
            <v>Chupa Chups Extruded Jellies Monos belt</v>
          </cell>
          <cell r="D212"/>
          <cell r="F212">
            <v>4.1000000000000002E-2</v>
          </cell>
          <cell r="G212">
            <v>8901393017045</v>
          </cell>
          <cell r="J212">
            <v>371252</v>
          </cell>
          <cell r="K212" t="str">
            <v/>
          </cell>
          <cell r="L212" t="e">
            <v>#REF!</v>
          </cell>
          <cell r="N212">
            <v>194963</v>
          </cell>
        </row>
        <row r="213">
          <cell r="B213">
            <v>372699</v>
          </cell>
          <cell r="C213" t="str">
            <v xml:space="preserve"> CHUPA JELLIES- Sour tubes 24gm-STRAWBER</v>
          </cell>
          <cell r="D213" t="str">
            <v>16*20*24gm</v>
          </cell>
          <cell r="F213">
            <v>0.122</v>
          </cell>
          <cell r="G213">
            <v>8901393025798</v>
          </cell>
          <cell r="J213">
            <v>372699</v>
          </cell>
          <cell r="K213" t="str">
            <v/>
          </cell>
          <cell r="L213" t="e">
            <v>#REF!</v>
          </cell>
          <cell r="N213">
            <v>194964</v>
          </cell>
        </row>
        <row r="214">
          <cell r="B214">
            <v>293097</v>
          </cell>
          <cell r="C214" t="str">
            <v>Fruitella Vegan Jellies Sour Snakes</v>
          </cell>
          <cell r="D214" t="str">
            <v>12Bags x 150gm</v>
          </cell>
          <cell r="F214">
            <v>0.76700000000000002</v>
          </cell>
          <cell r="G214">
            <v>8003440993859</v>
          </cell>
          <cell r="J214">
            <v>293097</v>
          </cell>
          <cell r="K214" t="str">
            <v/>
          </cell>
          <cell r="L214" t="e">
            <v>#REF!</v>
          </cell>
          <cell r="N214">
            <v>309827</v>
          </cell>
        </row>
        <row r="215">
          <cell r="B215">
            <v>293098</v>
          </cell>
          <cell r="C215" t="str">
            <v>Fruitella Vegan Jellies Koalas</v>
          </cell>
          <cell r="D215" t="str">
            <v>12Bags x 150gm</v>
          </cell>
          <cell r="F215">
            <v>0.76700000000000002</v>
          </cell>
          <cell r="G215">
            <v>8003440993873</v>
          </cell>
          <cell r="J215">
            <v>293098</v>
          </cell>
          <cell r="K215" t="str">
            <v/>
          </cell>
          <cell r="L215" t="e">
            <v>#REF!</v>
          </cell>
          <cell r="N215">
            <v>213406</v>
          </cell>
        </row>
        <row r="216">
          <cell r="B216">
            <v>293099</v>
          </cell>
          <cell r="C216" t="str">
            <v>Fruitella Vegan Jellies Sour Hippo</v>
          </cell>
          <cell r="D216" t="str">
            <v>12Bags x 150gm</v>
          </cell>
          <cell r="F216">
            <v>0.76700000000000002</v>
          </cell>
          <cell r="G216">
            <v>8003440993897</v>
          </cell>
          <cell r="J216">
            <v>293099</v>
          </cell>
          <cell r="K216" t="str">
            <v/>
          </cell>
          <cell r="L216" t="e">
            <v>#REF!</v>
          </cell>
          <cell r="N216">
            <v>214355</v>
          </cell>
        </row>
        <row r="217">
          <cell r="B217">
            <v>308066</v>
          </cell>
          <cell r="C217" t="str">
            <v>Chupa Chup Jellies- Pinkis 160G</v>
          </cell>
          <cell r="D217" t="str">
            <v>12Bags x 160gm</v>
          </cell>
          <cell r="F217">
            <v>0.83299999999999996</v>
          </cell>
          <cell r="G217">
            <v>8992741952590</v>
          </cell>
          <cell r="J217">
            <v>308066</v>
          </cell>
          <cell r="K217" t="str">
            <v/>
          </cell>
          <cell r="L217" t="e">
            <v>#REF!</v>
          </cell>
          <cell r="N217">
            <v>94730</v>
          </cell>
        </row>
        <row r="218">
          <cell r="B218">
            <v>308067</v>
          </cell>
          <cell r="C218" t="str">
            <v>Chupa Chup Jellies- Sour Cola 160G</v>
          </cell>
          <cell r="D218" t="str">
            <v>12Bags x 160gm</v>
          </cell>
          <cell r="F218">
            <v>0.83299999999999996</v>
          </cell>
          <cell r="G218">
            <v>8992741952583</v>
          </cell>
          <cell r="J218">
            <v>308067</v>
          </cell>
          <cell r="K218" t="str">
            <v/>
          </cell>
          <cell r="L218" t="e">
            <v>#REF!</v>
          </cell>
          <cell r="N218">
            <v>94734</v>
          </cell>
        </row>
        <row r="219">
          <cell r="B219">
            <v>308068</v>
          </cell>
          <cell r="C219" t="str">
            <v>Chupa Chup Jellies- Sour Gecko 160G</v>
          </cell>
          <cell r="D219" t="str">
            <v>12Bags x 160gm</v>
          </cell>
          <cell r="F219">
            <v>0.83299999999999996</v>
          </cell>
          <cell r="G219">
            <v>8992741952613</v>
          </cell>
          <cell r="J219">
            <v>308068</v>
          </cell>
          <cell r="K219" t="str">
            <v/>
          </cell>
          <cell r="L219" t="e">
            <v>#REF!</v>
          </cell>
          <cell r="N219">
            <v>94733</v>
          </cell>
        </row>
        <row r="220">
          <cell r="B220">
            <v>329173</v>
          </cell>
          <cell r="C220" t="str">
            <v>CHUPA CHUP JELLIES- PANDA 160G</v>
          </cell>
          <cell r="D220" t="str">
            <v>12Bags x 160gm</v>
          </cell>
          <cell r="F220">
            <v>0.78700000000000003</v>
          </cell>
          <cell r="G220">
            <v>8992741994088</v>
          </cell>
          <cell r="J220">
            <v>329173</v>
          </cell>
          <cell r="K220" t="str">
            <v/>
          </cell>
          <cell r="L220" t="e">
            <v>#REF!</v>
          </cell>
          <cell r="N220">
            <v>215668</v>
          </cell>
        </row>
        <row r="221">
          <cell r="B221">
            <v>345781</v>
          </cell>
          <cell r="C221" t="str">
            <v xml:space="preserve"> Mentos Freshmint gum MP bottles 32pX2</v>
          </cell>
          <cell r="D221" t="str">
            <v>32p*2</v>
          </cell>
          <cell r="F221">
            <v>1.45</v>
          </cell>
          <cell r="G221">
            <v>8935001726470</v>
          </cell>
          <cell r="J221">
            <v>345781</v>
          </cell>
          <cell r="K221" t="str">
            <v/>
          </cell>
          <cell r="L221" t="e">
            <v>#REF!</v>
          </cell>
          <cell r="N221">
            <v>293034</v>
          </cell>
        </row>
        <row r="222">
          <cell r="B222">
            <v>345782</v>
          </cell>
          <cell r="C222" t="str">
            <v xml:space="preserve"> Mentos Wintergreen gum MP bottles 32pX2</v>
          </cell>
          <cell r="D222" t="str">
            <v>32p*2</v>
          </cell>
          <cell r="F222">
            <v>1.45</v>
          </cell>
          <cell r="G222">
            <v>8935001726487</v>
          </cell>
          <cell r="J222">
            <v>345782</v>
          </cell>
          <cell r="K222" t="str">
            <v/>
          </cell>
          <cell r="L222" t="e">
            <v>#REF!</v>
          </cell>
          <cell r="N222">
            <v>293035</v>
          </cell>
        </row>
        <row r="223">
          <cell r="B223">
            <v>177501</v>
          </cell>
          <cell r="C223" t="str">
            <v>Chupa Chups Bag Twin Pack @ off</v>
          </cell>
          <cell r="D223"/>
          <cell r="F223">
            <v>1.0434503424657533</v>
          </cell>
          <cell r="G223">
            <v>1800000006939</v>
          </cell>
          <cell r="J223">
            <v>177501</v>
          </cell>
          <cell r="K223" t="str">
            <v/>
          </cell>
          <cell r="L223" t="e">
            <v>#REF!</v>
          </cell>
          <cell r="N223">
            <v>293087</v>
          </cell>
        </row>
        <row r="224">
          <cell r="B224">
            <v>370080</v>
          </cell>
          <cell r="C224" t="str">
            <v>Chupa chup Jellies 3 pck- Assorted</v>
          </cell>
          <cell r="D224"/>
          <cell r="F224">
            <v>1.0136363636363637</v>
          </cell>
          <cell r="G224">
            <v>1800000017904</v>
          </cell>
          <cell r="J224">
            <v>370080</v>
          </cell>
          <cell r="K224" t="str">
            <v/>
          </cell>
          <cell r="L224" t="e">
            <v>#REF!</v>
          </cell>
          <cell r="N224">
            <v>293088</v>
          </cell>
        </row>
        <row r="225">
          <cell r="B225">
            <v>377892</v>
          </cell>
          <cell r="C225" t="str">
            <v>Mentos Gum.Nano Bottle Mint</v>
          </cell>
          <cell r="D225" t="str">
            <v>6 Outer X 15 bottles</v>
          </cell>
          <cell r="E225">
            <v>90</v>
          </cell>
          <cell r="F225">
            <v>0.27</v>
          </cell>
          <cell r="G225">
            <v>8935001726265</v>
          </cell>
          <cell r="H225"/>
          <cell r="J225">
            <v>377892</v>
          </cell>
          <cell r="K225" t="str">
            <v/>
          </cell>
          <cell r="L225" t="e">
            <v>#REF!</v>
          </cell>
          <cell r="N225">
            <v>293293</v>
          </cell>
        </row>
        <row r="226">
          <cell r="B226">
            <v>378596</v>
          </cell>
          <cell r="C226" t="str">
            <v>Mentos Gum.Nano Bottle Strawberry</v>
          </cell>
          <cell r="D226" t="str">
            <v>6 Outer X 15 bottles</v>
          </cell>
          <cell r="E226">
            <v>90</v>
          </cell>
          <cell r="F226">
            <v>0.27</v>
          </cell>
          <cell r="G226">
            <v>8935001726289</v>
          </cell>
          <cell r="H226"/>
          <cell r="J226">
            <v>378596</v>
          </cell>
          <cell r="K226" t="str">
            <v/>
          </cell>
          <cell r="L226" t="e">
            <v>#REF!</v>
          </cell>
          <cell r="N226">
            <v>293294</v>
          </cell>
        </row>
        <row r="227">
          <cell r="B227">
            <v>378597</v>
          </cell>
          <cell r="C227" t="str">
            <v>Mentos Gum.Nano Bottle Bubble Fresh</v>
          </cell>
          <cell r="D227" t="str">
            <v>6 Outer X 15 bottles</v>
          </cell>
          <cell r="E227">
            <v>90</v>
          </cell>
          <cell r="F227">
            <v>0.27</v>
          </cell>
          <cell r="G227">
            <v>8935001726326</v>
          </cell>
          <cell r="H227"/>
          <cell r="J227">
            <v>378597</v>
          </cell>
          <cell r="K227" t="str">
            <v/>
          </cell>
          <cell r="L227" t="e">
            <v>#REF!</v>
          </cell>
          <cell r="N227">
            <v>293732</v>
          </cell>
        </row>
        <row r="228">
          <cell r="B228">
            <v>384689</v>
          </cell>
          <cell r="C228" t="str">
            <v>SMINT.SMINT XL.TIN.PEPPERMINT 50PC</v>
          </cell>
          <cell r="D228" t="str">
            <v>12 Outer X 12 Dispenser</v>
          </cell>
          <cell r="E228">
            <v>144</v>
          </cell>
          <cell r="F228">
            <v>0.70599999999999996</v>
          </cell>
          <cell r="G228">
            <v>8410031945744</v>
          </cell>
          <cell r="J228">
            <v>384689</v>
          </cell>
          <cell r="K228" t="str">
            <v/>
          </cell>
          <cell r="L228" t="e">
            <v>#REF!</v>
          </cell>
          <cell r="N228">
            <v>194957</v>
          </cell>
        </row>
        <row r="229">
          <cell r="B229">
            <v>387686</v>
          </cell>
          <cell r="C229" t="str">
            <v>SMINT TIN WINTERGREEN 50PC</v>
          </cell>
          <cell r="D229" t="str">
            <v>12 Outer X 12 Dispenser</v>
          </cell>
          <cell r="E229">
            <v>144</v>
          </cell>
          <cell r="F229">
            <v>0.70599999999999996</v>
          </cell>
          <cell r="G229">
            <v>8723400827771</v>
          </cell>
          <cell r="J229">
            <v>387686</v>
          </cell>
          <cell r="K229" t="str">
            <v/>
          </cell>
          <cell r="L229" t="e">
            <v>#REF!</v>
          </cell>
          <cell r="N229">
            <v>308347</v>
          </cell>
        </row>
        <row r="230">
          <cell r="B230">
            <v>384691</v>
          </cell>
          <cell r="C230" t="str">
            <v>MENTOS INCREDIBLE CHEW BAGS STRAWBERRY 40P</v>
          </cell>
          <cell r="D230"/>
          <cell r="E230">
            <v>12</v>
          </cell>
          <cell r="F230">
            <v>0.79400000000000004</v>
          </cell>
          <cell r="G230">
            <v>8935001727309</v>
          </cell>
          <cell r="J230">
            <v>384691</v>
          </cell>
          <cell r="K230" t="str">
            <v/>
          </cell>
          <cell r="L230" t="e">
            <v>#REF!</v>
          </cell>
          <cell r="N230">
            <v>106958</v>
          </cell>
        </row>
        <row r="231">
          <cell r="B231">
            <v>384692</v>
          </cell>
          <cell r="C231" t="str">
            <v>MENTOS INCREDIBLE CHEW BAGS COLA 40P</v>
          </cell>
          <cell r="D231"/>
          <cell r="E231">
            <v>12</v>
          </cell>
          <cell r="F231">
            <v>0.79400000000000004</v>
          </cell>
          <cell r="G231">
            <v>8935001727293</v>
          </cell>
          <cell r="J231">
            <v>384692</v>
          </cell>
          <cell r="K231" t="str">
            <v/>
          </cell>
          <cell r="L231" t="e">
            <v>#REF!</v>
          </cell>
          <cell r="N231">
            <v>91275</v>
          </cell>
        </row>
        <row r="232">
          <cell r="B232">
            <v>387687</v>
          </cell>
          <cell r="C232" t="str">
            <v>CHUPPA CHUPS MAGIC CUBES 41PCS</v>
          </cell>
          <cell r="D232"/>
          <cell r="E232">
            <v>48</v>
          </cell>
          <cell r="F232">
            <v>0.81899999999999995</v>
          </cell>
          <cell r="G232">
            <v>80849469</v>
          </cell>
          <cell r="J232">
            <v>387687</v>
          </cell>
          <cell r="K232" t="str">
            <v/>
          </cell>
          <cell r="L232" t="e">
            <v>#REF!</v>
          </cell>
          <cell r="N232">
            <v>91277</v>
          </cell>
        </row>
        <row r="233">
          <cell r="B233">
            <v>386802</v>
          </cell>
          <cell r="C233" t="str">
            <v xml:space="preserve"> CHUPA Mallows Vanilla &amp; Strawberry 280 Gr</v>
          </cell>
          <cell r="D233" t="str">
            <v>12 bags x 280gm</v>
          </cell>
          <cell r="E233">
            <v>12</v>
          </cell>
          <cell r="F233">
            <v>1.0856249999999998</v>
          </cell>
          <cell r="G233">
            <v>6291109790280</v>
          </cell>
          <cell r="J233">
            <v>386802</v>
          </cell>
          <cell r="K233" t="str">
            <v/>
          </cell>
          <cell r="L233" t="e">
            <v>#REF!</v>
          </cell>
          <cell r="N233">
            <v>106959</v>
          </cell>
        </row>
        <row r="234">
          <cell r="B234">
            <v>386803</v>
          </cell>
          <cell r="C234" t="str">
            <v xml:space="preserve"> CHUPA Mallows Vanilla &amp; Strawberry 140 Gr</v>
          </cell>
          <cell r="D234" t="str">
            <v>24 bags x 140 gr</v>
          </cell>
          <cell r="E234">
            <v>24</v>
          </cell>
          <cell r="F234">
            <v>0.59001358695652184</v>
          </cell>
          <cell r="G234">
            <v>6291109790297</v>
          </cell>
          <cell r="J234">
            <v>386803</v>
          </cell>
          <cell r="K234" t="str">
            <v/>
          </cell>
          <cell r="L234" t="e">
            <v>#REF!</v>
          </cell>
          <cell r="N234">
            <v>91284</v>
          </cell>
        </row>
        <row r="235">
          <cell r="B235">
            <v>386804</v>
          </cell>
          <cell r="C235" t="str">
            <v xml:space="preserve"> CHUPA Mallows Cola 120 Gr</v>
          </cell>
          <cell r="D235" t="str">
            <v>24 bags x 120 gr</v>
          </cell>
          <cell r="E235">
            <v>24</v>
          </cell>
          <cell r="F235">
            <v>0.59001358695652184</v>
          </cell>
          <cell r="G235">
            <v>6291109790303</v>
          </cell>
          <cell r="J235">
            <v>386804</v>
          </cell>
          <cell r="K235" t="str">
            <v/>
          </cell>
          <cell r="L235" t="e">
            <v>#REF!</v>
          </cell>
          <cell r="N235">
            <v>107250</v>
          </cell>
        </row>
        <row r="236">
          <cell r="B236">
            <v>386805</v>
          </cell>
          <cell r="C236" t="str">
            <v>CHUPA Mallows Mixed fruit 65 Gr</v>
          </cell>
          <cell r="D236" t="str">
            <v>12 bags x 65 gr</v>
          </cell>
          <cell r="E236">
            <v>12</v>
          </cell>
          <cell r="F236">
            <v>0.378</v>
          </cell>
          <cell r="G236">
            <v>6291109790310</v>
          </cell>
          <cell r="J236">
            <v>386805</v>
          </cell>
          <cell r="K236" t="str">
            <v/>
          </cell>
          <cell r="L236" t="e">
            <v>#REF!</v>
          </cell>
          <cell r="N236">
            <v>282412</v>
          </cell>
        </row>
        <row r="237">
          <cell r="B237">
            <v>386806</v>
          </cell>
          <cell r="C237" t="str">
            <v>CHUPA Mallows Vanilla/Strawberry 13 Gr</v>
          </cell>
          <cell r="D237" t="str">
            <v xml:space="preserve">12 DB x 12 bags x 13 gr </v>
          </cell>
          <cell r="E237">
            <v>144</v>
          </cell>
          <cell r="F237">
            <v>0.11799999999999999</v>
          </cell>
          <cell r="G237">
            <v>6291109790327</v>
          </cell>
          <cell r="J237">
            <v>386806</v>
          </cell>
          <cell r="K237">
            <v>386806</v>
          </cell>
          <cell r="L237" t="e">
            <v>#REF!</v>
          </cell>
          <cell r="N237">
            <v>176167</v>
          </cell>
        </row>
        <row r="238">
          <cell r="B238">
            <v>176167</v>
          </cell>
          <cell r="C238" t="str">
            <v>Mentos 11p Mint</v>
          </cell>
          <cell r="D238" t="str">
            <v>12 Outer x 24 Rolls</v>
          </cell>
          <cell r="F238">
            <v>9.1999999999999998E-2</v>
          </cell>
          <cell r="G238">
            <v>8990800015224</v>
          </cell>
          <cell r="J238">
            <v>176167</v>
          </cell>
          <cell r="K238">
            <v>176167</v>
          </cell>
          <cell r="L238" t="e">
            <v>#REF!</v>
          </cell>
          <cell r="N238">
            <v>176168</v>
          </cell>
        </row>
        <row r="239">
          <cell r="B239">
            <v>176168</v>
          </cell>
          <cell r="C239" t="str">
            <v>Mentos 11p Fruit</v>
          </cell>
          <cell r="D239" t="str">
            <v>12 Outer x 24 Rolls</v>
          </cell>
          <cell r="F239">
            <v>9.1999999999999998E-2</v>
          </cell>
          <cell r="G239">
            <v>8990800015255</v>
          </cell>
          <cell r="J239">
            <v>176168</v>
          </cell>
          <cell r="K239">
            <v>176168</v>
          </cell>
          <cell r="L239" t="e">
            <v>#REF!</v>
          </cell>
          <cell r="N239">
            <v>176169</v>
          </cell>
        </row>
        <row r="240">
          <cell r="B240">
            <v>176169</v>
          </cell>
          <cell r="C240" t="str">
            <v>Mentos 11p Strawberry</v>
          </cell>
          <cell r="D240" t="str">
            <v>12 Outer x 24 Rolls</v>
          </cell>
          <cell r="F240">
            <v>9.1999999999999998E-2</v>
          </cell>
          <cell r="G240">
            <v>8990800015286</v>
          </cell>
          <cell r="J240">
            <v>176169</v>
          </cell>
          <cell r="K240">
            <v>176169</v>
          </cell>
          <cell r="L240" t="e">
            <v>#REF!</v>
          </cell>
          <cell r="N240">
            <v>176170</v>
          </cell>
        </row>
        <row r="241">
          <cell r="B241">
            <v>176170</v>
          </cell>
          <cell r="C241" t="str">
            <v>Mentos 11p Tutti Frutti</v>
          </cell>
          <cell r="D241" t="str">
            <v>12 Outer x 24 Rolls</v>
          </cell>
          <cell r="F241">
            <v>9.1999999999999998E-2</v>
          </cell>
          <cell r="G241">
            <v>8990800015316</v>
          </cell>
          <cell r="J241">
            <v>176170</v>
          </cell>
          <cell r="K241">
            <v>176170</v>
          </cell>
          <cell r="L241" t="e">
            <v>#REF!</v>
          </cell>
          <cell r="N241">
            <v>176171</v>
          </cell>
        </row>
        <row r="242">
          <cell r="B242">
            <v>176171</v>
          </cell>
          <cell r="C242" t="str">
            <v>Mentos 11p Rainbow</v>
          </cell>
          <cell r="D242" t="str">
            <v>12 Outer x 24 Rolls</v>
          </cell>
          <cell r="E242"/>
          <cell r="F242">
            <v>9.1999999999999998E-2</v>
          </cell>
          <cell r="G242">
            <v>8990800015347</v>
          </cell>
          <cell r="H242"/>
          <cell r="J242">
            <v>176171</v>
          </cell>
          <cell r="K242">
            <v>176171</v>
          </cell>
          <cell r="L242" t="e">
            <v>#REF!</v>
          </cell>
          <cell r="N242">
            <v>352469</v>
          </cell>
        </row>
        <row r="243">
          <cell r="B243">
            <v>352469</v>
          </cell>
          <cell r="C243" t="str">
            <v>MENTOS 11P SOUR FRUIT MIX</v>
          </cell>
          <cell r="D243" t="str">
            <v>12 Outer x 24 Rolls</v>
          </cell>
          <cell r="E243"/>
          <cell r="F243">
            <v>0.104</v>
          </cell>
          <cell r="G243">
            <v>8990800023908</v>
          </cell>
          <cell r="H243"/>
          <cell r="J243">
            <v>352469</v>
          </cell>
          <cell r="K243">
            <v>352469</v>
          </cell>
          <cell r="L243" t="e">
            <v>#REF!</v>
          </cell>
          <cell r="N243">
            <v>351970</v>
          </cell>
        </row>
        <row r="244">
          <cell r="B244">
            <v>351970</v>
          </cell>
          <cell r="C244" t="str">
            <v>Mentos 14p Mint</v>
          </cell>
          <cell r="D244" t="str">
            <v>6 Outer x 40 Rolls</v>
          </cell>
          <cell r="E244"/>
          <cell r="F244">
            <v>0.11799999999999999</v>
          </cell>
          <cell r="G244">
            <v>8990800000015</v>
          </cell>
          <cell r="H244"/>
          <cell r="J244">
            <v>351970</v>
          </cell>
          <cell r="K244">
            <v>351970</v>
          </cell>
          <cell r="L244" t="e">
            <v>#REF!</v>
          </cell>
          <cell r="N244">
            <v>351378</v>
          </cell>
        </row>
        <row r="245">
          <cell r="B245">
            <v>351378</v>
          </cell>
          <cell r="C245" t="str">
            <v>Mentos 14p Strawberry</v>
          </cell>
          <cell r="D245" t="str">
            <v>6 Outer x 40 Rolls</v>
          </cell>
          <cell r="E245"/>
          <cell r="F245">
            <v>0.11799999999999999</v>
          </cell>
          <cell r="G245">
            <v>8990800000176</v>
          </cell>
          <cell r="H245"/>
          <cell r="J245">
            <v>351378</v>
          </cell>
          <cell r="K245">
            <v>351378</v>
          </cell>
          <cell r="L245" t="e">
            <v>#REF!</v>
          </cell>
          <cell r="N245">
            <v>351379</v>
          </cell>
        </row>
        <row r="246">
          <cell r="B246">
            <v>351379</v>
          </cell>
          <cell r="C246" t="str">
            <v>Mentos 14p Rainbow</v>
          </cell>
          <cell r="D246" t="str">
            <v>6 Outer x 40 Rolls</v>
          </cell>
          <cell r="E246"/>
          <cell r="F246">
            <v>0.11799999999999999</v>
          </cell>
          <cell r="G246">
            <v>8990800013244</v>
          </cell>
          <cell r="J246">
            <v>351379</v>
          </cell>
          <cell r="K246">
            <v>351379</v>
          </cell>
          <cell r="L246" t="e">
            <v>#REF!</v>
          </cell>
          <cell r="N246">
            <v>351380</v>
          </cell>
        </row>
        <row r="247">
          <cell r="B247">
            <v>351380</v>
          </cell>
          <cell r="C247" t="str">
            <v>Mentos 14p Fruit</v>
          </cell>
          <cell r="D247" t="str">
            <v>6 Outer x 40 Rolls</v>
          </cell>
          <cell r="E247"/>
          <cell r="F247">
            <v>0.11799999999999999</v>
          </cell>
          <cell r="G247">
            <v>8990800000053</v>
          </cell>
          <cell r="J247">
            <v>351380</v>
          </cell>
          <cell r="K247">
            <v>351380</v>
          </cell>
          <cell r="L247" t="e">
            <v>#REF!</v>
          </cell>
          <cell r="N247">
            <v>351381</v>
          </cell>
        </row>
        <row r="248">
          <cell r="B248">
            <v>351381</v>
          </cell>
          <cell r="C248" t="str">
            <v>Mentos 14p Tutti Frutti</v>
          </cell>
          <cell r="D248" t="str">
            <v>6 Outer x 40 Rolls</v>
          </cell>
          <cell r="E248"/>
          <cell r="F248">
            <v>0.11799999999999999</v>
          </cell>
          <cell r="G248">
            <v>8990800014500</v>
          </cell>
          <cell r="J248">
            <v>351381</v>
          </cell>
          <cell r="K248">
            <v>351381</v>
          </cell>
          <cell r="L248" t="e">
            <v>#REF!</v>
          </cell>
          <cell r="N248">
            <v>352470</v>
          </cell>
        </row>
        <row r="249">
          <cell r="B249">
            <v>352470</v>
          </cell>
          <cell r="C249" t="str">
            <v>MENTOS 14P SOUR  FRUIT  MIX</v>
          </cell>
          <cell r="D249" t="str">
            <v>6 Outer x 40 Rolls</v>
          </cell>
          <cell r="E249"/>
          <cell r="F249">
            <v>0.16300000000000001</v>
          </cell>
          <cell r="G249">
            <v>8990800023939</v>
          </cell>
          <cell r="J249">
            <v>352470</v>
          </cell>
          <cell r="K249">
            <v>352470</v>
          </cell>
          <cell r="L249" t="e">
            <v>#REF!</v>
          </cell>
          <cell r="N249">
            <v>310039</v>
          </cell>
        </row>
        <row r="250">
          <cell r="B250">
            <v>310039</v>
          </cell>
          <cell r="C250" t="str">
            <v>MENTOS CHEWY &amp; FRESH PEPPERMINT</v>
          </cell>
          <cell r="D250" t="str">
            <v>12 DB x 24 Sachets x 10.8 gms</v>
          </cell>
          <cell r="E250"/>
          <cell r="F250">
            <v>4.3999999999999997E-2</v>
          </cell>
          <cell r="G250">
            <v>8990800022475</v>
          </cell>
          <cell r="J250">
            <v>310039</v>
          </cell>
          <cell r="K250">
            <v>310039</v>
          </cell>
          <cell r="L250" t="e">
            <v>#REF!</v>
          </cell>
          <cell r="N250">
            <v>353006</v>
          </cell>
        </row>
        <row r="251">
          <cell r="B251">
            <v>353006</v>
          </cell>
          <cell r="C251" t="str">
            <v>MENTOS INCREDIBLE CHEW STRAWBERRY</v>
          </cell>
          <cell r="D251" t="str">
            <v>12 outers*20pcs *45gm</v>
          </cell>
          <cell r="E251"/>
          <cell r="F251">
            <v>0.217</v>
          </cell>
          <cell r="G251">
            <v>8935001726005</v>
          </cell>
          <cell r="J251">
            <v>353006</v>
          </cell>
          <cell r="K251">
            <v>353006</v>
          </cell>
          <cell r="L251" t="e">
            <v>#REF!</v>
          </cell>
          <cell r="N251">
            <v>353007</v>
          </cell>
        </row>
        <row r="252">
          <cell r="B252">
            <v>353007</v>
          </cell>
          <cell r="C252" t="str">
            <v>MENTOS INCREDIBLE CHEW GREEN APPLE</v>
          </cell>
          <cell r="D252" t="str">
            <v>12 outers*20pcs *45gm</v>
          </cell>
          <cell r="E252"/>
          <cell r="F252">
            <v>0.217</v>
          </cell>
          <cell r="G252">
            <v>8935001726043</v>
          </cell>
          <cell r="J252">
            <v>353007</v>
          </cell>
          <cell r="K252">
            <v>353007</v>
          </cell>
          <cell r="L252" t="e">
            <v>#REF!</v>
          </cell>
          <cell r="N252">
            <v>372697</v>
          </cell>
        </row>
        <row r="253">
          <cell r="B253">
            <v>372697</v>
          </cell>
          <cell r="C253" t="str">
            <v>MENTOS INCREDIBLE CHEW STICK.GRAPE</v>
          </cell>
          <cell r="D253" t="str">
            <v>12 outers*20pcs *45gm</v>
          </cell>
          <cell r="E253"/>
          <cell r="F253">
            <v>0.217</v>
          </cell>
          <cell r="G253">
            <v>8935001726029</v>
          </cell>
          <cell r="J253">
            <v>372697</v>
          </cell>
          <cell r="K253">
            <v>372697</v>
          </cell>
          <cell r="L253" t="e">
            <v>#REF!</v>
          </cell>
          <cell r="N253">
            <v>365133</v>
          </cell>
        </row>
        <row r="254">
          <cell r="B254">
            <v>365133</v>
          </cell>
          <cell r="C254" t="str">
            <v>MENTOS CHEWY CANDIES STRAWBERY BAGS 26p</v>
          </cell>
          <cell r="D254"/>
          <cell r="E254"/>
          <cell r="F254">
            <v>0.41499999999999998</v>
          </cell>
          <cell r="G254">
            <v>6921211117025</v>
          </cell>
          <cell r="J254">
            <v>365133</v>
          </cell>
          <cell r="K254">
            <v>365133</v>
          </cell>
          <cell r="L254" t="e">
            <v>#REF!</v>
          </cell>
          <cell r="N254">
            <v>371251</v>
          </cell>
        </row>
        <row r="255">
          <cell r="B255">
            <v>371251</v>
          </cell>
          <cell r="C255" t="str">
            <v>MENTOS CHEWY CANDIES FRUIT MIX  BAGS 26p</v>
          </cell>
          <cell r="D255"/>
          <cell r="E255"/>
          <cell r="F255">
            <v>0.41499999999999998</v>
          </cell>
          <cell r="G255">
            <v>6921211117094</v>
          </cell>
          <cell r="J255">
            <v>371251</v>
          </cell>
          <cell r="K255">
            <v>371251</v>
          </cell>
          <cell r="L255" t="e">
            <v>#REF!</v>
          </cell>
          <cell r="N255">
            <v>365134</v>
          </cell>
        </row>
        <row r="256">
          <cell r="B256">
            <v>365134</v>
          </cell>
          <cell r="C256" t="str">
            <v>MENTOS CHEWY CANDIES MINT MONO BAGS  26p</v>
          </cell>
          <cell r="D256"/>
          <cell r="E256"/>
          <cell r="F256">
            <v>0.41499999999999998</v>
          </cell>
          <cell r="G256">
            <v>6921211118121</v>
          </cell>
          <cell r="J256">
            <v>365134</v>
          </cell>
          <cell r="K256">
            <v>365134</v>
          </cell>
          <cell r="L256" t="e">
            <v>#REF!</v>
          </cell>
          <cell r="N256">
            <v>176176</v>
          </cell>
        </row>
        <row r="257">
          <cell r="B257">
            <v>176176</v>
          </cell>
          <cell r="C257" t="str">
            <v xml:space="preserve">Mentos Mini Bags </v>
          </cell>
          <cell r="D257" t="str">
            <v>1 x 24Bag</v>
          </cell>
          <cell r="E257"/>
          <cell r="F257">
            <v>0.69099999999999995</v>
          </cell>
          <cell r="G257">
            <v>8990800007793</v>
          </cell>
          <cell r="J257">
            <v>176176</v>
          </cell>
          <cell r="K257">
            <v>176176</v>
          </cell>
          <cell r="L257" t="e">
            <v>#REF!</v>
          </cell>
          <cell r="N257">
            <v>176174</v>
          </cell>
        </row>
        <row r="258">
          <cell r="B258">
            <v>176174</v>
          </cell>
          <cell r="C258" t="str">
            <v>Mentos Jars Mint</v>
          </cell>
          <cell r="D258" t="str">
            <v>6 Jars x 200 Mono Wraps</v>
          </cell>
          <cell r="E258"/>
          <cell r="F258">
            <v>1.911</v>
          </cell>
          <cell r="G258">
            <v>8990800001807</v>
          </cell>
          <cell r="J258">
            <v>176174</v>
          </cell>
          <cell r="K258">
            <v>176174</v>
          </cell>
          <cell r="L258" t="e">
            <v>#REF!</v>
          </cell>
          <cell r="N258">
            <v>176175</v>
          </cell>
        </row>
        <row r="259">
          <cell r="B259">
            <v>176175</v>
          </cell>
          <cell r="C259" t="str">
            <v>Mentos Jars Fruit</v>
          </cell>
          <cell r="D259" t="str">
            <v>6 Jars x 200 Mono Wraps</v>
          </cell>
          <cell r="E259"/>
          <cell r="F259">
            <v>1.911</v>
          </cell>
          <cell r="G259">
            <v>8990800001814</v>
          </cell>
          <cell r="J259">
            <v>176175</v>
          </cell>
          <cell r="K259">
            <v>176175</v>
          </cell>
          <cell r="L259" t="e">
            <v>#REF!</v>
          </cell>
          <cell r="N259">
            <v>229396</v>
          </cell>
        </row>
        <row r="260">
          <cell r="B260">
            <v>229396</v>
          </cell>
          <cell r="C260" t="str">
            <v xml:space="preserve">Fruittella Orange </v>
          </cell>
          <cell r="D260" t="str">
            <v>12 Outer x 20 Sticks</v>
          </cell>
          <cell r="E260"/>
          <cell r="F260">
            <v>0.13900000000000001</v>
          </cell>
          <cell r="G260">
            <v>87108415</v>
          </cell>
          <cell r="J260">
            <v>229396</v>
          </cell>
          <cell r="K260">
            <v>229396</v>
          </cell>
          <cell r="L260" t="e">
            <v>#REF!</v>
          </cell>
          <cell r="N260">
            <v>229395</v>
          </cell>
        </row>
        <row r="261">
          <cell r="B261">
            <v>229395</v>
          </cell>
          <cell r="C261" t="str">
            <v xml:space="preserve">Fruittella Strawberry </v>
          </cell>
          <cell r="D261" t="str">
            <v>12 Outer x 20 Sticks</v>
          </cell>
          <cell r="E261"/>
          <cell r="F261">
            <v>0.13900000000000001</v>
          </cell>
          <cell r="G261">
            <v>87108408</v>
          </cell>
          <cell r="J261">
            <v>229395</v>
          </cell>
          <cell r="K261">
            <v>229395</v>
          </cell>
          <cell r="L261" t="e">
            <v>#REF!</v>
          </cell>
          <cell r="N261">
            <v>229397</v>
          </cell>
        </row>
        <row r="262">
          <cell r="B262">
            <v>229397</v>
          </cell>
          <cell r="C262" t="str">
            <v xml:space="preserve">Fruittella Black Currant </v>
          </cell>
          <cell r="D262" t="str">
            <v>12 Outer x 20 Sticks</v>
          </cell>
          <cell r="E262"/>
          <cell r="F262">
            <v>0.13900000000000001</v>
          </cell>
          <cell r="G262">
            <v>87108422</v>
          </cell>
          <cell r="J262">
            <v>229397</v>
          </cell>
          <cell r="K262">
            <v>229397</v>
          </cell>
        </row>
        <row r="263">
          <cell r="B263">
            <v>384690</v>
          </cell>
          <cell r="C263" t="str">
            <v>MELODY POPS COLA</v>
          </cell>
          <cell r="D263" t="str">
            <v>6 Outers X 48 Lollipops</v>
          </cell>
          <cell r="E263">
            <v>288</v>
          </cell>
          <cell r="F263">
            <v>9.5000000000000001E-2</v>
          </cell>
          <cell r="G263">
            <v>8935001727392</v>
          </cell>
          <cell r="J263">
            <v>384690</v>
          </cell>
          <cell r="K263" t="str">
            <v/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Pages"/>
      <sheetName val="Sheet1"/>
    </sheetNames>
    <sheetDataSet>
      <sheetData sheetId="0"/>
      <sheetData sheetId="1">
        <row r="2">
          <cell r="D2">
            <v>152859</v>
          </cell>
          <cell r="E2">
            <v>3251350126002</v>
          </cell>
          <cell r="F2">
            <v>116471</v>
          </cell>
        </row>
        <row r="3">
          <cell r="D3">
            <v>155145</v>
          </cell>
          <cell r="E3">
            <v>3073781059793</v>
          </cell>
          <cell r="F3">
            <v>327039</v>
          </cell>
        </row>
        <row r="4">
          <cell r="D4">
            <v>293293</v>
          </cell>
          <cell r="E4">
            <v>3073781125641</v>
          </cell>
          <cell r="F4">
            <v>1020250</v>
          </cell>
        </row>
        <row r="5">
          <cell r="D5">
            <v>94576</v>
          </cell>
          <cell r="E5">
            <v>3251350161003</v>
          </cell>
          <cell r="F5">
            <v>116472</v>
          </cell>
        </row>
        <row r="6">
          <cell r="D6">
            <v>94590</v>
          </cell>
          <cell r="E6">
            <v>3251350163007</v>
          </cell>
          <cell r="F6">
            <v>116474</v>
          </cell>
        </row>
        <row r="7">
          <cell r="D7">
            <v>114600</v>
          </cell>
          <cell r="E7">
            <v>3073780998376</v>
          </cell>
          <cell r="F7">
            <v>327038</v>
          </cell>
        </row>
        <row r="8">
          <cell r="D8">
            <v>293732</v>
          </cell>
          <cell r="E8">
            <v>3073781134193</v>
          </cell>
          <cell r="F8">
            <v>1024253</v>
          </cell>
        </row>
        <row r="9">
          <cell r="D9">
            <v>293087</v>
          </cell>
          <cell r="E9">
            <v>3073781125627</v>
          </cell>
          <cell r="F9">
            <v>1020248</v>
          </cell>
        </row>
        <row r="10">
          <cell r="D10"/>
          <cell r="E10">
            <v>3073781048957</v>
          </cell>
          <cell r="F10">
            <v>285448</v>
          </cell>
        </row>
        <row r="11">
          <cell r="D11">
            <v>312610</v>
          </cell>
          <cell r="E11">
            <v>3073781141368</v>
          </cell>
          <cell r="F11">
            <v>1060455</v>
          </cell>
        </row>
        <row r="12">
          <cell r="D12">
            <v>312611</v>
          </cell>
          <cell r="E12">
            <v>3073781141429</v>
          </cell>
          <cell r="F12">
            <v>1060456</v>
          </cell>
        </row>
        <row r="13">
          <cell r="D13">
            <v>312612</v>
          </cell>
          <cell r="E13">
            <v>3073781141443</v>
          </cell>
          <cell r="F13">
            <v>1060457</v>
          </cell>
        </row>
        <row r="14">
          <cell r="D14">
            <v>215668</v>
          </cell>
          <cell r="E14">
            <v>3073780984492</v>
          </cell>
          <cell r="F14">
            <v>116146</v>
          </cell>
        </row>
        <row r="15">
          <cell r="E15">
            <v>3073781010725</v>
          </cell>
          <cell r="F15">
            <v>229368</v>
          </cell>
        </row>
        <row r="16">
          <cell r="D16">
            <v>202753</v>
          </cell>
          <cell r="E16">
            <v>3073781061857</v>
          </cell>
          <cell r="F16">
            <v>1024254</v>
          </cell>
        </row>
        <row r="17">
          <cell r="D17">
            <v>94649</v>
          </cell>
          <cell r="E17">
            <v>3073780905831</v>
          </cell>
          <cell r="F17">
            <v>327036</v>
          </cell>
        </row>
        <row r="18">
          <cell r="D18">
            <v>133208</v>
          </cell>
          <cell r="E18">
            <v>3073781021226</v>
          </cell>
          <cell r="F18">
            <v>327037</v>
          </cell>
        </row>
        <row r="19">
          <cell r="D19">
            <v>152860</v>
          </cell>
          <cell r="E19">
            <v>3073780905817</v>
          </cell>
          <cell r="F19">
            <v>327035</v>
          </cell>
        </row>
        <row r="20">
          <cell r="D20">
            <v>214355</v>
          </cell>
          <cell r="E20">
            <v>3073780460262</v>
          </cell>
          <cell r="F20">
            <v>244913</v>
          </cell>
        </row>
        <row r="21">
          <cell r="D21">
            <v>94674</v>
          </cell>
          <cell r="E21">
            <v>3073780985581</v>
          </cell>
          <cell r="F21">
            <v>116557</v>
          </cell>
        </row>
        <row r="22">
          <cell r="E22">
            <v>3073781190960</v>
          </cell>
          <cell r="F22">
            <v>116561</v>
          </cell>
        </row>
        <row r="23">
          <cell r="E23">
            <v>3073781190885</v>
          </cell>
          <cell r="F23">
            <v>116563</v>
          </cell>
        </row>
        <row r="24">
          <cell r="E24">
            <v>3073781190946</v>
          </cell>
          <cell r="F24">
            <v>116564</v>
          </cell>
        </row>
        <row r="25">
          <cell r="D25">
            <v>94733</v>
          </cell>
          <cell r="E25">
            <v>3073780965729</v>
          </cell>
          <cell r="F25">
            <v>229372</v>
          </cell>
        </row>
        <row r="26">
          <cell r="E26">
            <v>3073780574242</v>
          </cell>
          <cell r="F26">
            <v>116567</v>
          </cell>
        </row>
        <row r="27">
          <cell r="E27">
            <v>3073780574310</v>
          </cell>
          <cell r="F27">
            <v>116568</v>
          </cell>
        </row>
        <row r="28">
          <cell r="E28">
            <v>3073780985604</v>
          </cell>
          <cell r="F28">
            <v>229370</v>
          </cell>
        </row>
        <row r="29">
          <cell r="E29">
            <v>3073780543989</v>
          </cell>
          <cell r="F29">
            <v>116573</v>
          </cell>
        </row>
        <row r="30">
          <cell r="D30">
            <v>114598</v>
          </cell>
          <cell r="E30">
            <v>3073780998338</v>
          </cell>
          <cell r="F30">
            <v>198856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SAP CODE</v>
          </cell>
          <cell r="C1" t="str">
            <v>Barcode</v>
          </cell>
          <cell r="D1" t="str">
            <v xml:space="preserve">Product Description </v>
          </cell>
          <cell r="E1" t="str">
            <v>OLD PTT</v>
          </cell>
          <cell r="F1" t="str">
            <v>NEW PTT</v>
          </cell>
        </row>
        <row r="2">
          <cell r="B2">
            <v>155147</v>
          </cell>
          <cell r="C2" t="str">
            <v xml:space="preserve">3073786155186 </v>
          </cell>
          <cell r="D2" t="str">
            <v>La Vache Quirit 8 Portion</v>
          </cell>
          <cell r="E2">
            <v>0.40400000000000003</v>
          </cell>
          <cell r="F2">
            <v>0.45300000000000001</v>
          </cell>
        </row>
        <row r="3">
          <cell r="B3">
            <v>94659</v>
          </cell>
          <cell r="C3" t="str">
            <v xml:space="preserve">3073780574242 </v>
          </cell>
          <cell r="D3" t="str">
            <v>La Vache Quirit 16 Portion</v>
          </cell>
          <cell r="E3">
            <v>0.751</v>
          </cell>
          <cell r="F3">
            <v>0.84199999999999997</v>
          </cell>
        </row>
        <row r="4">
          <cell r="B4">
            <v>94661</v>
          </cell>
          <cell r="C4" t="str">
            <v xml:space="preserve">3073780574310 </v>
          </cell>
          <cell r="D4" t="str">
            <v>La Vache Quirit 24 Portion</v>
          </cell>
          <cell r="E4">
            <v>1.0980000000000001</v>
          </cell>
          <cell r="F4">
            <v>1.2310000000000001</v>
          </cell>
        </row>
        <row r="5">
          <cell r="B5">
            <v>94664</v>
          </cell>
          <cell r="C5" t="str">
            <v xml:space="preserve">3073780593083 </v>
          </cell>
          <cell r="D5" t="str">
            <v>La Vache Quirit 32 Portion</v>
          </cell>
          <cell r="E5">
            <v>1.444</v>
          </cell>
          <cell r="F5">
            <v>1.619</v>
          </cell>
        </row>
        <row r="6">
          <cell r="B6">
            <v>268317</v>
          </cell>
          <cell r="C6">
            <v>3073781048957</v>
          </cell>
          <cell r="D6" t="str">
            <v>La Vache Quirit 48 Portion</v>
          </cell>
          <cell r="E6">
            <v>2.1139999999999999</v>
          </cell>
          <cell r="F6">
            <v>2.37</v>
          </cell>
        </row>
        <row r="7">
          <cell r="B7">
            <v>194963</v>
          </cell>
          <cell r="C7">
            <v>3073780810661</v>
          </cell>
          <cell r="D7" t="str">
            <v>La Vache Quirit Dipper 4’S</v>
          </cell>
          <cell r="E7">
            <v>0.92800000000000005</v>
          </cell>
          <cell r="F7">
            <v>1.0349999999999999</v>
          </cell>
        </row>
        <row r="8">
          <cell r="B8">
            <v>94693</v>
          </cell>
          <cell r="C8" t="str">
            <v xml:space="preserve">3073780543989 </v>
          </cell>
          <cell r="D8" t="str">
            <v>La Vache Quirit Slice Light 200G</v>
          </cell>
          <cell r="E8">
            <v>0.66400000000000003</v>
          </cell>
          <cell r="F8">
            <v>0.74</v>
          </cell>
        </row>
        <row r="9">
          <cell r="B9">
            <v>94671</v>
          </cell>
          <cell r="C9" t="str">
            <v xml:space="preserve">3073780450461 </v>
          </cell>
          <cell r="D9" t="str">
            <v>La Vache Quirit Slice Cheddar 200G</v>
          </cell>
          <cell r="E9">
            <v>0.66400000000000003</v>
          </cell>
          <cell r="F9">
            <v>0.74</v>
          </cell>
        </row>
        <row r="10">
          <cell r="B10">
            <v>94674</v>
          </cell>
          <cell r="C10" t="str">
            <v xml:space="preserve">3073780985581 </v>
          </cell>
          <cell r="D10" t="str">
            <v>La Vache Quirit Slice Burger 200G</v>
          </cell>
          <cell r="E10">
            <v>0.66400000000000003</v>
          </cell>
          <cell r="F10">
            <v>0.74</v>
          </cell>
        </row>
        <row r="11">
          <cell r="B11">
            <v>94698</v>
          </cell>
          <cell r="C11" t="str">
            <v xml:space="preserve">3073780450386 </v>
          </cell>
          <cell r="D11" t="str">
            <v>La Vache Quirit Slice Sandwich 200G</v>
          </cell>
          <cell r="E11">
            <v>0.66400000000000003</v>
          </cell>
          <cell r="F11">
            <v>0.74</v>
          </cell>
        </row>
        <row r="12">
          <cell r="B12">
            <v>318173</v>
          </cell>
          <cell r="C12">
            <v>3073780999816</v>
          </cell>
          <cell r="D12" t="str">
            <v>La Vache Quirit Slice Light Family 480G</v>
          </cell>
          <cell r="E12">
            <v>1.4730000000000001</v>
          </cell>
          <cell r="F12">
            <v>1.643</v>
          </cell>
        </row>
        <row r="13">
          <cell r="B13">
            <v>94672</v>
          </cell>
          <cell r="C13" t="str">
            <v xml:space="preserve">3073780985604 </v>
          </cell>
          <cell r="D13" t="str">
            <v>La Vache Quirit Slice Cheddar Family 480G</v>
          </cell>
          <cell r="E13">
            <v>1.4730000000000001</v>
          </cell>
          <cell r="F13">
            <v>1.643</v>
          </cell>
        </row>
        <row r="14">
          <cell r="B14">
            <v>182808</v>
          </cell>
          <cell r="C14">
            <v>3073780839631</v>
          </cell>
          <cell r="D14" t="str">
            <v>Kiri 6 Portion</v>
          </cell>
          <cell r="E14">
            <v>0.46200000000000002</v>
          </cell>
          <cell r="F14">
            <v>0.51500000000000001</v>
          </cell>
        </row>
        <row r="15">
          <cell r="B15">
            <v>182809</v>
          </cell>
          <cell r="C15">
            <v>3073780624435</v>
          </cell>
          <cell r="D15" t="str">
            <v>Kiri 12 Portion</v>
          </cell>
          <cell r="E15">
            <v>0.86299999999999999</v>
          </cell>
          <cell r="F15">
            <v>0.96299999999999997</v>
          </cell>
        </row>
        <row r="16">
          <cell r="B16">
            <v>94714</v>
          </cell>
          <cell r="C16">
            <v>3073780767897</v>
          </cell>
          <cell r="D16" t="str">
            <v>Kiri 24 Portion</v>
          </cell>
          <cell r="E16">
            <v>1.698</v>
          </cell>
          <cell r="F16">
            <v>1.8939999999999999</v>
          </cell>
        </row>
        <row r="17">
          <cell r="B17">
            <v>312609</v>
          </cell>
          <cell r="C17">
            <v>3073781141382</v>
          </cell>
          <cell r="D17" t="str">
            <v>Kiri Greek Style 6 Portion 100G</v>
          </cell>
          <cell r="E17">
            <v>0.54400000000000004</v>
          </cell>
          <cell r="F17">
            <v>0.60699999999999998</v>
          </cell>
        </row>
        <row r="18">
          <cell r="B18">
            <v>312610</v>
          </cell>
          <cell r="C18">
            <v>3073781141368</v>
          </cell>
          <cell r="D18" t="str">
            <v>Kiri Greek Style 24 Portion 400G</v>
          </cell>
          <cell r="E18">
            <v>1.95</v>
          </cell>
          <cell r="F18">
            <v>2.1749999999999998</v>
          </cell>
        </row>
        <row r="19">
          <cell r="B19">
            <v>195540</v>
          </cell>
          <cell r="C19">
            <v>3073781053555</v>
          </cell>
          <cell r="D19" t="str">
            <v>Kiri 5X6P - 15% Off</v>
          </cell>
          <cell r="E19">
            <v>1.964</v>
          </cell>
          <cell r="F19">
            <v>2.19</v>
          </cell>
        </row>
        <row r="20">
          <cell r="B20">
            <v>195536</v>
          </cell>
          <cell r="C20">
            <v>3073781053562</v>
          </cell>
          <cell r="D20" t="str">
            <v>Kiri 3X12P - 15% Off</v>
          </cell>
          <cell r="E20">
            <v>2.2000000000000002</v>
          </cell>
          <cell r="F20">
            <v>2.444</v>
          </cell>
        </row>
        <row r="21">
          <cell r="B21">
            <v>94715</v>
          </cell>
          <cell r="C21">
            <v>3073781053586</v>
          </cell>
          <cell r="D21" t="str">
            <v>Kiri 2X24P - 10% Off</v>
          </cell>
          <cell r="E21">
            <v>3.0579999999999998</v>
          </cell>
          <cell r="F21">
            <v>3.41</v>
          </cell>
        </row>
        <row r="22">
          <cell r="B22">
            <v>194957</v>
          </cell>
          <cell r="C22">
            <v>3073780853545</v>
          </cell>
          <cell r="D22" t="str">
            <v>Kiri Block 1Kg</v>
          </cell>
          <cell r="E22">
            <v>3.5590000000000002</v>
          </cell>
          <cell r="F22">
            <v>3.9689999999999999</v>
          </cell>
        </row>
        <row r="23">
          <cell r="B23">
            <v>308347</v>
          </cell>
          <cell r="C23">
            <v>3073781089172</v>
          </cell>
          <cell r="D23" t="str">
            <v>Kiri Block 200G (X30)</v>
          </cell>
          <cell r="E23">
            <v>1.2050000000000001</v>
          </cell>
          <cell r="F23">
            <v>1.3440000000000001</v>
          </cell>
        </row>
        <row r="24">
          <cell r="B24">
            <v>208761</v>
          </cell>
          <cell r="C24">
            <v>1800000007721</v>
          </cell>
          <cell r="D24" t="str">
            <v>Kiri Tub 200G Consumer Offer</v>
          </cell>
          <cell r="E24">
            <v>0.72299999999999998</v>
          </cell>
          <cell r="F24">
            <v>0.80600000000000005</v>
          </cell>
        </row>
        <row r="25">
          <cell r="B25">
            <v>293032</v>
          </cell>
          <cell r="C25">
            <v>1800000007738</v>
          </cell>
          <cell r="D25" t="str">
            <v>New Kiri Tub 350G Consumer Offer</v>
          </cell>
          <cell r="E25">
            <v>1.1890000000000001</v>
          </cell>
          <cell r="F25">
            <v>1.3260000000000001</v>
          </cell>
        </row>
        <row r="26">
          <cell r="B26">
            <v>293033</v>
          </cell>
          <cell r="C26">
            <v>1800000007745</v>
          </cell>
          <cell r="D26" t="str">
            <v>New Kiri Tub 500G Consumer Offer</v>
          </cell>
          <cell r="E26">
            <v>1.5509999999999999</v>
          </cell>
          <cell r="F26">
            <v>1.73</v>
          </cell>
        </row>
        <row r="27">
          <cell r="B27">
            <v>215668</v>
          </cell>
          <cell r="C27">
            <v>3073780984492</v>
          </cell>
          <cell r="D27" t="str">
            <v>Kiri Labneh 200G</v>
          </cell>
          <cell r="E27">
            <v>0.67100000000000004</v>
          </cell>
          <cell r="F27">
            <v>0.748</v>
          </cell>
        </row>
        <row r="28">
          <cell r="B28">
            <v>293035</v>
          </cell>
          <cell r="C28">
            <v>3073781062762</v>
          </cell>
          <cell r="D28" t="str">
            <v>New Kiri Labneh 500G</v>
          </cell>
          <cell r="E28">
            <v>1.5009999999999999</v>
          </cell>
          <cell r="F28">
            <v>1.6739999999999999</v>
          </cell>
        </row>
        <row r="29">
          <cell r="B29">
            <v>312611</v>
          </cell>
          <cell r="C29">
            <v>3073781141429</v>
          </cell>
          <cell r="D29" t="str">
            <v>Kiri Greek Tub 200G (X18)</v>
          </cell>
          <cell r="E29">
            <v>0.82499999999999996</v>
          </cell>
          <cell r="F29">
            <v>0.92</v>
          </cell>
        </row>
        <row r="30">
          <cell r="B30">
            <v>312612</v>
          </cell>
          <cell r="C30">
            <v>3073781141443</v>
          </cell>
          <cell r="D30" t="str">
            <v>Kiri Greek Tub 500G (X8)</v>
          </cell>
          <cell r="E30">
            <v>1.7529999999999999</v>
          </cell>
          <cell r="F30">
            <v>1.9550000000000001</v>
          </cell>
        </row>
        <row r="31">
          <cell r="B31">
            <v>152859</v>
          </cell>
          <cell r="C31">
            <v>3251350126002</v>
          </cell>
          <cell r="D31" t="str">
            <v>Regal Picon 8 Portion</v>
          </cell>
          <cell r="E31">
            <v>0.314</v>
          </cell>
          <cell r="F31">
            <v>0.35199999999999998</v>
          </cell>
        </row>
        <row r="32">
          <cell r="B32">
            <v>94576</v>
          </cell>
          <cell r="C32" t="str">
            <v xml:space="preserve">3251350161003 </v>
          </cell>
          <cell r="D32" t="str">
            <v>Regal Picon 16 Portion</v>
          </cell>
          <cell r="E32">
            <v>0.63</v>
          </cell>
          <cell r="F32">
            <v>0.70599999999999996</v>
          </cell>
        </row>
        <row r="33">
          <cell r="B33">
            <v>94581</v>
          </cell>
          <cell r="C33" t="str">
            <v xml:space="preserve">3251350162000 </v>
          </cell>
          <cell r="D33" t="str">
            <v>Regal Picon 24 Portion</v>
          </cell>
          <cell r="E33">
            <v>0.94199999999999995</v>
          </cell>
          <cell r="F33">
            <v>1.056</v>
          </cell>
        </row>
        <row r="34">
          <cell r="B34">
            <v>94590</v>
          </cell>
          <cell r="C34" t="str">
            <v xml:space="preserve">3251350163007 </v>
          </cell>
          <cell r="D34" t="str">
            <v>Regal Picon 32 Portion</v>
          </cell>
          <cell r="E34">
            <v>1.2250000000000001</v>
          </cell>
          <cell r="F34">
            <v>1.373</v>
          </cell>
        </row>
        <row r="35">
          <cell r="B35">
            <v>177009</v>
          </cell>
          <cell r="C35" t="str">
            <v xml:space="preserve">3073781046601 </v>
          </cell>
          <cell r="D35" t="str">
            <v>Regal Picon 48 Portion</v>
          </cell>
          <cell r="E35">
            <v>1.698</v>
          </cell>
          <cell r="F35">
            <v>1.903</v>
          </cell>
        </row>
        <row r="36">
          <cell r="B36">
            <v>155145</v>
          </cell>
          <cell r="C36">
            <v>3073781059793</v>
          </cell>
          <cell r="D36" t="str">
            <v>Regal Picon 40P - (5X8P)</v>
          </cell>
          <cell r="E36">
            <v>1.4139999999999999</v>
          </cell>
          <cell r="F36">
            <v>1.585</v>
          </cell>
        </row>
        <row r="37">
          <cell r="B37">
            <v>94595</v>
          </cell>
          <cell r="C37">
            <v>3073781053616</v>
          </cell>
          <cell r="D37" t="str">
            <v>Regal Picon 2X32P - 10% Off</v>
          </cell>
          <cell r="E37">
            <v>2.2050000000000001</v>
          </cell>
          <cell r="F37">
            <v>2.4710000000000001</v>
          </cell>
        </row>
        <row r="38">
          <cell r="B38">
            <v>94567</v>
          </cell>
          <cell r="C38" t="str">
            <v xml:space="preserve">3073780884655 </v>
          </cell>
          <cell r="D38" t="str">
            <v>Regal Picon 72 Portion</v>
          </cell>
          <cell r="E38">
            <v>2.08</v>
          </cell>
          <cell r="F38">
            <v>2.331</v>
          </cell>
        </row>
        <row r="39">
          <cell r="B39">
            <v>293087</v>
          </cell>
          <cell r="C39">
            <v>3073781125627</v>
          </cell>
          <cell r="D39" t="str">
            <v>Regal Picon White Jar- 240G</v>
          </cell>
          <cell r="E39">
            <v>0.754</v>
          </cell>
          <cell r="F39">
            <v>0.84799999999999998</v>
          </cell>
        </row>
        <row r="40">
          <cell r="B40">
            <v>293088</v>
          </cell>
          <cell r="C40">
            <v>3073781125634</v>
          </cell>
          <cell r="D40" t="str">
            <v>Regal Picon White Jar- 500G</v>
          </cell>
          <cell r="E40">
            <v>1.482</v>
          </cell>
          <cell r="F40">
            <v>1.667</v>
          </cell>
        </row>
        <row r="41">
          <cell r="B41">
            <v>293293</v>
          </cell>
          <cell r="C41">
            <v>3073781125641</v>
          </cell>
          <cell r="D41" t="str">
            <v>Regal Picon White Jar- 900G</v>
          </cell>
          <cell r="E41">
            <v>2.4609999999999999</v>
          </cell>
          <cell r="F41">
            <v>2.7679999999999998</v>
          </cell>
        </row>
        <row r="42">
          <cell r="B42">
            <v>293294</v>
          </cell>
          <cell r="C42">
            <v>3073781134537</v>
          </cell>
          <cell r="D42" t="str">
            <v>Regal Picon White Jar(2X500G)- 20% Off</v>
          </cell>
          <cell r="E42">
            <v>2.371</v>
          </cell>
          <cell r="F42">
            <v>2.6659999999999999</v>
          </cell>
        </row>
        <row r="43">
          <cell r="B43">
            <v>293732</v>
          </cell>
          <cell r="C43">
            <v>3073781134193</v>
          </cell>
          <cell r="D43" t="str">
            <v>Regal Picon White Jar 2X900G- 15% Off</v>
          </cell>
          <cell r="E43">
            <v>4.1840000000000002</v>
          </cell>
          <cell r="F43">
            <v>4.7050000000000001</v>
          </cell>
        </row>
        <row r="44">
          <cell r="B44">
            <v>114598</v>
          </cell>
          <cell r="C44" t="str">
            <v xml:space="preserve">3073780998338 </v>
          </cell>
          <cell r="D44" t="str">
            <v>Regal Picon Slice Cheddar 200G</v>
          </cell>
          <cell r="E44">
            <v>0.67600000000000005</v>
          </cell>
          <cell r="F44">
            <v>0.754</v>
          </cell>
        </row>
        <row r="45">
          <cell r="B45">
            <v>114599</v>
          </cell>
          <cell r="C45" t="str">
            <v xml:space="preserve">3073780998352 </v>
          </cell>
          <cell r="D45" t="str">
            <v>Regal Picon Slice Burger 200G</v>
          </cell>
          <cell r="E45">
            <v>0.67600000000000005</v>
          </cell>
          <cell r="F45">
            <v>0.754</v>
          </cell>
        </row>
        <row r="46">
          <cell r="B46">
            <v>114600</v>
          </cell>
          <cell r="C46" t="str">
            <v xml:space="preserve">3073780998376 </v>
          </cell>
          <cell r="D46" t="str">
            <v>Regal Picon Slice Cheddar Family 400G</v>
          </cell>
          <cell r="E46">
            <v>1.3520000000000001</v>
          </cell>
          <cell r="F46">
            <v>1.508</v>
          </cell>
        </row>
        <row r="47">
          <cell r="B47">
            <v>152860</v>
          </cell>
          <cell r="C47" t="str">
            <v xml:space="preserve">3073780905817 </v>
          </cell>
          <cell r="D47" t="str">
            <v>Les Enfants 8 Portion</v>
          </cell>
          <cell r="E47">
            <v>0.314</v>
          </cell>
          <cell r="F47">
            <v>0.35199999999999998</v>
          </cell>
        </row>
        <row r="48">
          <cell r="B48">
            <v>94649</v>
          </cell>
          <cell r="C48" t="str">
            <v xml:space="preserve">3073780905831 </v>
          </cell>
          <cell r="D48" t="str">
            <v>Les Enfants 24 Portion</v>
          </cell>
          <cell r="E48">
            <v>0.94199999999999995</v>
          </cell>
          <cell r="F48">
            <v>1.056</v>
          </cell>
        </row>
        <row r="49">
          <cell r="B49">
            <v>133208</v>
          </cell>
          <cell r="C49" t="str">
            <v xml:space="preserve">3073781021226 </v>
          </cell>
          <cell r="D49" t="str">
            <v>Les Enfants 32 Portion</v>
          </cell>
          <cell r="E49">
            <v>1.242</v>
          </cell>
          <cell r="F49">
            <v>1.3919999999999999</v>
          </cell>
        </row>
        <row r="50">
          <cell r="B50">
            <v>202753</v>
          </cell>
          <cell r="C50">
            <v>3073781061857</v>
          </cell>
          <cell r="D50" t="str">
            <v>Les Enfants 48 Portion</v>
          </cell>
          <cell r="E50">
            <v>1.698</v>
          </cell>
          <cell r="F50">
            <v>1.903</v>
          </cell>
        </row>
        <row r="51">
          <cell r="B51">
            <v>155146</v>
          </cell>
          <cell r="C51">
            <v>3073780959704</v>
          </cell>
          <cell r="D51" t="str">
            <v>Les Enfants 40P - (5X8P)</v>
          </cell>
          <cell r="E51">
            <v>1.3979999999999999</v>
          </cell>
          <cell r="F51">
            <v>1.5669999999999999</v>
          </cell>
        </row>
        <row r="52">
          <cell r="B52">
            <v>214355</v>
          </cell>
          <cell r="C52" t="str">
            <v xml:space="preserve">3073780460262 </v>
          </cell>
          <cell r="D52" t="str">
            <v>Babybel Maxi 200G (X8)</v>
          </cell>
          <cell r="E52">
            <v>1.2709999999999999</v>
          </cell>
          <cell r="F52">
            <v>1.4179999999999999</v>
          </cell>
        </row>
        <row r="53">
          <cell r="B53">
            <v>94730</v>
          </cell>
          <cell r="C53" t="str">
            <v xml:space="preserve">3073780968508 </v>
          </cell>
          <cell r="D53" t="str">
            <v>Babybel Mini Original 100G</v>
          </cell>
          <cell r="E53">
            <v>1.04</v>
          </cell>
          <cell r="F53">
            <v>1.1599999999999999</v>
          </cell>
        </row>
        <row r="54">
          <cell r="B54">
            <v>94734</v>
          </cell>
          <cell r="C54" t="str">
            <v xml:space="preserve">3073780965828 </v>
          </cell>
          <cell r="D54" t="str">
            <v>Babybel Mini Light 100G</v>
          </cell>
          <cell r="E54">
            <v>1.04</v>
          </cell>
          <cell r="F54">
            <v>1.1599999999999999</v>
          </cell>
        </row>
        <row r="55">
          <cell r="B55">
            <v>94733</v>
          </cell>
          <cell r="C55" t="str">
            <v xml:space="preserve">3073780965729 </v>
          </cell>
          <cell r="D55" t="str">
            <v>Babybel Mini Cheddar 100G</v>
          </cell>
          <cell r="E55">
            <v>1.04</v>
          </cell>
          <cell r="F55">
            <v>1.1599999999999999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ulu"/>
      <sheetName val="Sheet2"/>
      <sheetName val="Sheet1"/>
    </sheetNames>
    <sheetDataSet>
      <sheetData sheetId="0">
        <row r="1">
          <cell r="E1" t="str">
            <v>BARCODES</v>
          </cell>
          <cell r="F1" t="str">
            <v>KR CODE</v>
          </cell>
        </row>
        <row r="2">
          <cell r="E2">
            <v>3251350126002</v>
          </cell>
          <cell r="F2">
            <v>152859</v>
          </cell>
        </row>
        <row r="3">
          <cell r="E3">
            <v>3073780896504</v>
          </cell>
          <cell r="F3">
            <v>94576</v>
          </cell>
        </row>
        <row r="4">
          <cell r="E4">
            <v>3073780896528</v>
          </cell>
          <cell r="F4">
            <v>94581</v>
          </cell>
        </row>
        <row r="5">
          <cell r="E5">
            <v>3073780896542</v>
          </cell>
          <cell r="F5">
            <v>94590</v>
          </cell>
        </row>
        <row r="6">
          <cell r="E6">
            <v>3073781046601</v>
          </cell>
          <cell r="F6">
            <v>177009</v>
          </cell>
        </row>
        <row r="7">
          <cell r="E7">
            <v>3073780998352</v>
          </cell>
          <cell r="F7">
            <v>114599</v>
          </cell>
        </row>
        <row r="8">
          <cell r="E8">
            <v>3073780998338</v>
          </cell>
          <cell r="F8">
            <v>114598</v>
          </cell>
        </row>
        <row r="9">
          <cell r="E9">
            <v>3073780998376</v>
          </cell>
          <cell r="F9">
            <v>114600</v>
          </cell>
        </row>
        <row r="10">
          <cell r="E10">
            <v>1800000005192</v>
          </cell>
          <cell r="F10">
            <v>122516</v>
          </cell>
        </row>
        <row r="11">
          <cell r="E11">
            <v>1800000008148</v>
          </cell>
        </row>
        <row r="12">
          <cell r="E12">
            <v>3073781125627</v>
          </cell>
          <cell r="F12">
            <v>293087</v>
          </cell>
        </row>
        <row r="13">
          <cell r="E13">
            <v>3073781125634</v>
          </cell>
          <cell r="F13">
            <v>293088</v>
          </cell>
        </row>
        <row r="14">
          <cell r="E14">
            <v>3073781125641</v>
          </cell>
          <cell r="F14">
            <v>293293</v>
          </cell>
        </row>
        <row r="15">
          <cell r="E15">
            <v>3073781136982</v>
          </cell>
          <cell r="F15">
            <v>313207</v>
          </cell>
        </row>
        <row r="16">
          <cell r="E16">
            <v>3073781134537</v>
          </cell>
          <cell r="F16">
            <v>293294</v>
          </cell>
        </row>
        <row r="17">
          <cell r="E17">
            <v>3073781134193</v>
          </cell>
          <cell r="F17">
            <v>293732</v>
          </cell>
        </row>
        <row r="18">
          <cell r="E18">
            <v>3073781053616</v>
          </cell>
          <cell r="F18">
            <v>94595</v>
          </cell>
        </row>
        <row r="19">
          <cell r="E19">
            <v>3073781059793</v>
          </cell>
          <cell r="F19">
            <v>155145</v>
          </cell>
        </row>
        <row r="20">
          <cell r="E20">
            <v>3073780992114</v>
          </cell>
          <cell r="F20">
            <v>94589</v>
          </cell>
        </row>
        <row r="21">
          <cell r="E21">
            <v>3073780977869</v>
          </cell>
          <cell r="F21">
            <v>395985</v>
          </cell>
        </row>
        <row r="22">
          <cell r="E22">
            <v>3073780905817</v>
          </cell>
          <cell r="F22">
            <v>152860</v>
          </cell>
        </row>
        <row r="23">
          <cell r="E23">
            <v>3073780905831</v>
          </cell>
          <cell r="F23">
            <v>94649</v>
          </cell>
        </row>
        <row r="24">
          <cell r="F24">
            <v>133208</v>
          </cell>
        </row>
        <row r="25">
          <cell r="F25">
            <v>202753</v>
          </cell>
        </row>
        <row r="26">
          <cell r="E26">
            <v>3073780959704</v>
          </cell>
          <cell r="F26">
            <v>155146</v>
          </cell>
        </row>
        <row r="27">
          <cell r="E27">
            <v>3251350000265</v>
          </cell>
          <cell r="F27">
            <v>94654</v>
          </cell>
        </row>
        <row r="28">
          <cell r="E28">
            <v>3073786155186</v>
          </cell>
          <cell r="F28">
            <v>155147</v>
          </cell>
        </row>
        <row r="29">
          <cell r="E29">
            <v>3073780574242</v>
          </cell>
          <cell r="F29">
            <v>94659</v>
          </cell>
        </row>
        <row r="30">
          <cell r="E30">
            <v>3073780574310</v>
          </cell>
          <cell r="F30">
            <v>94661</v>
          </cell>
        </row>
        <row r="31">
          <cell r="E31">
            <v>3073780593083</v>
          </cell>
          <cell r="F31">
            <v>94664</v>
          </cell>
        </row>
        <row r="32">
          <cell r="F32">
            <v>268317</v>
          </cell>
        </row>
        <row r="33">
          <cell r="E33">
            <v>3073780689014</v>
          </cell>
          <cell r="F33">
            <v>94656</v>
          </cell>
        </row>
        <row r="34">
          <cell r="E34">
            <v>30737808110661</v>
          </cell>
          <cell r="F34">
            <v>194963</v>
          </cell>
        </row>
        <row r="35">
          <cell r="E35">
            <v>30087798</v>
          </cell>
          <cell r="F35">
            <v>309827</v>
          </cell>
        </row>
        <row r="36">
          <cell r="F36">
            <v>125019</v>
          </cell>
        </row>
        <row r="37">
          <cell r="E37">
            <v>3073780985581</v>
          </cell>
          <cell r="F37">
            <v>94674</v>
          </cell>
        </row>
        <row r="38">
          <cell r="E38">
            <v>3073780450461</v>
          </cell>
          <cell r="F38">
            <v>94671</v>
          </cell>
        </row>
        <row r="39">
          <cell r="E39">
            <v>3073780450386</v>
          </cell>
          <cell r="F39">
            <v>94698</v>
          </cell>
        </row>
        <row r="40">
          <cell r="E40">
            <v>3073780543989</v>
          </cell>
          <cell r="F40">
            <v>94693</v>
          </cell>
        </row>
        <row r="41">
          <cell r="E41">
            <v>3073780999816</v>
          </cell>
          <cell r="F41">
            <v>318173</v>
          </cell>
        </row>
        <row r="42">
          <cell r="E42">
            <v>3073780985604</v>
          </cell>
          <cell r="F42">
            <v>94672</v>
          </cell>
        </row>
        <row r="43">
          <cell r="E43">
            <v>6291100552900</v>
          </cell>
          <cell r="F43">
            <v>94667</v>
          </cell>
        </row>
        <row r="44">
          <cell r="E44">
            <v>3073780839631</v>
          </cell>
          <cell r="F44">
            <v>182808</v>
          </cell>
        </row>
        <row r="45">
          <cell r="E45">
            <v>3073780894326</v>
          </cell>
          <cell r="F45">
            <v>182809</v>
          </cell>
        </row>
        <row r="46">
          <cell r="E46">
            <v>3073780767897</v>
          </cell>
          <cell r="F46">
            <v>94714</v>
          </cell>
        </row>
        <row r="47">
          <cell r="E47">
            <v>3073780853545</v>
          </cell>
          <cell r="F47">
            <v>194957</v>
          </cell>
        </row>
        <row r="48">
          <cell r="E48">
            <v>3073781089172</v>
          </cell>
          <cell r="F48">
            <v>308347</v>
          </cell>
        </row>
        <row r="49">
          <cell r="F49">
            <v>213406</v>
          </cell>
        </row>
        <row r="50">
          <cell r="E50">
            <v>3073781141382</v>
          </cell>
          <cell r="F50">
            <v>312609</v>
          </cell>
        </row>
        <row r="51">
          <cell r="E51">
            <v>3073781141368</v>
          </cell>
          <cell r="F51">
            <v>312610</v>
          </cell>
        </row>
        <row r="52">
          <cell r="E52">
            <v>3073781141429</v>
          </cell>
          <cell r="F52">
            <v>312611</v>
          </cell>
        </row>
        <row r="53">
          <cell r="E53">
            <v>3073781141443</v>
          </cell>
          <cell r="F53">
            <v>312612</v>
          </cell>
        </row>
        <row r="54">
          <cell r="E54">
            <v>3073780984492</v>
          </cell>
          <cell r="F54">
            <v>215668</v>
          </cell>
        </row>
        <row r="55">
          <cell r="E55">
            <v>3073781062762</v>
          </cell>
          <cell r="F55">
            <v>293035</v>
          </cell>
        </row>
        <row r="56">
          <cell r="E56">
            <v>3073781066906</v>
          </cell>
          <cell r="F56">
            <v>208761</v>
          </cell>
        </row>
        <row r="57">
          <cell r="E57">
            <v>3073781066913</v>
          </cell>
          <cell r="F57">
            <v>293032</v>
          </cell>
        </row>
        <row r="58">
          <cell r="E58">
            <v>3073781066920</v>
          </cell>
          <cell r="F58">
            <v>293033</v>
          </cell>
        </row>
        <row r="59">
          <cell r="E59">
            <v>3073781010725</v>
          </cell>
          <cell r="F59">
            <v>194958</v>
          </cell>
        </row>
        <row r="60">
          <cell r="E60">
            <v>3073781010749</v>
          </cell>
          <cell r="F60">
            <v>293030</v>
          </cell>
        </row>
        <row r="61">
          <cell r="E61">
            <v>3073781058796</v>
          </cell>
          <cell r="F61">
            <v>293031</v>
          </cell>
        </row>
        <row r="62">
          <cell r="E62">
            <v>3073781054538</v>
          </cell>
          <cell r="F62">
            <v>233270</v>
          </cell>
        </row>
        <row r="63">
          <cell r="E63">
            <v>3073781066937</v>
          </cell>
          <cell r="F63">
            <v>233271</v>
          </cell>
        </row>
        <row r="64">
          <cell r="E64">
            <v>3073780960472</v>
          </cell>
          <cell r="F64">
            <v>94715</v>
          </cell>
        </row>
        <row r="65">
          <cell r="E65">
            <v>3073780000437</v>
          </cell>
          <cell r="F65">
            <v>195621</v>
          </cell>
        </row>
        <row r="66">
          <cell r="F66">
            <v>94703</v>
          </cell>
        </row>
        <row r="67">
          <cell r="F67">
            <v>195536</v>
          </cell>
        </row>
        <row r="68">
          <cell r="E68">
            <v>3073781053555</v>
          </cell>
          <cell r="F68">
            <v>195540</v>
          </cell>
        </row>
        <row r="69">
          <cell r="E69">
            <v>3073780460262</v>
          </cell>
          <cell r="F69">
            <v>214355</v>
          </cell>
        </row>
        <row r="70">
          <cell r="E70">
            <v>3073780965828</v>
          </cell>
          <cell r="F70">
            <v>94734</v>
          </cell>
        </row>
        <row r="71">
          <cell r="E71">
            <v>3073780965729</v>
          </cell>
          <cell r="F71">
            <v>94733</v>
          </cell>
        </row>
        <row r="72">
          <cell r="E72">
            <v>3073780968508</v>
          </cell>
          <cell r="F72">
            <v>94730</v>
          </cell>
        </row>
        <row r="73">
          <cell r="E73">
            <v>8990800303017</v>
          </cell>
          <cell r="F73">
            <v>351970</v>
          </cell>
        </row>
        <row r="74">
          <cell r="E74">
            <v>8990800000206</v>
          </cell>
          <cell r="F74">
            <v>351378</v>
          </cell>
        </row>
        <row r="75">
          <cell r="E75">
            <v>8990800013244</v>
          </cell>
          <cell r="F75">
            <v>351379</v>
          </cell>
        </row>
        <row r="76">
          <cell r="E76">
            <v>8990800030054</v>
          </cell>
          <cell r="F76">
            <v>351380</v>
          </cell>
        </row>
        <row r="77">
          <cell r="E77">
            <v>8990800014517</v>
          </cell>
          <cell r="F77">
            <v>351380</v>
          </cell>
        </row>
        <row r="78">
          <cell r="E78">
            <v>8990800017211</v>
          </cell>
          <cell r="F78">
            <v>194501</v>
          </cell>
        </row>
        <row r="79">
          <cell r="E79">
            <v>8990800023496</v>
          </cell>
          <cell r="F79">
            <v>352470</v>
          </cell>
        </row>
        <row r="80">
          <cell r="E80">
            <v>6921211112402</v>
          </cell>
          <cell r="F80">
            <v>234076</v>
          </cell>
        </row>
        <row r="81">
          <cell r="E81">
            <v>8935001724438</v>
          </cell>
          <cell r="F81">
            <v>271359</v>
          </cell>
        </row>
        <row r="82">
          <cell r="E82">
            <v>8935001724469</v>
          </cell>
          <cell r="F82">
            <v>271358</v>
          </cell>
        </row>
        <row r="83">
          <cell r="E83">
            <v>8935001724452</v>
          </cell>
          <cell r="F83">
            <v>309760</v>
          </cell>
        </row>
        <row r="84">
          <cell r="E84">
            <v>8935001724445</v>
          </cell>
          <cell r="F84">
            <v>309771</v>
          </cell>
        </row>
        <row r="85">
          <cell r="E85">
            <v>8935001726500</v>
          </cell>
          <cell r="F85">
            <v>351374</v>
          </cell>
        </row>
        <row r="86">
          <cell r="E86">
            <v>8935001706588</v>
          </cell>
          <cell r="F86">
            <v>138937</v>
          </cell>
        </row>
        <row r="87">
          <cell r="E87">
            <v>8935001706724</v>
          </cell>
          <cell r="F87">
            <v>138938</v>
          </cell>
        </row>
        <row r="88">
          <cell r="E88">
            <v>8003440963203</v>
          </cell>
          <cell r="F88">
            <v>138939</v>
          </cell>
        </row>
        <row r="89">
          <cell r="E89">
            <v>8003440963197</v>
          </cell>
          <cell r="F89">
            <v>138940</v>
          </cell>
        </row>
        <row r="90">
          <cell r="E90">
            <v>8003440965344</v>
          </cell>
          <cell r="F90">
            <v>138942</v>
          </cell>
        </row>
        <row r="91">
          <cell r="E91">
            <v>8935001724094</v>
          </cell>
          <cell r="F91">
            <v>252583</v>
          </cell>
        </row>
        <row r="92">
          <cell r="E92">
            <v>8935001724070</v>
          </cell>
          <cell r="F92">
            <v>252584</v>
          </cell>
        </row>
        <row r="93">
          <cell r="E93">
            <v>8935001725015</v>
          </cell>
          <cell r="F93">
            <v>308535</v>
          </cell>
        </row>
        <row r="94">
          <cell r="E94">
            <v>8935001725039</v>
          </cell>
          <cell r="F94">
            <v>308536</v>
          </cell>
        </row>
        <row r="95">
          <cell r="E95">
            <v>8935001722519</v>
          </cell>
          <cell r="F95">
            <v>183930</v>
          </cell>
        </row>
        <row r="96">
          <cell r="E96">
            <v>8935001722533</v>
          </cell>
          <cell r="F96">
            <v>184051</v>
          </cell>
        </row>
        <row r="97">
          <cell r="E97">
            <v>8003440963234</v>
          </cell>
          <cell r="F97">
            <v>138945</v>
          </cell>
        </row>
        <row r="98">
          <cell r="E98">
            <v>8003440963210</v>
          </cell>
          <cell r="F98">
            <v>138946</v>
          </cell>
        </row>
        <row r="99">
          <cell r="E99">
            <v>8003440963227</v>
          </cell>
          <cell r="F99">
            <v>138947</v>
          </cell>
        </row>
        <row r="100">
          <cell r="E100">
            <v>8003440968864</v>
          </cell>
          <cell r="F100">
            <v>138948</v>
          </cell>
        </row>
        <row r="101">
          <cell r="E101">
            <v>8003440968802</v>
          </cell>
          <cell r="F101">
            <v>138949</v>
          </cell>
        </row>
        <row r="102">
          <cell r="E102">
            <v>8003440968826</v>
          </cell>
          <cell r="F102">
            <v>138950</v>
          </cell>
        </row>
        <row r="103">
          <cell r="E103">
            <v>8935001721505</v>
          </cell>
          <cell r="F103">
            <v>157590</v>
          </cell>
        </row>
        <row r="104">
          <cell r="E104">
            <v>8935001721529</v>
          </cell>
          <cell r="F104">
            <v>157591</v>
          </cell>
        </row>
        <row r="105">
          <cell r="E105">
            <v>8935001722496</v>
          </cell>
          <cell r="F105">
            <v>176179</v>
          </cell>
        </row>
        <row r="106">
          <cell r="E106">
            <v>8935001722472</v>
          </cell>
          <cell r="F106">
            <v>176180</v>
          </cell>
        </row>
        <row r="107">
          <cell r="E107">
            <v>8935001720218</v>
          </cell>
          <cell r="F107">
            <v>138936</v>
          </cell>
        </row>
        <row r="108">
          <cell r="E108">
            <v>8990800007809</v>
          </cell>
          <cell r="F108">
            <v>176176</v>
          </cell>
        </row>
        <row r="109">
          <cell r="E109">
            <v>6921211117025</v>
          </cell>
          <cell r="F109">
            <v>351375</v>
          </cell>
        </row>
        <row r="110">
          <cell r="E110">
            <v>6921211117100</v>
          </cell>
          <cell r="F110">
            <v>351376</v>
          </cell>
        </row>
        <row r="111">
          <cell r="E111">
            <v>6921211118138</v>
          </cell>
          <cell r="F111">
            <v>351377</v>
          </cell>
        </row>
        <row r="112">
          <cell r="E112">
            <v>8935001726005</v>
          </cell>
          <cell r="F112">
            <v>353006</v>
          </cell>
        </row>
        <row r="113">
          <cell r="E113">
            <v>8935001726050</v>
          </cell>
          <cell r="F113">
            <v>353007</v>
          </cell>
        </row>
        <row r="114">
          <cell r="E114">
            <v>8710800970473</v>
          </cell>
          <cell r="F114">
            <v>229396</v>
          </cell>
        </row>
        <row r="115">
          <cell r="E115">
            <v>8710800970480</v>
          </cell>
          <cell r="F115">
            <v>229395</v>
          </cell>
        </row>
        <row r="116">
          <cell r="E116">
            <v>8710800972804</v>
          </cell>
          <cell r="F116">
            <v>229394</v>
          </cell>
        </row>
        <row r="117">
          <cell r="E117">
            <v>8710800970497</v>
          </cell>
          <cell r="F117">
            <v>229397</v>
          </cell>
        </row>
        <row r="118">
          <cell r="E118">
            <v>6921211114338</v>
          </cell>
          <cell r="F118">
            <v>269087</v>
          </cell>
        </row>
        <row r="119">
          <cell r="E119">
            <v>6921211114307</v>
          </cell>
          <cell r="F119">
            <v>269088</v>
          </cell>
        </row>
        <row r="120">
          <cell r="E120">
            <v>6921211114994</v>
          </cell>
          <cell r="F120">
            <v>269086</v>
          </cell>
        </row>
        <row r="121">
          <cell r="E121">
            <v>8410031948745</v>
          </cell>
          <cell r="F121">
            <v>176183</v>
          </cell>
        </row>
        <row r="122">
          <cell r="E122">
            <v>8410031945737</v>
          </cell>
          <cell r="F122">
            <v>176184</v>
          </cell>
        </row>
        <row r="124">
          <cell r="E124">
            <v>84198013</v>
          </cell>
          <cell r="F124">
            <v>176185</v>
          </cell>
        </row>
        <row r="125">
          <cell r="E125">
            <v>84198020</v>
          </cell>
          <cell r="F125">
            <v>176186</v>
          </cell>
        </row>
        <row r="126">
          <cell r="E126">
            <v>84198006</v>
          </cell>
          <cell r="F126">
            <v>176187</v>
          </cell>
        </row>
        <row r="127">
          <cell r="E127">
            <v>8410031945713</v>
          </cell>
          <cell r="F127">
            <v>234071</v>
          </cell>
        </row>
        <row r="128">
          <cell r="E128">
            <v>8410031937503</v>
          </cell>
          <cell r="F128">
            <v>176194</v>
          </cell>
        </row>
        <row r="129">
          <cell r="E129">
            <v>8410031937527</v>
          </cell>
          <cell r="F129">
            <v>176195</v>
          </cell>
        </row>
        <row r="130">
          <cell r="E130">
            <v>8410031937541</v>
          </cell>
          <cell r="F130">
            <v>176196</v>
          </cell>
        </row>
        <row r="131">
          <cell r="E131">
            <v>8410031940015</v>
          </cell>
          <cell r="F131">
            <v>176197</v>
          </cell>
        </row>
        <row r="132">
          <cell r="E132">
            <v>84155634</v>
          </cell>
          <cell r="F132">
            <v>176188</v>
          </cell>
        </row>
        <row r="133">
          <cell r="E133">
            <v>84158833</v>
          </cell>
          <cell r="F133">
            <v>176189</v>
          </cell>
        </row>
        <row r="134">
          <cell r="E134">
            <v>84158826</v>
          </cell>
          <cell r="F134">
            <v>176190</v>
          </cell>
        </row>
        <row r="135">
          <cell r="E135">
            <v>84196033</v>
          </cell>
          <cell r="F135">
            <v>176191</v>
          </cell>
        </row>
        <row r="136">
          <cell r="E136">
            <v>8410031991443</v>
          </cell>
          <cell r="F136">
            <v>176198</v>
          </cell>
        </row>
        <row r="137">
          <cell r="E137">
            <v>8410031996852</v>
          </cell>
          <cell r="F137">
            <v>176199</v>
          </cell>
        </row>
        <row r="138">
          <cell r="E138">
            <v>8410031122510</v>
          </cell>
          <cell r="F138">
            <v>176200</v>
          </cell>
        </row>
        <row r="139">
          <cell r="E139">
            <v>8410031132519</v>
          </cell>
          <cell r="F139">
            <v>176201</v>
          </cell>
        </row>
        <row r="140">
          <cell r="E140">
            <v>8410031923605</v>
          </cell>
          <cell r="F140">
            <v>176204</v>
          </cell>
        </row>
        <row r="141">
          <cell r="E141">
            <v>8410031936988</v>
          </cell>
          <cell r="F141">
            <v>376613</v>
          </cell>
        </row>
        <row r="142">
          <cell r="E142">
            <v>84194107</v>
          </cell>
          <cell r="F142">
            <v>176206</v>
          </cell>
        </row>
        <row r="143">
          <cell r="E143">
            <v>84196859</v>
          </cell>
          <cell r="F143">
            <v>176207</v>
          </cell>
        </row>
        <row r="144">
          <cell r="E144">
            <v>4601798070211</v>
          </cell>
          <cell r="F144">
            <v>176208</v>
          </cell>
        </row>
        <row r="145">
          <cell r="E145">
            <v>84196842</v>
          </cell>
          <cell r="F145">
            <v>176210</v>
          </cell>
        </row>
        <row r="146">
          <cell r="E146">
            <v>6925425474448</v>
          </cell>
          <cell r="F146">
            <v>181553</v>
          </cell>
        </row>
        <row r="147">
          <cell r="E147">
            <v>6925425474363</v>
          </cell>
          <cell r="F147">
            <v>181554</v>
          </cell>
        </row>
        <row r="148">
          <cell r="E148">
            <v>6925425474486</v>
          </cell>
          <cell r="F148">
            <v>181555</v>
          </cell>
        </row>
        <row r="149">
          <cell r="E149">
            <v>6925425474400</v>
          </cell>
          <cell r="F149">
            <v>181556</v>
          </cell>
        </row>
        <row r="150">
          <cell r="E150">
            <v>6925425474387</v>
          </cell>
          <cell r="F150">
            <v>181557</v>
          </cell>
        </row>
        <row r="151">
          <cell r="E151">
            <v>6925425474462</v>
          </cell>
          <cell r="F151">
            <v>181558</v>
          </cell>
        </row>
        <row r="152">
          <cell r="E152">
            <v>6925425474424</v>
          </cell>
          <cell r="F152">
            <v>181559</v>
          </cell>
        </row>
        <row r="153">
          <cell r="E153">
            <v>8901393017137</v>
          </cell>
          <cell r="F153">
            <v>234073</v>
          </cell>
        </row>
        <row r="154">
          <cell r="E154">
            <v>8992741952590</v>
          </cell>
          <cell r="F154">
            <v>308066</v>
          </cell>
        </row>
        <row r="155">
          <cell r="E155">
            <v>8992741952583</v>
          </cell>
          <cell r="F155">
            <v>308067</v>
          </cell>
        </row>
        <row r="156">
          <cell r="E156">
            <v>8992741952613</v>
          </cell>
          <cell r="F156">
            <v>308068</v>
          </cell>
        </row>
        <row r="157">
          <cell r="E157">
            <v>8901393017083</v>
          </cell>
          <cell r="F157">
            <v>234075</v>
          </cell>
        </row>
        <row r="158">
          <cell r="E158">
            <v>8003440993859</v>
          </cell>
          <cell r="F158">
            <v>293097</v>
          </cell>
        </row>
        <row r="159">
          <cell r="E159">
            <v>8003440993873</v>
          </cell>
          <cell r="F159">
            <v>293098</v>
          </cell>
        </row>
        <row r="160">
          <cell r="E160">
            <v>8003440993897</v>
          </cell>
          <cell r="F160">
            <v>293099</v>
          </cell>
        </row>
        <row r="161">
          <cell r="E161">
            <v>1800000006939</v>
          </cell>
          <cell r="F161">
            <v>177501</v>
          </cell>
        </row>
        <row r="162">
          <cell r="E162">
            <v>1800000007417</v>
          </cell>
          <cell r="F162">
            <v>198523</v>
          </cell>
        </row>
        <row r="163">
          <cell r="E163">
            <v>80757450</v>
          </cell>
          <cell r="F163">
            <v>229190</v>
          </cell>
        </row>
        <row r="164">
          <cell r="E164">
            <v>80757467</v>
          </cell>
          <cell r="F164">
            <v>229391</v>
          </cell>
        </row>
        <row r="165">
          <cell r="E165">
            <v>80757474</v>
          </cell>
          <cell r="F165">
            <v>229392</v>
          </cell>
        </row>
        <row r="166">
          <cell r="E166">
            <v>80757481</v>
          </cell>
          <cell r="F166">
            <v>229393</v>
          </cell>
        </row>
        <row r="167">
          <cell r="E167">
            <v>6921211111559</v>
          </cell>
          <cell r="F167">
            <v>229186</v>
          </cell>
        </row>
        <row r="168">
          <cell r="E168">
            <v>6921211111467</v>
          </cell>
          <cell r="F168">
            <v>229187</v>
          </cell>
        </row>
        <row r="169">
          <cell r="E169">
            <v>6921211112006</v>
          </cell>
          <cell r="F169">
            <v>229188</v>
          </cell>
        </row>
        <row r="170">
          <cell r="E170">
            <v>6921211112068</v>
          </cell>
          <cell r="F170">
            <v>229189</v>
          </cell>
        </row>
        <row r="171">
          <cell r="E171">
            <v>8990800011554</v>
          </cell>
          <cell r="F171">
            <v>229182</v>
          </cell>
        </row>
        <row r="172">
          <cell r="E172">
            <v>8990800011332</v>
          </cell>
          <cell r="F172">
            <v>229183</v>
          </cell>
        </row>
        <row r="173">
          <cell r="E173">
            <v>8990800011196</v>
          </cell>
          <cell r="F173">
            <v>229184</v>
          </cell>
        </row>
        <row r="174">
          <cell r="E174">
            <v>1800000009404</v>
          </cell>
        </row>
        <row r="175">
          <cell r="E175">
            <v>1800000009415</v>
          </cell>
        </row>
        <row r="176">
          <cell r="E176">
            <v>1800000009428</v>
          </cell>
        </row>
        <row r="177">
          <cell r="E177">
            <v>1800000009428</v>
          </cell>
        </row>
        <row r="178">
          <cell r="E178">
            <v>1800000009435</v>
          </cell>
        </row>
        <row r="179">
          <cell r="E179">
            <v>8935001726470</v>
          </cell>
          <cell r="F179">
            <v>345781</v>
          </cell>
        </row>
        <row r="180">
          <cell r="E180">
            <v>8935001726487</v>
          </cell>
          <cell r="F180">
            <v>345782</v>
          </cell>
        </row>
        <row r="181">
          <cell r="E181">
            <v>24000003649</v>
          </cell>
          <cell r="F181">
            <v>91558</v>
          </cell>
        </row>
        <row r="182">
          <cell r="E182">
            <v>1800000015900</v>
          </cell>
          <cell r="F182">
            <v>356749</v>
          </cell>
        </row>
        <row r="183">
          <cell r="E183">
            <v>24000015963</v>
          </cell>
          <cell r="F183">
            <v>91560</v>
          </cell>
        </row>
        <row r="184">
          <cell r="E184">
            <v>1800000015603</v>
          </cell>
          <cell r="F184">
            <v>356746</v>
          </cell>
        </row>
        <row r="185">
          <cell r="E185">
            <v>24000012313</v>
          </cell>
          <cell r="F185">
            <v>91566</v>
          </cell>
        </row>
        <row r="186">
          <cell r="E186">
            <v>1800000015702</v>
          </cell>
          <cell r="F186">
            <v>356747</v>
          </cell>
        </row>
        <row r="187">
          <cell r="E187">
            <v>24000012306</v>
          </cell>
          <cell r="F187">
            <v>91568</v>
          </cell>
        </row>
        <row r="188">
          <cell r="E188">
            <v>24000008934</v>
          </cell>
          <cell r="F188">
            <v>91570</v>
          </cell>
        </row>
        <row r="189">
          <cell r="E189">
            <v>1800000016020</v>
          </cell>
          <cell r="F189">
            <v>356748</v>
          </cell>
        </row>
        <row r="190">
          <cell r="E190">
            <v>24000015970</v>
          </cell>
          <cell r="F190">
            <v>91572</v>
          </cell>
        </row>
        <row r="191">
          <cell r="E191">
            <v>1800000016013</v>
          </cell>
          <cell r="F191">
            <v>356744</v>
          </cell>
        </row>
        <row r="192">
          <cell r="E192">
            <v>24000012412</v>
          </cell>
          <cell r="F192">
            <v>91575</v>
          </cell>
        </row>
        <row r="193">
          <cell r="E193">
            <v>1800000015504</v>
          </cell>
          <cell r="F193">
            <v>356745</v>
          </cell>
        </row>
        <row r="194">
          <cell r="E194">
            <v>24000024675</v>
          </cell>
          <cell r="F194">
            <v>91531</v>
          </cell>
        </row>
        <row r="195">
          <cell r="E195">
            <v>1800000015108</v>
          </cell>
          <cell r="F195">
            <v>356740</v>
          </cell>
        </row>
        <row r="196">
          <cell r="E196">
            <v>24000010920</v>
          </cell>
          <cell r="F196">
            <v>91535</v>
          </cell>
        </row>
        <row r="197">
          <cell r="E197">
            <v>24000011477</v>
          </cell>
          <cell r="F197">
            <v>91538</v>
          </cell>
        </row>
        <row r="198">
          <cell r="E198">
            <v>1800000015009</v>
          </cell>
          <cell r="F198">
            <v>356739</v>
          </cell>
        </row>
        <row r="199">
          <cell r="E199">
            <v>24000025528</v>
          </cell>
          <cell r="F199">
            <v>91552</v>
          </cell>
        </row>
        <row r="200">
          <cell r="E200">
            <v>1800000015207</v>
          </cell>
          <cell r="F200">
            <v>356741</v>
          </cell>
        </row>
        <row r="201">
          <cell r="E201">
            <v>24000010418</v>
          </cell>
          <cell r="F201">
            <v>91554</v>
          </cell>
        </row>
        <row r="202">
          <cell r="E202">
            <v>24000025993</v>
          </cell>
          <cell r="F202">
            <v>91555</v>
          </cell>
        </row>
        <row r="203">
          <cell r="E203">
            <v>24000102328</v>
          </cell>
          <cell r="F203">
            <v>91579</v>
          </cell>
        </row>
        <row r="204">
          <cell r="E204">
            <v>1800000014804</v>
          </cell>
          <cell r="F204">
            <v>356737</v>
          </cell>
        </row>
        <row r="205">
          <cell r="E205">
            <v>24000130123</v>
          </cell>
          <cell r="F205">
            <v>91584</v>
          </cell>
        </row>
        <row r="206">
          <cell r="E206">
            <v>6291106770292</v>
          </cell>
          <cell r="F206">
            <v>91586</v>
          </cell>
        </row>
        <row r="207">
          <cell r="E207">
            <v>24000156123</v>
          </cell>
          <cell r="F207">
            <v>91589</v>
          </cell>
        </row>
        <row r="208">
          <cell r="E208">
            <v>1800000014903</v>
          </cell>
          <cell r="F208">
            <v>356738</v>
          </cell>
        </row>
        <row r="209">
          <cell r="E209">
            <v>24000074342</v>
          </cell>
          <cell r="F209">
            <v>91592</v>
          </cell>
        </row>
        <row r="210">
          <cell r="E210">
            <v>24000175056</v>
          </cell>
          <cell r="F210">
            <v>91597</v>
          </cell>
        </row>
        <row r="211">
          <cell r="E211">
            <v>6291106771619</v>
          </cell>
          <cell r="F211">
            <v>165189</v>
          </cell>
        </row>
        <row r="212">
          <cell r="E212">
            <v>24000104582</v>
          </cell>
          <cell r="F212">
            <v>91599</v>
          </cell>
        </row>
        <row r="213">
          <cell r="E213">
            <v>1800000015405</v>
          </cell>
          <cell r="F213">
            <v>356743</v>
          </cell>
        </row>
        <row r="214">
          <cell r="E214">
            <v>24000238171</v>
          </cell>
          <cell r="F214">
            <v>165099</v>
          </cell>
        </row>
        <row r="215">
          <cell r="E215">
            <v>24000238188</v>
          </cell>
          <cell r="F215">
            <v>165100</v>
          </cell>
        </row>
        <row r="216">
          <cell r="E216">
            <v>1800000015306</v>
          </cell>
          <cell r="F216">
            <v>356742</v>
          </cell>
        </row>
        <row r="217">
          <cell r="E217">
            <v>24000238201</v>
          </cell>
          <cell r="F217">
            <v>165101</v>
          </cell>
        </row>
        <row r="218">
          <cell r="E218">
            <v>24000104209</v>
          </cell>
          <cell r="F218">
            <v>255031</v>
          </cell>
        </row>
        <row r="219">
          <cell r="E219">
            <v>24000101895</v>
          </cell>
          <cell r="F219">
            <v>302679</v>
          </cell>
        </row>
        <row r="220">
          <cell r="E220">
            <v>4800024562692</v>
          </cell>
          <cell r="F220">
            <v>91604</v>
          </cell>
        </row>
        <row r="221">
          <cell r="E221">
            <v>4800024550927</v>
          </cell>
          <cell r="F221">
            <v>91606</v>
          </cell>
        </row>
        <row r="222">
          <cell r="E222">
            <v>4800024550057</v>
          </cell>
          <cell r="F222">
            <v>91607</v>
          </cell>
        </row>
        <row r="223">
          <cell r="E223">
            <v>4800024550088</v>
          </cell>
          <cell r="F223">
            <v>91608</v>
          </cell>
        </row>
        <row r="224">
          <cell r="E224">
            <v>6291106770223</v>
          </cell>
          <cell r="F224">
            <v>91614</v>
          </cell>
        </row>
        <row r="225">
          <cell r="E225">
            <v>4800024562739</v>
          </cell>
          <cell r="F225">
            <v>91616</v>
          </cell>
        </row>
        <row r="226">
          <cell r="E226">
            <v>24000244417</v>
          </cell>
          <cell r="F226">
            <v>193127</v>
          </cell>
        </row>
        <row r="227">
          <cell r="E227">
            <v>6291106772029</v>
          </cell>
          <cell r="F227">
            <v>198563</v>
          </cell>
        </row>
        <row r="228">
          <cell r="E228">
            <v>24000106470</v>
          </cell>
          <cell r="F228">
            <v>296891</v>
          </cell>
        </row>
        <row r="229">
          <cell r="E229">
            <v>6291108214817</v>
          </cell>
          <cell r="F229">
            <v>304053</v>
          </cell>
        </row>
        <row r="230">
          <cell r="E230">
            <v>736211763730</v>
          </cell>
          <cell r="F230">
            <v>159579</v>
          </cell>
        </row>
        <row r="231">
          <cell r="E231">
            <v>736211763631</v>
          </cell>
          <cell r="F231">
            <v>159580</v>
          </cell>
        </row>
        <row r="232">
          <cell r="E232">
            <v>736211763938</v>
          </cell>
          <cell r="F232">
            <v>159661</v>
          </cell>
        </row>
        <row r="233">
          <cell r="E233">
            <v>736211763839</v>
          </cell>
          <cell r="F233">
            <v>159662</v>
          </cell>
        </row>
        <row r="234">
          <cell r="E234">
            <v>24000155997</v>
          </cell>
          <cell r="F234">
            <v>159749</v>
          </cell>
        </row>
        <row r="235">
          <cell r="E235">
            <v>24000156000</v>
          </cell>
          <cell r="F235">
            <v>159750</v>
          </cell>
        </row>
        <row r="236">
          <cell r="E236">
            <v>24000105619</v>
          </cell>
          <cell r="F236">
            <v>293042</v>
          </cell>
        </row>
        <row r="237">
          <cell r="E237">
            <v>24000105626</v>
          </cell>
          <cell r="F237">
            <v>293043</v>
          </cell>
        </row>
        <row r="238">
          <cell r="E238">
            <v>87208651905517</v>
          </cell>
          <cell r="F238">
            <v>372600</v>
          </cell>
        </row>
        <row r="239">
          <cell r="E239">
            <v>87208651906316</v>
          </cell>
          <cell r="F239">
            <v>372601</v>
          </cell>
        </row>
        <row r="240">
          <cell r="E240">
            <v>87208651905319</v>
          </cell>
          <cell r="F240">
            <v>372602</v>
          </cell>
        </row>
        <row r="241">
          <cell r="E241">
            <v>87208651906118</v>
          </cell>
          <cell r="F241">
            <v>372603</v>
          </cell>
        </row>
        <row r="242">
          <cell r="E242">
            <v>87208651906514</v>
          </cell>
          <cell r="F242">
            <v>372604</v>
          </cell>
        </row>
        <row r="243">
          <cell r="E243">
            <v>87208651905913</v>
          </cell>
          <cell r="F243">
            <v>372605</v>
          </cell>
        </row>
        <row r="244">
          <cell r="E244">
            <v>24000109822</v>
          </cell>
          <cell r="F244">
            <v>341279</v>
          </cell>
        </row>
        <row r="245">
          <cell r="E245">
            <v>24000109785</v>
          </cell>
          <cell r="F245">
            <v>341280</v>
          </cell>
        </row>
        <row r="246">
          <cell r="E246">
            <v>24000109792</v>
          </cell>
          <cell r="F246">
            <v>341281</v>
          </cell>
        </row>
        <row r="247">
          <cell r="E247">
            <v>24000109808</v>
          </cell>
          <cell r="F247">
            <v>341282</v>
          </cell>
        </row>
        <row r="248">
          <cell r="E248">
            <v>24000109815</v>
          </cell>
          <cell r="F248">
            <v>341283</v>
          </cell>
        </row>
        <row r="249">
          <cell r="E249">
            <v>1800000016037</v>
          </cell>
          <cell r="F249">
            <v>357352</v>
          </cell>
        </row>
        <row r="250">
          <cell r="E250">
            <v>1800000016044</v>
          </cell>
          <cell r="F250">
            <v>357353</v>
          </cell>
        </row>
        <row r="251">
          <cell r="E251">
            <v>1800000016051</v>
          </cell>
          <cell r="F251">
            <v>357354</v>
          </cell>
        </row>
        <row r="252">
          <cell r="E252">
            <v>1800000016068</v>
          </cell>
          <cell r="F252">
            <v>357355</v>
          </cell>
        </row>
        <row r="253">
          <cell r="E253">
            <v>1800000016075</v>
          </cell>
          <cell r="F253">
            <v>357356</v>
          </cell>
        </row>
        <row r="254">
          <cell r="E254">
            <v>8429671350054</v>
          </cell>
          <cell r="F254">
            <v>106958</v>
          </cell>
        </row>
        <row r="255">
          <cell r="E255">
            <v>8429671350061</v>
          </cell>
          <cell r="F255">
            <v>91275</v>
          </cell>
        </row>
        <row r="256">
          <cell r="E256">
            <v>8429671350115</v>
          </cell>
          <cell r="F256">
            <v>91277</v>
          </cell>
        </row>
        <row r="257">
          <cell r="E257">
            <v>8429671350085</v>
          </cell>
          <cell r="F257">
            <v>106959</v>
          </cell>
        </row>
        <row r="258">
          <cell r="E258">
            <v>8429671350092</v>
          </cell>
          <cell r="F258">
            <v>91284</v>
          </cell>
        </row>
        <row r="259">
          <cell r="E259">
            <v>8429671351235</v>
          </cell>
          <cell r="F259">
            <v>107250</v>
          </cell>
        </row>
        <row r="260">
          <cell r="E260">
            <v>8429671351266</v>
          </cell>
          <cell r="F260">
            <v>282412</v>
          </cell>
        </row>
        <row r="261">
          <cell r="E261">
            <v>8990800015224</v>
          </cell>
          <cell r="F261">
            <v>176167</v>
          </cell>
        </row>
        <row r="262">
          <cell r="E262">
            <v>8990800015255</v>
          </cell>
          <cell r="F262">
            <v>176168</v>
          </cell>
        </row>
        <row r="263">
          <cell r="E263">
            <v>8990800015286</v>
          </cell>
          <cell r="F263">
            <v>176169</v>
          </cell>
        </row>
        <row r="264">
          <cell r="E264">
            <v>8990800015316</v>
          </cell>
          <cell r="F264">
            <v>176170</v>
          </cell>
        </row>
        <row r="265">
          <cell r="E265">
            <v>8990800015347</v>
          </cell>
          <cell r="F265">
            <v>176171</v>
          </cell>
        </row>
        <row r="266">
          <cell r="E266">
            <v>8990800023908</v>
          </cell>
          <cell r="F266">
            <v>352469</v>
          </cell>
        </row>
        <row r="267">
          <cell r="E267">
            <v>8990800014500</v>
          </cell>
          <cell r="F267">
            <v>351381</v>
          </cell>
        </row>
        <row r="268">
          <cell r="E268">
            <v>8990800022475</v>
          </cell>
          <cell r="F268">
            <v>310039</v>
          </cell>
        </row>
        <row r="269">
          <cell r="E269">
            <v>8935001726029</v>
          </cell>
          <cell r="F269">
            <v>372697</v>
          </cell>
        </row>
        <row r="270">
          <cell r="E270">
            <v>6921211117025</v>
          </cell>
          <cell r="F270">
            <v>365133</v>
          </cell>
        </row>
        <row r="271">
          <cell r="E271">
            <v>6921211117094</v>
          </cell>
          <cell r="F271">
            <v>371251</v>
          </cell>
        </row>
        <row r="272">
          <cell r="E272">
            <v>6921211118121</v>
          </cell>
          <cell r="F272">
            <v>365134</v>
          </cell>
        </row>
        <row r="273">
          <cell r="E273">
            <v>24000037484</v>
          </cell>
          <cell r="F273">
            <v>91541</v>
          </cell>
        </row>
        <row r="274">
          <cell r="E274">
            <v>8720865190563</v>
          </cell>
          <cell r="F274">
            <v>377203</v>
          </cell>
        </row>
        <row r="275">
          <cell r="E275">
            <v>8720865190662</v>
          </cell>
          <cell r="F275">
            <v>377204</v>
          </cell>
        </row>
        <row r="276">
          <cell r="E276">
            <v>1800000020706</v>
          </cell>
          <cell r="F276">
            <v>375630</v>
          </cell>
        </row>
        <row r="277">
          <cell r="E277">
            <v>1800000020805</v>
          </cell>
          <cell r="F277">
            <v>375631</v>
          </cell>
        </row>
        <row r="278">
          <cell r="E278">
            <v>1800000020904</v>
          </cell>
          <cell r="F278">
            <v>375632</v>
          </cell>
        </row>
        <row r="279">
          <cell r="E279">
            <v>1800000021000</v>
          </cell>
          <cell r="F279">
            <v>375633</v>
          </cell>
        </row>
        <row r="280">
          <cell r="E280">
            <v>8935001726265</v>
          </cell>
          <cell r="F280">
            <v>377892</v>
          </cell>
        </row>
        <row r="281">
          <cell r="E281">
            <v>8935001726289</v>
          </cell>
          <cell r="F281">
            <v>378596</v>
          </cell>
        </row>
        <row r="282">
          <cell r="E282">
            <v>8935001726326</v>
          </cell>
          <cell r="F282">
            <v>378597</v>
          </cell>
        </row>
        <row r="283">
          <cell r="E283">
            <v>8410031945744</v>
          </cell>
          <cell r="F283">
            <v>384689</v>
          </cell>
        </row>
        <row r="284">
          <cell r="E284">
            <v>8723400827771</v>
          </cell>
          <cell r="F284">
            <v>387686</v>
          </cell>
        </row>
        <row r="285">
          <cell r="E285">
            <v>8935001727309</v>
          </cell>
          <cell r="F285">
            <v>384691</v>
          </cell>
        </row>
        <row r="286">
          <cell r="E286">
            <v>8935001727293</v>
          </cell>
          <cell r="F286">
            <v>384692</v>
          </cell>
        </row>
        <row r="287">
          <cell r="E287">
            <v>80849469</v>
          </cell>
          <cell r="F287">
            <v>387687</v>
          </cell>
        </row>
        <row r="288">
          <cell r="E288">
            <v>6291109790280</v>
          </cell>
          <cell r="F288">
            <v>386802</v>
          </cell>
        </row>
        <row r="289">
          <cell r="E289">
            <v>6291109790297</v>
          </cell>
          <cell r="F289">
            <v>386803</v>
          </cell>
        </row>
        <row r="290">
          <cell r="E290">
            <v>6291109790303</v>
          </cell>
          <cell r="F290">
            <v>386804</v>
          </cell>
        </row>
        <row r="291">
          <cell r="E291">
            <v>6291109790310</v>
          </cell>
          <cell r="F291">
            <v>386805</v>
          </cell>
        </row>
        <row r="292">
          <cell r="E292">
            <v>6291109790327</v>
          </cell>
          <cell r="F292">
            <v>386806</v>
          </cell>
        </row>
        <row r="293">
          <cell r="E293">
            <v>8935001727392</v>
          </cell>
          <cell r="F293">
            <v>384690</v>
          </cell>
        </row>
        <row r="294">
          <cell r="E294">
            <v>8990800001807</v>
          </cell>
          <cell r="F294">
            <v>176174</v>
          </cell>
        </row>
        <row r="295">
          <cell r="E295">
            <v>8990800001814</v>
          </cell>
          <cell r="F295">
            <v>176175</v>
          </cell>
        </row>
        <row r="296">
          <cell r="E296">
            <v>8935001725572</v>
          </cell>
          <cell r="F296">
            <v>327491</v>
          </cell>
        </row>
        <row r="297">
          <cell r="E297">
            <v>8410031977240</v>
          </cell>
          <cell r="F297">
            <v>374046</v>
          </cell>
        </row>
        <row r="298">
          <cell r="E298" t="str">
            <v>-</v>
          </cell>
          <cell r="F298">
            <v>247102</v>
          </cell>
        </row>
        <row r="299">
          <cell r="F299">
            <v>363700</v>
          </cell>
        </row>
        <row r="300">
          <cell r="E300">
            <v>8992741993340</v>
          </cell>
          <cell r="F300">
            <v>329171</v>
          </cell>
        </row>
        <row r="301">
          <cell r="E301">
            <v>8992741993333</v>
          </cell>
          <cell r="F301">
            <v>329172</v>
          </cell>
        </row>
        <row r="302">
          <cell r="E302">
            <v>8901393017106</v>
          </cell>
          <cell r="F302">
            <v>255466</v>
          </cell>
        </row>
        <row r="303">
          <cell r="E303">
            <v>8901393017137</v>
          </cell>
          <cell r="F303">
            <v>255467</v>
          </cell>
        </row>
        <row r="304">
          <cell r="E304">
            <v>8901393020564</v>
          </cell>
          <cell r="F304">
            <v>324335</v>
          </cell>
        </row>
        <row r="305">
          <cell r="E305">
            <v>8901393020557</v>
          </cell>
          <cell r="F305">
            <v>324336</v>
          </cell>
        </row>
        <row r="306">
          <cell r="E306">
            <v>8901393017045</v>
          </cell>
          <cell r="F306">
            <v>234074</v>
          </cell>
        </row>
        <row r="307">
          <cell r="E307">
            <v>8901393025804</v>
          </cell>
          <cell r="F307">
            <v>372698</v>
          </cell>
        </row>
        <row r="308">
          <cell r="E308">
            <v>8901393017045</v>
          </cell>
          <cell r="F308">
            <v>371252</v>
          </cell>
        </row>
        <row r="309">
          <cell r="E309">
            <v>8901393025798</v>
          </cell>
          <cell r="F309">
            <v>372699</v>
          </cell>
        </row>
        <row r="310">
          <cell r="E310">
            <v>8992741994088</v>
          </cell>
          <cell r="F310">
            <v>329173</v>
          </cell>
        </row>
        <row r="311">
          <cell r="E311">
            <v>1800000017904</v>
          </cell>
          <cell r="F311">
            <v>370080</v>
          </cell>
        </row>
        <row r="312">
          <cell r="E312">
            <v>3073781009842</v>
          </cell>
          <cell r="F312">
            <v>194964</v>
          </cell>
        </row>
        <row r="313">
          <cell r="E313">
            <v>3073780984515</v>
          </cell>
          <cell r="F313">
            <v>293034</v>
          </cell>
        </row>
        <row r="314">
          <cell r="E314">
            <v>3073780884655</v>
          </cell>
          <cell r="F314">
            <v>94567</v>
          </cell>
        </row>
        <row r="315">
          <cell r="E315">
            <v>8901063151970</v>
          </cell>
          <cell r="F315">
            <v>245621</v>
          </cell>
        </row>
        <row r="316">
          <cell r="E316">
            <v>8901063004016</v>
          </cell>
          <cell r="F316">
            <v>233419</v>
          </cell>
        </row>
        <row r="317">
          <cell r="E317">
            <v>6291007905281</v>
          </cell>
          <cell r="F317">
            <v>240667</v>
          </cell>
        </row>
        <row r="318">
          <cell r="E318">
            <v>8901063165793</v>
          </cell>
          <cell r="F318">
            <v>318416</v>
          </cell>
        </row>
        <row r="319">
          <cell r="E319">
            <v>6291007911459</v>
          </cell>
          <cell r="F319">
            <v>337296</v>
          </cell>
        </row>
        <row r="320">
          <cell r="E320">
            <v>6291007911473</v>
          </cell>
          <cell r="F320">
            <v>337297</v>
          </cell>
        </row>
        <row r="321">
          <cell r="E321">
            <v>8901063136779</v>
          </cell>
          <cell r="F321">
            <v>180063</v>
          </cell>
        </row>
        <row r="322">
          <cell r="E322">
            <v>6291007908466</v>
          </cell>
          <cell r="F322">
            <v>329799</v>
          </cell>
        </row>
        <row r="323">
          <cell r="E323">
            <v>6291007908473</v>
          </cell>
          <cell r="F323">
            <v>329800</v>
          </cell>
        </row>
        <row r="324">
          <cell r="E324">
            <v>6291007908480</v>
          </cell>
          <cell r="F324">
            <v>329801</v>
          </cell>
        </row>
        <row r="327">
          <cell r="F327">
            <v>302616</v>
          </cell>
        </row>
        <row r="328">
          <cell r="E328">
            <v>6291007906103</v>
          </cell>
          <cell r="F328">
            <v>346095</v>
          </cell>
        </row>
        <row r="329">
          <cell r="E329">
            <v>6291007906110</v>
          </cell>
          <cell r="F329">
            <v>346094</v>
          </cell>
        </row>
        <row r="330">
          <cell r="E330">
            <v>6291007906097</v>
          </cell>
          <cell r="F330">
            <v>346096</v>
          </cell>
        </row>
        <row r="331">
          <cell r="E331">
            <v>8901063151017</v>
          </cell>
          <cell r="F331">
            <v>164508</v>
          </cell>
        </row>
        <row r="332">
          <cell r="E332">
            <v>8901063151024</v>
          </cell>
          <cell r="F332">
            <v>111203</v>
          </cell>
        </row>
        <row r="333">
          <cell r="E333">
            <v>6291007902181</v>
          </cell>
          <cell r="F333">
            <v>164530</v>
          </cell>
        </row>
        <row r="334">
          <cell r="E334">
            <v>6291007902198</v>
          </cell>
          <cell r="F334">
            <v>164531</v>
          </cell>
        </row>
        <row r="335">
          <cell r="E335">
            <v>6291007905762</v>
          </cell>
          <cell r="F335">
            <v>199739</v>
          </cell>
        </row>
        <row r="336">
          <cell r="E336">
            <v>6291007905960</v>
          </cell>
          <cell r="F336">
            <v>199740</v>
          </cell>
        </row>
        <row r="337">
          <cell r="E337">
            <v>6291007909562</v>
          </cell>
          <cell r="F337">
            <v>300991</v>
          </cell>
        </row>
        <row r="338">
          <cell r="E338">
            <v>8901063152427</v>
          </cell>
          <cell r="F338">
            <v>215558</v>
          </cell>
        </row>
        <row r="339">
          <cell r="E339">
            <v>8901063151055</v>
          </cell>
          <cell r="F339">
            <v>164503</v>
          </cell>
        </row>
        <row r="340">
          <cell r="E340">
            <v>8901063136762</v>
          </cell>
          <cell r="F340">
            <v>164642</v>
          </cell>
        </row>
        <row r="341">
          <cell r="E341">
            <v>6291007906998</v>
          </cell>
          <cell r="F341">
            <v>251153</v>
          </cell>
        </row>
        <row r="342">
          <cell r="E342">
            <v>6291007910261</v>
          </cell>
          <cell r="F342">
            <v>295952</v>
          </cell>
        </row>
        <row r="343">
          <cell r="E343">
            <v>8901063151635</v>
          </cell>
          <cell r="F343">
            <v>300993</v>
          </cell>
        </row>
        <row r="344">
          <cell r="E344">
            <v>8901063405011</v>
          </cell>
          <cell r="F344">
            <v>211176</v>
          </cell>
        </row>
        <row r="345">
          <cell r="E345">
            <v>8901063405202</v>
          </cell>
          <cell r="F345">
            <v>221940</v>
          </cell>
        </row>
        <row r="346">
          <cell r="E346">
            <v>8901063203198</v>
          </cell>
          <cell r="F346">
            <v>164622</v>
          </cell>
        </row>
        <row r="347">
          <cell r="E347">
            <v>8901063030022</v>
          </cell>
          <cell r="F347">
            <v>164725</v>
          </cell>
        </row>
        <row r="348">
          <cell r="E348">
            <v>6291007905311</v>
          </cell>
          <cell r="F348">
            <v>177804</v>
          </cell>
        </row>
        <row r="349">
          <cell r="E349">
            <v>8901063136441</v>
          </cell>
          <cell r="F349">
            <v>194340</v>
          </cell>
        </row>
        <row r="351">
          <cell r="E351">
            <v>8901063151413</v>
          </cell>
          <cell r="F351">
            <v>198596</v>
          </cell>
        </row>
        <row r="352">
          <cell r="E352">
            <v>8901063165434</v>
          </cell>
          <cell r="F352">
            <v>308058</v>
          </cell>
        </row>
        <row r="353">
          <cell r="E353">
            <v>8901063165441</v>
          </cell>
          <cell r="F353">
            <v>308059</v>
          </cell>
        </row>
        <row r="355">
          <cell r="F355">
            <v>164457</v>
          </cell>
        </row>
        <row r="356">
          <cell r="E356">
            <v>6291007901108</v>
          </cell>
          <cell r="F356">
            <v>95891</v>
          </cell>
        </row>
        <row r="357">
          <cell r="E357">
            <v>6291007901078</v>
          </cell>
        </row>
        <row r="361">
          <cell r="E361">
            <v>6291007901603</v>
          </cell>
          <cell r="F361">
            <v>164456</v>
          </cell>
        </row>
        <row r="362">
          <cell r="E362">
            <v>6291007905694</v>
          </cell>
          <cell r="F362">
            <v>192042</v>
          </cell>
        </row>
        <row r="363">
          <cell r="E363">
            <v>8901063151062</v>
          </cell>
          <cell r="F363">
            <v>164550</v>
          </cell>
        </row>
        <row r="364">
          <cell r="E364">
            <v>8901063151192</v>
          </cell>
          <cell r="F364">
            <v>164646</v>
          </cell>
        </row>
        <row r="365">
          <cell r="E365">
            <v>8901063151079</v>
          </cell>
          <cell r="F365">
            <v>164549</v>
          </cell>
        </row>
        <row r="366">
          <cell r="E366">
            <v>8901063151208</v>
          </cell>
          <cell r="F366">
            <v>164645</v>
          </cell>
        </row>
        <row r="367">
          <cell r="E367">
            <v>8901063151048</v>
          </cell>
          <cell r="F367">
            <v>164547</v>
          </cell>
        </row>
        <row r="368">
          <cell r="E368">
            <v>8901063151031</v>
          </cell>
          <cell r="F368">
            <v>164548</v>
          </cell>
        </row>
        <row r="369">
          <cell r="E369">
            <v>6291007901092</v>
          </cell>
          <cell r="F369">
            <v>95894</v>
          </cell>
        </row>
        <row r="370">
          <cell r="E370">
            <v>6291007901085</v>
          </cell>
          <cell r="F370">
            <v>95898</v>
          </cell>
        </row>
        <row r="371">
          <cell r="E371">
            <v>6291007906479</v>
          </cell>
          <cell r="F371">
            <v>300992</v>
          </cell>
        </row>
        <row r="372">
          <cell r="E372">
            <v>6291007901566</v>
          </cell>
          <cell r="F372">
            <v>164458</v>
          </cell>
        </row>
        <row r="373">
          <cell r="E373">
            <v>8901063166486</v>
          </cell>
          <cell r="F373">
            <v>352834</v>
          </cell>
        </row>
        <row r="374">
          <cell r="E374">
            <v>8901063166493</v>
          </cell>
          <cell r="F374">
            <v>352835</v>
          </cell>
        </row>
        <row r="375">
          <cell r="E375">
            <v>8901063136243</v>
          </cell>
          <cell r="F375">
            <v>164224</v>
          </cell>
        </row>
        <row r="376">
          <cell r="E376">
            <v>6291007904970</v>
          </cell>
          <cell r="F376">
            <v>174004</v>
          </cell>
        </row>
        <row r="377">
          <cell r="E377">
            <v>8901063136861</v>
          </cell>
          <cell r="F377">
            <v>164715</v>
          </cell>
        </row>
        <row r="378">
          <cell r="E378">
            <v>8901063165601</v>
          </cell>
          <cell r="F378">
            <v>295766</v>
          </cell>
        </row>
        <row r="379">
          <cell r="E379">
            <v>8901063151987</v>
          </cell>
          <cell r="F379">
            <v>295767</v>
          </cell>
        </row>
        <row r="380">
          <cell r="E380">
            <v>8901063151963</v>
          </cell>
          <cell r="F380">
            <v>295768</v>
          </cell>
        </row>
        <row r="381">
          <cell r="E381">
            <v>6291007907353</v>
          </cell>
          <cell r="F381">
            <v>251154</v>
          </cell>
        </row>
        <row r="382">
          <cell r="E382">
            <v>6291007907346</v>
          </cell>
          <cell r="F382">
            <v>251155</v>
          </cell>
        </row>
        <row r="383">
          <cell r="E383">
            <v>8901063151154</v>
          </cell>
          <cell r="F383">
            <v>335499</v>
          </cell>
        </row>
        <row r="384">
          <cell r="E384">
            <v>8901063151161</v>
          </cell>
          <cell r="F384">
            <v>335500</v>
          </cell>
        </row>
        <row r="385">
          <cell r="E385">
            <v>9501047211318</v>
          </cell>
          <cell r="F385">
            <v>95227</v>
          </cell>
        </row>
        <row r="386">
          <cell r="E386">
            <v>9501047221324</v>
          </cell>
          <cell r="F386">
            <v>95239</v>
          </cell>
        </row>
        <row r="387">
          <cell r="E387">
            <v>9501047211417</v>
          </cell>
          <cell r="F387">
            <v>95230</v>
          </cell>
        </row>
        <row r="388">
          <cell r="E388">
            <v>9501047221416</v>
          </cell>
          <cell r="F388">
            <v>95240</v>
          </cell>
        </row>
        <row r="389">
          <cell r="E389">
            <v>8901063151543</v>
          </cell>
          <cell r="F389">
            <v>302569</v>
          </cell>
        </row>
        <row r="390">
          <cell r="E390">
            <v>6291007700015</v>
          </cell>
          <cell r="F390">
            <v>95808</v>
          </cell>
        </row>
        <row r="391">
          <cell r="E391">
            <v>6291007700039</v>
          </cell>
          <cell r="F391">
            <v>95814</v>
          </cell>
        </row>
        <row r="392">
          <cell r="E392">
            <v>6291007700227</v>
          </cell>
          <cell r="F392">
            <v>95816</v>
          </cell>
        </row>
        <row r="393">
          <cell r="E393">
            <v>6291007700084</v>
          </cell>
          <cell r="F393">
            <v>95819</v>
          </cell>
        </row>
        <row r="394">
          <cell r="E394">
            <v>6291007701050</v>
          </cell>
          <cell r="F394">
            <v>164448</v>
          </cell>
        </row>
        <row r="395">
          <cell r="E395">
            <v>6291007700015</v>
          </cell>
          <cell r="F395">
            <v>164459</v>
          </cell>
        </row>
        <row r="396">
          <cell r="E396">
            <v>6291007700039</v>
          </cell>
          <cell r="F396">
            <v>164460</v>
          </cell>
        </row>
        <row r="397">
          <cell r="E397">
            <v>6291007700227</v>
          </cell>
          <cell r="F397">
            <v>164461</v>
          </cell>
        </row>
        <row r="398">
          <cell r="E398">
            <v>6291007700084</v>
          </cell>
          <cell r="F398">
            <v>164462</v>
          </cell>
        </row>
        <row r="399">
          <cell r="E399">
            <v>6291007701050</v>
          </cell>
          <cell r="F399">
            <v>164463</v>
          </cell>
        </row>
        <row r="400">
          <cell r="E400">
            <v>6291007500387</v>
          </cell>
          <cell r="F400">
            <v>175843</v>
          </cell>
        </row>
        <row r="401">
          <cell r="E401">
            <v>6291007500417</v>
          </cell>
          <cell r="F401">
            <v>175844</v>
          </cell>
        </row>
        <row r="402">
          <cell r="E402">
            <v>6291007500424</v>
          </cell>
          <cell r="F402">
            <v>183371</v>
          </cell>
        </row>
        <row r="403">
          <cell r="E403">
            <v>6291007500370</v>
          </cell>
          <cell r="F403">
            <v>181306</v>
          </cell>
        </row>
        <row r="404">
          <cell r="E404">
            <v>6291007500332</v>
          </cell>
          <cell r="F404">
            <v>174003</v>
          </cell>
        </row>
        <row r="405">
          <cell r="E405">
            <v>6291007500325</v>
          </cell>
          <cell r="F405">
            <v>185290</v>
          </cell>
        </row>
        <row r="406">
          <cell r="E406">
            <v>6291007500349</v>
          </cell>
          <cell r="F406">
            <v>181307</v>
          </cell>
        </row>
        <row r="407">
          <cell r="E407">
            <v>6291007500363</v>
          </cell>
          <cell r="F407">
            <v>181308</v>
          </cell>
        </row>
        <row r="408">
          <cell r="E408">
            <v>6291007905946</v>
          </cell>
          <cell r="F408">
            <v>188242</v>
          </cell>
        </row>
        <row r="409">
          <cell r="E409">
            <v>8901063166158</v>
          </cell>
          <cell r="F409">
            <v>318417</v>
          </cell>
        </row>
        <row r="410">
          <cell r="E410">
            <v>8901063166325</v>
          </cell>
          <cell r="F410">
            <v>320440</v>
          </cell>
        </row>
        <row r="411">
          <cell r="E411">
            <v>6291007913132</v>
          </cell>
          <cell r="F411">
            <v>346915</v>
          </cell>
        </row>
        <row r="412">
          <cell r="E412">
            <v>6291007913125</v>
          </cell>
          <cell r="F412">
            <v>346916</v>
          </cell>
        </row>
        <row r="413">
          <cell r="E413">
            <v>6291007913118</v>
          </cell>
          <cell r="F413">
            <v>346917</v>
          </cell>
        </row>
        <row r="414">
          <cell r="E414">
            <v>6291007909098</v>
          </cell>
          <cell r="F414">
            <v>331773</v>
          </cell>
        </row>
        <row r="415">
          <cell r="E415">
            <v>6291007909104</v>
          </cell>
          <cell r="F415">
            <v>331774</v>
          </cell>
        </row>
        <row r="416">
          <cell r="E416">
            <v>6291007909081</v>
          </cell>
          <cell r="F416">
            <v>331775</v>
          </cell>
        </row>
        <row r="417">
          <cell r="E417">
            <v>6291007910537</v>
          </cell>
          <cell r="F417">
            <v>348109</v>
          </cell>
        </row>
        <row r="418">
          <cell r="E418">
            <v>6291007903133</v>
          </cell>
          <cell r="F418">
            <v>348110</v>
          </cell>
        </row>
        <row r="419">
          <cell r="E419">
            <v>6291007910773</v>
          </cell>
          <cell r="F419">
            <v>310026</v>
          </cell>
        </row>
        <row r="420">
          <cell r="E420">
            <v>6291007913224</v>
          </cell>
          <cell r="F420">
            <v>348107</v>
          </cell>
        </row>
        <row r="421">
          <cell r="E421">
            <v>6291007913217</v>
          </cell>
          <cell r="F421">
            <v>348108</v>
          </cell>
        </row>
        <row r="422">
          <cell r="E422">
            <v>6291007906660</v>
          </cell>
          <cell r="F422">
            <v>219728</v>
          </cell>
        </row>
        <row r="423">
          <cell r="E423">
            <v>6291007904840</v>
          </cell>
          <cell r="F423">
            <v>166538</v>
          </cell>
        </row>
        <row r="424">
          <cell r="E424">
            <v>6291007907773</v>
          </cell>
          <cell r="F424">
            <v>347939</v>
          </cell>
        </row>
        <row r="425">
          <cell r="E425">
            <v>6291007905403</v>
          </cell>
          <cell r="F425">
            <v>347940</v>
          </cell>
        </row>
        <row r="426">
          <cell r="E426">
            <v>8901063166639</v>
          </cell>
          <cell r="F426">
            <v>348111</v>
          </cell>
        </row>
        <row r="427">
          <cell r="E427">
            <v>6291007905809</v>
          </cell>
          <cell r="F427">
            <v>323901</v>
          </cell>
        </row>
        <row r="428">
          <cell r="E428">
            <v>6291007905519</v>
          </cell>
          <cell r="F428">
            <v>312827</v>
          </cell>
        </row>
        <row r="429">
          <cell r="E429">
            <v>6291007908992</v>
          </cell>
          <cell r="F429">
            <v>306802</v>
          </cell>
        </row>
        <row r="430">
          <cell r="E430">
            <v>6291007909029</v>
          </cell>
          <cell r="F430">
            <v>306803</v>
          </cell>
        </row>
        <row r="431">
          <cell r="E431">
            <v>6291007910667</v>
          </cell>
          <cell r="F431">
            <v>308871</v>
          </cell>
        </row>
        <row r="432">
          <cell r="E432">
            <v>6291007910070</v>
          </cell>
          <cell r="F432">
            <v>320846</v>
          </cell>
        </row>
        <row r="433">
          <cell r="E433">
            <v>6291007910087</v>
          </cell>
          <cell r="F433">
            <v>320847</v>
          </cell>
        </row>
        <row r="434">
          <cell r="E434">
            <v>6291007910094</v>
          </cell>
          <cell r="F434">
            <v>320928</v>
          </cell>
        </row>
        <row r="435">
          <cell r="E435">
            <v>9501047721411</v>
          </cell>
          <cell r="F435">
            <v>164604</v>
          </cell>
        </row>
        <row r="436">
          <cell r="E436">
            <v>9501047242213</v>
          </cell>
          <cell r="F436">
            <v>164520</v>
          </cell>
        </row>
        <row r="437">
          <cell r="E437">
            <v>1800000005642</v>
          </cell>
          <cell r="F437">
            <v>164652</v>
          </cell>
        </row>
        <row r="438">
          <cell r="E438">
            <v>1800000006717</v>
          </cell>
          <cell r="F438">
            <v>170374</v>
          </cell>
        </row>
        <row r="439">
          <cell r="E439">
            <v>6291007905861</v>
          </cell>
          <cell r="F439">
            <v>164720</v>
          </cell>
        </row>
        <row r="440">
          <cell r="E440">
            <v>5351904104031</v>
          </cell>
          <cell r="F440">
            <v>164357</v>
          </cell>
        </row>
        <row r="441">
          <cell r="E441">
            <v>5351904104048</v>
          </cell>
          <cell r="F441">
            <v>177778</v>
          </cell>
        </row>
        <row r="442">
          <cell r="E442">
            <v>1800000012305</v>
          </cell>
          <cell r="F442">
            <v>350054</v>
          </cell>
        </row>
        <row r="443">
          <cell r="E443">
            <v>6291007901054</v>
          </cell>
          <cell r="F443">
            <v>377747</v>
          </cell>
        </row>
        <row r="444">
          <cell r="E444">
            <v>6291007901559</v>
          </cell>
          <cell r="F444">
            <v>384458</v>
          </cell>
        </row>
        <row r="445">
          <cell r="E445">
            <v>6291007901078</v>
          </cell>
          <cell r="F445">
            <v>375702</v>
          </cell>
        </row>
        <row r="446">
          <cell r="E446">
            <v>6291007910278</v>
          </cell>
          <cell r="F446">
            <v>365221</v>
          </cell>
        </row>
        <row r="447">
          <cell r="E447">
            <v>8901063242029</v>
          </cell>
          <cell r="F447">
            <v>357939</v>
          </cell>
        </row>
        <row r="448">
          <cell r="E448">
            <v>6291007912692</v>
          </cell>
          <cell r="F448">
            <v>386178</v>
          </cell>
        </row>
        <row r="450">
          <cell r="E450">
            <v>8901063151505</v>
          </cell>
          <cell r="F450">
            <v>378938</v>
          </cell>
        </row>
        <row r="451">
          <cell r="E451">
            <v>6291007901061</v>
          </cell>
          <cell r="F451">
            <v>373220</v>
          </cell>
        </row>
        <row r="452">
          <cell r="E452">
            <v>6291007902211</v>
          </cell>
          <cell r="F452">
            <v>375701</v>
          </cell>
        </row>
        <row r="453">
          <cell r="E453">
            <v>6291007902204</v>
          </cell>
          <cell r="F453">
            <v>375703</v>
          </cell>
        </row>
        <row r="454">
          <cell r="E454">
            <v>8901063166714</v>
          </cell>
          <cell r="F454">
            <v>387513</v>
          </cell>
        </row>
        <row r="455">
          <cell r="E455">
            <v>6291007701050</v>
          </cell>
          <cell r="F455">
            <v>164448</v>
          </cell>
        </row>
        <row r="456">
          <cell r="E456">
            <v>6291007901047</v>
          </cell>
          <cell r="F456">
            <v>365212</v>
          </cell>
        </row>
        <row r="457">
          <cell r="E457">
            <v>6291007901030</v>
          </cell>
          <cell r="F457">
            <v>365213</v>
          </cell>
        </row>
        <row r="458">
          <cell r="E458">
            <v>6291007901016</v>
          </cell>
          <cell r="F458">
            <v>365214</v>
          </cell>
        </row>
        <row r="459">
          <cell r="E459">
            <v>6291007912685</v>
          </cell>
          <cell r="F459">
            <v>386179</v>
          </cell>
        </row>
        <row r="460">
          <cell r="E460">
            <v>6291007914900</v>
          </cell>
          <cell r="F460">
            <v>375706</v>
          </cell>
        </row>
        <row r="461">
          <cell r="E461">
            <v>8901063166783</v>
          </cell>
          <cell r="F461">
            <v>375708</v>
          </cell>
        </row>
        <row r="462">
          <cell r="E462">
            <v>6291007913460</v>
          </cell>
          <cell r="F462">
            <v>365217</v>
          </cell>
        </row>
        <row r="463">
          <cell r="E463">
            <v>6291007913446</v>
          </cell>
          <cell r="F463">
            <v>365215</v>
          </cell>
        </row>
        <row r="464">
          <cell r="E464">
            <v>6291007905304</v>
          </cell>
          <cell r="F464">
            <v>384459</v>
          </cell>
        </row>
        <row r="465">
          <cell r="E465">
            <v>1800000023509</v>
          </cell>
          <cell r="F465">
            <v>399396</v>
          </cell>
        </row>
        <row r="466">
          <cell r="E466">
            <v>1800000024308</v>
          </cell>
          <cell r="F466">
            <v>401027</v>
          </cell>
        </row>
        <row r="467">
          <cell r="E467">
            <v>1800000024100</v>
          </cell>
          <cell r="F467">
            <v>401021</v>
          </cell>
        </row>
        <row r="468">
          <cell r="E468">
            <v>1800000024407</v>
          </cell>
          <cell r="F468">
            <v>401028</v>
          </cell>
        </row>
        <row r="469">
          <cell r="E469">
            <v>1800000024209</v>
          </cell>
          <cell r="F469">
            <v>401022</v>
          </cell>
        </row>
        <row r="470">
          <cell r="E470" t="str">
            <v> Barcode </v>
          </cell>
        </row>
        <row r="471">
          <cell r="E471">
            <v>1800000024100</v>
          </cell>
        </row>
        <row r="472">
          <cell r="E472">
            <v>1800000024209</v>
          </cell>
        </row>
        <row r="473">
          <cell r="E473">
            <v>1800000023707</v>
          </cell>
        </row>
        <row r="474">
          <cell r="E474">
            <v>1800000023806</v>
          </cell>
        </row>
        <row r="475">
          <cell r="E475">
            <v>1800000023905</v>
          </cell>
        </row>
        <row r="476">
          <cell r="E476">
            <v>1800000024001</v>
          </cell>
        </row>
        <row r="477">
          <cell r="E477">
            <v>1800000024308</v>
          </cell>
        </row>
        <row r="478">
          <cell r="E478">
            <v>1800000024407</v>
          </cell>
        </row>
        <row r="485">
          <cell r="E485">
            <v>6291007914719</v>
          </cell>
          <cell r="F485">
            <v>396374</v>
          </cell>
        </row>
        <row r="487">
          <cell r="E487">
            <v>3073781219654</v>
          </cell>
        </row>
        <row r="488">
          <cell r="E488">
            <v>3073780810661</v>
          </cell>
          <cell r="F488" t="str">
            <v xml:space="preserve"> </v>
          </cell>
        </row>
        <row r="489">
          <cell r="E489">
            <v>24000145066</v>
          </cell>
          <cell r="F489">
            <v>411274</v>
          </cell>
        </row>
        <row r="490">
          <cell r="E490">
            <v>24000145080</v>
          </cell>
          <cell r="F490">
            <v>411276</v>
          </cell>
        </row>
        <row r="491">
          <cell r="E491">
            <v>24000145059</v>
          </cell>
          <cell r="F491">
            <v>411273</v>
          </cell>
        </row>
        <row r="492">
          <cell r="E492">
            <v>24000238188</v>
          </cell>
          <cell r="F492">
            <v>165100</v>
          </cell>
        </row>
        <row r="493">
          <cell r="E493">
            <v>24000104582</v>
          </cell>
          <cell r="F493">
            <v>91599</v>
          </cell>
        </row>
        <row r="494">
          <cell r="E494">
            <v>24000145066</v>
          </cell>
          <cell r="F494">
            <v>411274</v>
          </cell>
        </row>
        <row r="495">
          <cell r="E495">
            <v>24000145080</v>
          </cell>
          <cell r="F495">
            <v>411276</v>
          </cell>
        </row>
        <row r="496">
          <cell r="E496">
            <v>24000145059</v>
          </cell>
          <cell r="F496">
            <v>411273</v>
          </cell>
        </row>
        <row r="497">
          <cell r="E497">
            <v>24000145073</v>
          </cell>
          <cell r="F497">
            <v>411275</v>
          </cell>
        </row>
        <row r="498">
          <cell r="E498">
            <v>24000074342</v>
          </cell>
          <cell r="F498">
            <v>91592</v>
          </cell>
        </row>
        <row r="499">
          <cell r="E499">
            <v>24000238171</v>
          </cell>
          <cell r="F499">
            <v>165099</v>
          </cell>
        </row>
        <row r="500">
          <cell r="E500">
            <v>24000156000</v>
          </cell>
          <cell r="F500">
            <v>416309</v>
          </cell>
        </row>
        <row r="501">
          <cell r="E501">
            <v>736211763631</v>
          </cell>
          <cell r="F501">
            <v>1281014</v>
          </cell>
        </row>
        <row r="502">
          <cell r="E502">
            <v>736211763839</v>
          </cell>
          <cell r="F502">
            <v>1281151</v>
          </cell>
        </row>
        <row r="503">
          <cell r="E503">
            <v>736211763938</v>
          </cell>
          <cell r="F503">
            <v>1281152</v>
          </cell>
        </row>
        <row r="504">
          <cell r="E504">
            <v>24000105626</v>
          </cell>
          <cell r="F504">
            <v>1660424</v>
          </cell>
        </row>
        <row r="505">
          <cell r="E505">
            <v>24000012313</v>
          </cell>
          <cell r="F505">
            <v>91566</v>
          </cell>
        </row>
        <row r="506">
          <cell r="F506">
            <v>378137</v>
          </cell>
        </row>
        <row r="511">
          <cell r="E511">
            <v>6291007905298</v>
          </cell>
          <cell r="F511">
            <v>384460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5"/>
  <sheetViews>
    <sheetView workbookViewId="0">
      <pane xSplit="2" ySplit="1" topLeftCell="C508" activePane="bottomRight" state="frozen"/>
      <selection pane="topRight" activeCell="D1" sqref="D1"/>
      <selection pane="bottomLeft" activeCell="A2" sqref="A2"/>
      <selection pane="bottomRight" activeCell="C521" sqref="C521"/>
    </sheetView>
  </sheetViews>
  <sheetFormatPr defaultRowHeight="15"/>
  <cols>
    <col min="1" max="1" width="16.28515625" style="8" bestFit="1" customWidth="1"/>
    <col min="2" max="2" width="16.140625" style="8" bestFit="1" customWidth="1"/>
    <col min="3" max="3" width="17" style="8" bestFit="1" customWidth="1"/>
    <col min="4" max="4" width="33" style="8" bestFit="1" customWidth="1"/>
    <col min="5" max="5" width="23.85546875" style="8" bestFit="1" customWidth="1"/>
    <col min="6" max="6" width="44.85546875" style="8" bestFit="1" customWidth="1"/>
    <col min="7" max="7" width="15.28515625" style="8" bestFit="1" customWidth="1"/>
    <col min="8" max="8" width="26.85546875" style="8" bestFit="1" customWidth="1"/>
    <col min="9" max="9" width="26.42578125" style="8" bestFit="1" customWidth="1"/>
    <col min="10" max="16384" width="9.140625" style="8"/>
  </cols>
  <sheetData>
    <row r="1" spans="1:12" ht="15.75">
      <c r="A1" s="1" t="s">
        <v>0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1</v>
      </c>
      <c r="G1" s="3" t="s">
        <v>6</v>
      </c>
      <c r="H1" s="6" t="s">
        <v>7</v>
      </c>
      <c r="I1" s="7" t="s">
        <v>8</v>
      </c>
      <c r="L1" s="43" t="s">
        <v>421</v>
      </c>
    </row>
    <row r="2" spans="1:12" ht="15.75">
      <c r="A2" s="9">
        <v>116471</v>
      </c>
      <c r="B2" s="11" t="s">
        <v>10</v>
      </c>
      <c r="C2" s="11">
        <v>40</v>
      </c>
      <c r="D2" s="12">
        <v>0.314</v>
      </c>
      <c r="E2" s="1">
        <v>3251350126002</v>
      </c>
      <c r="F2" s="10" t="s">
        <v>9</v>
      </c>
      <c r="G2" s="1">
        <v>152859</v>
      </c>
      <c r="H2" s="13">
        <v>12.56</v>
      </c>
      <c r="I2" s="14">
        <v>3073781030907</v>
      </c>
      <c r="J2" s="8">
        <f>VLOOKUP(G2,[1]Sheet1!$B:$L,1,0)</f>
        <v>152859</v>
      </c>
      <c r="K2" s="8">
        <f>VLOOKUP(J2,[2]Sheet1!$D:$F,3,0)</f>
        <v>116471</v>
      </c>
      <c r="L2" s="63">
        <f>K2-A2</f>
        <v>0</v>
      </c>
    </row>
    <row r="3" spans="1:12" ht="15.75">
      <c r="A3" s="9">
        <v>116472</v>
      </c>
      <c r="B3" s="11" t="s">
        <v>12</v>
      </c>
      <c r="C3" s="11">
        <v>32</v>
      </c>
      <c r="D3" s="12">
        <v>0.63</v>
      </c>
      <c r="E3" s="1">
        <v>3251350161003</v>
      </c>
      <c r="F3" s="10" t="s">
        <v>11</v>
      </c>
      <c r="G3" s="1">
        <v>94576</v>
      </c>
      <c r="H3" s="13">
        <v>20.16</v>
      </c>
      <c r="I3" s="14">
        <v>3073780921145</v>
      </c>
      <c r="J3" s="8">
        <f>VLOOKUP(G3,[1]Sheet1!$B:$L,1,0)</f>
        <v>94576</v>
      </c>
      <c r="K3" s="8">
        <f>VLOOKUP(J3,[2]Sheet1!$D:$F,3,0)</f>
        <v>116472</v>
      </c>
      <c r="L3" s="63">
        <f t="shared" ref="L3:L66" si="0">K3-A3</f>
        <v>0</v>
      </c>
    </row>
    <row r="4" spans="1:12" ht="15.75">
      <c r="A4" s="9"/>
      <c r="B4" s="11" t="s">
        <v>14</v>
      </c>
      <c r="C4" s="11">
        <v>24</v>
      </c>
      <c r="D4" s="12">
        <v>0.94199999999999995</v>
      </c>
      <c r="E4" s="1">
        <v>3251350162000</v>
      </c>
      <c r="F4" s="10" t="s">
        <v>13</v>
      </c>
      <c r="G4" s="1">
        <v>94581</v>
      </c>
      <c r="H4" s="13">
        <v>22.607999999999997</v>
      </c>
      <c r="I4" s="14">
        <v>3073780921138</v>
      </c>
      <c r="J4" s="8">
        <f>VLOOKUP(G4,[1]Sheet1!$B:$L,1,0)</f>
        <v>94581</v>
      </c>
      <c r="K4" s="8" t="e">
        <f>VLOOKUP(J4,[2]Sheet1!$D:$F,3,0)</f>
        <v>#N/A</v>
      </c>
      <c r="L4" s="63" t="e">
        <f t="shared" si="0"/>
        <v>#N/A</v>
      </c>
    </row>
    <row r="5" spans="1:12" ht="15.75">
      <c r="A5" s="9">
        <v>116474</v>
      </c>
      <c r="B5" s="11" t="s">
        <v>16</v>
      </c>
      <c r="C5" s="11">
        <v>16</v>
      </c>
      <c r="D5" s="12">
        <v>1.2250000000000001</v>
      </c>
      <c r="E5" s="1">
        <v>3251350163007</v>
      </c>
      <c r="F5" s="10" t="s">
        <v>15</v>
      </c>
      <c r="G5" s="1">
        <v>94590</v>
      </c>
      <c r="H5" s="13">
        <v>19.600000000000001</v>
      </c>
      <c r="I5" s="14">
        <v>3073780896559</v>
      </c>
      <c r="J5" s="8">
        <f>VLOOKUP(G5,[1]Sheet1!$B:$L,1,0)</f>
        <v>94590</v>
      </c>
      <c r="K5" s="8">
        <f>VLOOKUP(J5,[2]Sheet1!$D:$F,3,0)</f>
        <v>116474</v>
      </c>
      <c r="L5" s="63">
        <f t="shared" si="0"/>
        <v>0</v>
      </c>
    </row>
    <row r="6" spans="1:12" ht="15.75">
      <c r="A6" s="9"/>
      <c r="B6" s="11" t="s">
        <v>18</v>
      </c>
      <c r="C6" s="11">
        <v>8</v>
      </c>
      <c r="D6" s="12">
        <v>1.698</v>
      </c>
      <c r="E6" s="1">
        <v>3073781046601</v>
      </c>
      <c r="F6" s="10" t="s">
        <v>17</v>
      </c>
      <c r="G6" s="1">
        <v>177009</v>
      </c>
      <c r="H6" s="13">
        <v>13.584</v>
      </c>
      <c r="I6" s="14">
        <v>3073781049848</v>
      </c>
      <c r="J6" s="8">
        <f>VLOOKUP(G6,[1]Sheet1!$B:$L,1,0)</f>
        <v>177009</v>
      </c>
      <c r="K6" s="8" t="e">
        <f>VLOOKUP(J6,[2]Sheet1!$D:$F,3,0)</f>
        <v>#N/A</v>
      </c>
      <c r="L6" s="63" t="e">
        <f t="shared" si="0"/>
        <v>#N/A</v>
      </c>
    </row>
    <row r="7" spans="1:12" ht="15.75">
      <c r="A7" s="9"/>
      <c r="B7" s="11" t="s">
        <v>20</v>
      </c>
      <c r="C7" s="11">
        <v>8</v>
      </c>
      <c r="D7" s="12">
        <v>2.08</v>
      </c>
      <c r="E7" s="1">
        <v>3073780884655</v>
      </c>
      <c r="F7" s="10" t="s">
        <v>19</v>
      </c>
      <c r="G7" s="1">
        <v>94567</v>
      </c>
      <c r="H7" s="13">
        <v>16.64</v>
      </c>
      <c r="I7" s="14">
        <v>3073780984096</v>
      </c>
      <c r="J7" s="8">
        <f>VLOOKUP(G7,[1]Sheet1!$B:$L,1,0)</f>
        <v>94567</v>
      </c>
      <c r="K7" s="8" t="e">
        <f>VLOOKUP(J7,[2]Sheet1!$D:$F,3,0)</f>
        <v>#N/A</v>
      </c>
      <c r="L7" s="63" t="e">
        <f t="shared" si="0"/>
        <v>#N/A</v>
      </c>
    </row>
    <row r="8" spans="1:12" ht="15.75">
      <c r="A8" s="9">
        <v>327035</v>
      </c>
      <c r="B8" s="11" t="s">
        <v>10</v>
      </c>
      <c r="C8" s="11">
        <v>40</v>
      </c>
      <c r="D8" s="12">
        <v>0.314</v>
      </c>
      <c r="E8" s="1">
        <v>3073780905817</v>
      </c>
      <c r="F8" s="10" t="s">
        <v>21</v>
      </c>
      <c r="G8" s="1">
        <v>152860</v>
      </c>
      <c r="H8" s="13">
        <v>12.56</v>
      </c>
      <c r="I8" s="14">
        <v>3073781030921</v>
      </c>
      <c r="J8" s="8">
        <f>VLOOKUP(G8,[1]Sheet1!$B:$L,1,0)</f>
        <v>152860</v>
      </c>
      <c r="K8" s="8">
        <f>VLOOKUP(J8,[2]Sheet1!$D:$F,3,0)</f>
        <v>327035</v>
      </c>
      <c r="L8" s="63">
        <f t="shared" si="0"/>
        <v>0</v>
      </c>
    </row>
    <row r="9" spans="1:12" ht="15.75">
      <c r="A9" s="9">
        <v>327036</v>
      </c>
      <c r="B9" s="11" t="s">
        <v>14</v>
      </c>
      <c r="C9" s="11">
        <v>24</v>
      </c>
      <c r="D9" s="12">
        <v>0.94199999999999995</v>
      </c>
      <c r="E9" s="1">
        <v>3073780905831</v>
      </c>
      <c r="F9" s="10" t="s">
        <v>22</v>
      </c>
      <c r="G9" s="1">
        <v>94649</v>
      </c>
      <c r="H9" s="13">
        <v>22.607999999999997</v>
      </c>
      <c r="I9" s="14">
        <v>3073780905848</v>
      </c>
      <c r="J9" s="8">
        <f>VLOOKUP(G9,[1]Sheet1!$B:$L,1,0)</f>
        <v>94649</v>
      </c>
      <c r="K9" s="8">
        <f>VLOOKUP(J9,[2]Sheet1!$D:$F,3,0)</f>
        <v>327036</v>
      </c>
      <c r="L9" s="63">
        <f t="shared" si="0"/>
        <v>0</v>
      </c>
    </row>
    <row r="10" spans="1:12" ht="15.75">
      <c r="A10" s="9">
        <v>327037</v>
      </c>
      <c r="B10" s="11" t="s">
        <v>16</v>
      </c>
      <c r="C10" s="11">
        <v>16</v>
      </c>
      <c r="D10" s="12">
        <v>1.242</v>
      </c>
      <c r="E10" s="1">
        <v>3073781021226</v>
      </c>
      <c r="F10" s="10" t="s">
        <v>23</v>
      </c>
      <c r="G10" s="1">
        <v>133208</v>
      </c>
      <c r="H10" s="13">
        <v>19.872</v>
      </c>
      <c r="I10" s="14">
        <v>3073781021233</v>
      </c>
      <c r="J10" s="8">
        <f>VLOOKUP(G10,[1]Sheet1!$B:$L,1,0)</f>
        <v>133208</v>
      </c>
      <c r="K10" s="8">
        <f>VLOOKUP(J10,[2]Sheet1!$D:$F,3,0)</f>
        <v>327037</v>
      </c>
      <c r="L10" s="63">
        <f t="shared" si="0"/>
        <v>0</v>
      </c>
    </row>
    <row r="11" spans="1:12" ht="15.75">
      <c r="A11" s="9">
        <v>1024254</v>
      </c>
      <c r="B11" s="11" t="s">
        <v>18</v>
      </c>
      <c r="C11" s="11">
        <v>8</v>
      </c>
      <c r="D11" s="12">
        <v>1.698</v>
      </c>
      <c r="E11" s="1">
        <v>3073781061857</v>
      </c>
      <c r="F11" s="10" t="s">
        <v>24</v>
      </c>
      <c r="G11" s="1">
        <v>202753</v>
      </c>
      <c r="H11" s="13">
        <v>13.584</v>
      </c>
      <c r="I11" s="14">
        <v>3073781061864</v>
      </c>
      <c r="J11" s="8">
        <f>VLOOKUP(G11,[1]Sheet1!$B:$L,1,0)</f>
        <v>202753</v>
      </c>
      <c r="K11" s="8">
        <f>VLOOKUP(J11,[2]Sheet1!$D:$F,3,0)</f>
        <v>1024254</v>
      </c>
      <c r="L11" s="63">
        <f t="shared" si="0"/>
        <v>0</v>
      </c>
    </row>
    <row r="12" spans="1:12" ht="15.75">
      <c r="A12" s="9"/>
      <c r="B12" s="11" t="s">
        <v>10</v>
      </c>
      <c r="C12" s="11">
        <v>40</v>
      </c>
      <c r="D12" s="12">
        <v>0.40400000000000003</v>
      </c>
      <c r="E12" s="1">
        <v>3073786155186</v>
      </c>
      <c r="F12" s="10" t="s">
        <v>25</v>
      </c>
      <c r="G12" s="1">
        <v>155147</v>
      </c>
      <c r="H12" s="13">
        <v>16.16</v>
      </c>
      <c r="I12" s="14">
        <v>3073781030938</v>
      </c>
      <c r="J12" s="8">
        <f>VLOOKUP(G12,[1]Sheet1!$B:$L,1,0)</f>
        <v>155147</v>
      </c>
      <c r="K12" s="8" t="e">
        <f>VLOOKUP(J12,[2]Sheet1!$D:$F,3,0)</f>
        <v>#N/A</v>
      </c>
      <c r="L12" s="63" t="e">
        <f t="shared" si="0"/>
        <v>#N/A</v>
      </c>
    </row>
    <row r="13" spans="1:12" ht="15.75">
      <c r="A13" s="9">
        <v>116567</v>
      </c>
      <c r="B13" s="11" t="s">
        <v>12</v>
      </c>
      <c r="C13" s="11">
        <v>32</v>
      </c>
      <c r="D13" s="12">
        <v>0.751</v>
      </c>
      <c r="E13" s="1">
        <v>3073780574242</v>
      </c>
      <c r="F13" s="10" t="s">
        <v>26</v>
      </c>
      <c r="G13" s="1">
        <v>94659</v>
      </c>
      <c r="H13" s="13">
        <v>24.032</v>
      </c>
      <c r="I13" s="14">
        <v>3073780961363</v>
      </c>
      <c r="J13" s="8">
        <f>VLOOKUP(G13,[1]Sheet1!$B:$L,1,0)</f>
        <v>94659</v>
      </c>
      <c r="K13" s="8" t="e">
        <f>VLOOKUP(J13,[2]Sheet1!$D:$F,3,0)</f>
        <v>#N/A</v>
      </c>
      <c r="L13" s="63" t="e">
        <f t="shared" si="0"/>
        <v>#N/A</v>
      </c>
    </row>
    <row r="14" spans="1:12" ht="15.75">
      <c r="A14" s="9">
        <v>116568</v>
      </c>
      <c r="B14" s="11" t="s">
        <v>14</v>
      </c>
      <c r="C14" s="11">
        <v>24</v>
      </c>
      <c r="D14" s="12">
        <v>1.0980000000000001</v>
      </c>
      <c r="E14" s="1">
        <v>3073780574310</v>
      </c>
      <c r="F14" s="10" t="s">
        <v>27</v>
      </c>
      <c r="G14" s="1">
        <v>94661</v>
      </c>
      <c r="H14" s="13">
        <v>26.352000000000004</v>
      </c>
      <c r="I14" s="14">
        <v>3073780795135</v>
      </c>
      <c r="J14" s="8">
        <f>VLOOKUP(G14,[1]Sheet1!$B:$L,1,0)</f>
        <v>94661</v>
      </c>
      <c r="K14" s="8" t="e">
        <f>VLOOKUP(J14,[2]Sheet1!$D:$F,3,0)</f>
        <v>#N/A</v>
      </c>
      <c r="L14" s="63" t="e">
        <f t="shared" si="0"/>
        <v>#N/A</v>
      </c>
    </row>
    <row r="15" spans="1:12" ht="15.75">
      <c r="A15" s="9"/>
      <c r="B15" s="11" t="s">
        <v>16</v>
      </c>
      <c r="C15" s="11">
        <v>16</v>
      </c>
      <c r="D15" s="12">
        <v>1.444</v>
      </c>
      <c r="E15" s="1">
        <v>3073780593083</v>
      </c>
      <c r="F15" s="10" t="s">
        <v>28</v>
      </c>
      <c r="G15" s="1">
        <v>94664</v>
      </c>
      <c r="H15" s="13">
        <v>23.103999999999999</v>
      </c>
      <c r="I15" s="14">
        <v>3073780830684</v>
      </c>
      <c r="J15" s="8">
        <f>VLOOKUP(G15,[1]Sheet1!$B:$L,1,0)</f>
        <v>94664</v>
      </c>
      <c r="K15" s="8" t="e">
        <f>VLOOKUP(J15,[2]Sheet1!$D:$F,3,0)</f>
        <v>#N/A</v>
      </c>
      <c r="L15" s="63" t="e">
        <f t="shared" si="0"/>
        <v>#N/A</v>
      </c>
    </row>
    <row r="16" spans="1:12" ht="15.75">
      <c r="A16" s="48">
        <v>285448</v>
      </c>
      <c r="B16" s="11" t="s">
        <v>18</v>
      </c>
      <c r="C16" s="11">
        <v>8</v>
      </c>
      <c r="D16" s="12">
        <v>2.1139999999999999</v>
      </c>
      <c r="E16" s="1">
        <v>3073781048957</v>
      </c>
      <c r="F16" s="10" t="s">
        <v>29</v>
      </c>
      <c r="G16" s="1">
        <v>268317</v>
      </c>
      <c r="H16" s="13">
        <v>16.911999999999999</v>
      </c>
      <c r="I16" s="14">
        <v>3073781061901</v>
      </c>
      <c r="J16" s="8">
        <f>VLOOKUP(G16,[1]Sheet1!$B:$L,1,0)</f>
        <v>268317</v>
      </c>
      <c r="K16" s="8" t="e">
        <f>VLOOKUP(J16,[2]Sheet1!$D:$F,3,0)</f>
        <v>#N/A</v>
      </c>
      <c r="L16" s="63" t="e">
        <f t="shared" si="0"/>
        <v>#N/A</v>
      </c>
    </row>
    <row r="17" spans="1:12" ht="15.75">
      <c r="A17" s="9"/>
      <c r="B17" s="11" t="s">
        <v>31</v>
      </c>
      <c r="C17" s="11">
        <v>48</v>
      </c>
      <c r="D17" s="12">
        <v>0.46200000000000002</v>
      </c>
      <c r="E17" s="1">
        <v>3073780689014</v>
      </c>
      <c r="F17" s="10" t="s">
        <v>30</v>
      </c>
      <c r="G17" s="1">
        <v>94656</v>
      </c>
      <c r="H17" s="13">
        <v>22.176000000000002</v>
      </c>
      <c r="I17" s="14">
        <v>3073780802413</v>
      </c>
      <c r="J17" s="8" t="e">
        <f>VLOOKUP(G17,[1]Sheet1!$B:$L,1,0)</f>
        <v>#N/A</v>
      </c>
      <c r="K17" s="8" t="e">
        <f>VLOOKUP(J17,[2]Sheet1!$D:$F,3,0)</f>
        <v>#N/A</v>
      </c>
      <c r="L17" s="63" t="e">
        <f t="shared" si="0"/>
        <v>#N/A</v>
      </c>
    </row>
    <row r="18" spans="1:12" ht="15.75">
      <c r="A18" s="9"/>
      <c r="B18" s="11" t="s">
        <v>33</v>
      </c>
      <c r="C18" s="11">
        <v>8</v>
      </c>
      <c r="D18" s="12">
        <v>2.2050000000000001</v>
      </c>
      <c r="E18" s="1">
        <v>3073781053616</v>
      </c>
      <c r="F18" s="10" t="s">
        <v>32</v>
      </c>
      <c r="G18" s="1">
        <v>94595</v>
      </c>
      <c r="H18" s="13">
        <v>17.64</v>
      </c>
      <c r="I18" s="14"/>
      <c r="J18" s="8">
        <f>VLOOKUP(G18,[1]Sheet1!$B:$L,1,0)</f>
        <v>94595</v>
      </c>
      <c r="K18" s="8" t="e">
        <f>VLOOKUP(J18,[2]Sheet1!$D:$F,3,0)</f>
        <v>#N/A</v>
      </c>
      <c r="L18" s="63" t="e">
        <f t="shared" si="0"/>
        <v>#N/A</v>
      </c>
    </row>
    <row r="19" spans="1:12" ht="15.75">
      <c r="A19" s="9">
        <v>327039</v>
      </c>
      <c r="B19" s="11" t="s">
        <v>35</v>
      </c>
      <c r="C19" s="11">
        <v>8</v>
      </c>
      <c r="D19" s="12">
        <v>1.4139999999999999</v>
      </c>
      <c r="E19" s="1">
        <v>3073781059793</v>
      </c>
      <c r="F19" s="10" t="s">
        <v>34</v>
      </c>
      <c r="G19" s="1">
        <v>155145</v>
      </c>
      <c r="H19" s="13">
        <v>11.311999999999999</v>
      </c>
      <c r="I19" s="14"/>
      <c r="J19" s="8">
        <f>VLOOKUP(G19,[1]Sheet1!$B:$L,1,0)</f>
        <v>155145</v>
      </c>
      <c r="K19" s="8">
        <f>VLOOKUP(J19,[2]Sheet1!$D:$F,3,0)</f>
        <v>327039</v>
      </c>
      <c r="L19" s="63">
        <f t="shared" si="0"/>
        <v>0</v>
      </c>
    </row>
    <row r="20" spans="1:12" ht="15.75">
      <c r="A20" s="9"/>
      <c r="B20" s="11" t="s">
        <v>35</v>
      </c>
      <c r="C20" s="11">
        <v>8</v>
      </c>
      <c r="D20" s="12">
        <v>1.3979999999999999</v>
      </c>
      <c r="E20" s="1">
        <v>3073780959704</v>
      </c>
      <c r="F20" s="10" t="s">
        <v>36</v>
      </c>
      <c r="G20" s="1">
        <v>155146</v>
      </c>
      <c r="H20" s="13">
        <v>11.183999999999999</v>
      </c>
      <c r="I20" s="14"/>
      <c r="J20" s="8">
        <f>VLOOKUP(G20,[1]Sheet1!$B:$L,1,0)</f>
        <v>155146</v>
      </c>
      <c r="K20" s="8" t="e">
        <f>VLOOKUP(J20,[2]Sheet1!$D:$F,3,0)</f>
        <v>#N/A</v>
      </c>
      <c r="L20" s="63" t="e">
        <f t="shared" si="0"/>
        <v>#N/A</v>
      </c>
    </row>
    <row r="21" spans="1:12" ht="15.75">
      <c r="A21" s="9"/>
      <c r="B21" s="11" t="s">
        <v>35</v>
      </c>
      <c r="C21" s="11">
        <v>8</v>
      </c>
      <c r="D21" s="12">
        <v>1.6120000000000001</v>
      </c>
      <c r="E21" s="1">
        <v>3073781025194</v>
      </c>
      <c r="F21" s="10" t="s">
        <v>37</v>
      </c>
      <c r="G21" s="1">
        <v>139207</v>
      </c>
      <c r="H21" s="13">
        <v>12.896000000000001</v>
      </c>
      <c r="I21" s="14"/>
      <c r="J21" s="8" t="e">
        <f>VLOOKUP(G21,[1]Sheet1!$B:$L,1,0)</f>
        <v>#N/A</v>
      </c>
      <c r="K21" s="8" t="e">
        <f>VLOOKUP(J21,[2]Sheet1!$D:$F,3,0)</f>
        <v>#N/A</v>
      </c>
      <c r="L21" s="63" t="e">
        <f t="shared" si="0"/>
        <v>#N/A</v>
      </c>
    </row>
    <row r="22" spans="1:12" ht="15.75">
      <c r="A22" s="9"/>
      <c r="B22" s="11" t="s">
        <v>33</v>
      </c>
      <c r="C22" s="11">
        <v>8</v>
      </c>
      <c r="D22" s="12">
        <v>2.444</v>
      </c>
      <c r="E22" s="1">
        <v>3073781054521</v>
      </c>
      <c r="F22" s="10" t="s">
        <v>38</v>
      </c>
      <c r="G22" s="1">
        <v>125019</v>
      </c>
      <c r="H22" s="13">
        <v>19.552</v>
      </c>
      <c r="I22" s="14"/>
      <c r="J22" s="8" t="e">
        <f>VLOOKUP(G22,[1]Sheet1!$B:$L,1,0)</f>
        <v>#N/A</v>
      </c>
      <c r="K22" s="8" t="e">
        <f>VLOOKUP(J22,[2]Sheet1!$D:$F,3,0)</f>
        <v>#N/A</v>
      </c>
      <c r="L22" s="63" t="e">
        <f t="shared" si="0"/>
        <v>#N/A</v>
      </c>
    </row>
    <row r="23" spans="1:12" ht="15.75">
      <c r="A23" s="9">
        <v>116564</v>
      </c>
      <c r="B23" s="11" t="s">
        <v>40</v>
      </c>
      <c r="C23" s="11">
        <v>60</v>
      </c>
      <c r="D23" s="12">
        <v>0.46200000000000002</v>
      </c>
      <c r="E23" s="1">
        <v>3073780839631</v>
      </c>
      <c r="F23" s="10" t="s">
        <v>39</v>
      </c>
      <c r="G23" s="1">
        <v>182808</v>
      </c>
      <c r="H23" s="13">
        <v>27.720000000000002</v>
      </c>
      <c r="I23" s="14">
        <v>3073780811309</v>
      </c>
      <c r="J23" s="8">
        <f>VLOOKUP(G23,[1]Sheet1!$B:$L,1,0)</f>
        <v>182808</v>
      </c>
      <c r="K23" s="8" t="e">
        <f>VLOOKUP(J23,[2]Sheet1!$D:$F,3,0)</f>
        <v>#N/A</v>
      </c>
      <c r="L23" s="63" t="e">
        <f t="shared" si="0"/>
        <v>#N/A</v>
      </c>
    </row>
    <row r="24" spans="1:12" ht="15.75">
      <c r="A24" s="9">
        <v>116561</v>
      </c>
      <c r="B24" s="11" t="s">
        <v>42</v>
      </c>
      <c r="C24" s="11">
        <v>40</v>
      </c>
      <c r="D24" s="12">
        <v>0.86299999999999999</v>
      </c>
      <c r="E24" s="1">
        <v>3073780624435</v>
      </c>
      <c r="F24" s="10" t="s">
        <v>41</v>
      </c>
      <c r="G24" s="1">
        <v>182809</v>
      </c>
      <c r="H24" s="13">
        <v>34.519999999999996</v>
      </c>
      <c r="I24" s="14">
        <v>3073780858724</v>
      </c>
      <c r="J24" s="8">
        <f>VLOOKUP(G24,[1]Sheet1!$B:$L,1,0)</f>
        <v>182809</v>
      </c>
      <c r="K24" s="8" t="e">
        <f>VLOOKUP(J24,[2]Sheet1!$D:$F,3,0)</f>
        <v>#N/A</v>
      </c>
      <c r="L24" s="63" t="e">
        <f t="shared" si="0"/>
        <v>#N/A</v>
      </c>
    </row>
    <row r="25" spans="1:12" ht="15.75">
      <c r="A25" s="9">
        <v>116563</v>
      </c>
      <c r="B25" s="11" t="s">
        <v>44</v>
      </c>
      <c r="C25" s="11">
        <v>16</v>
      </c>
      <c r="D25" s="12">
        <v>1.698</v>
      </c>
      <c r="E25" s="1">
        <v>3073780767897</v>
      </c>
      <c r="F25" s="10" t="s">
        <v>43</v>
      </c>
      <c r="G25" s="1">
        <v>94714</v>
      </c>
      <c r="H25" s="13">
        <v>27.167999999999999</v>
      </c>
      <c r="I25" s="14">
        <v>3073780858731</v>
      </c>
      <c r="J25" s="8">
        <f>VLOOKUP(G25,[1]Sheet1!$B:$L,1,0)</f>
        <v>94714</v>
      </c>
      <c r="K25" s="8" t="e">
        <f>VLOOKUP(J25,[2]Sheet1!$D:$F,3,0)</f>
        <v>#N/A</v>
      </c>
      <c r="L25" s="63" t="e">
        <f t="shared" si="0"/>
        <v>#N/A</v>
      </c>
    </row>
    <row r="26" spans="1:12" ht="15.75">
      <c r="A26" s="9"/>
      <c r="B26" s="11" t="s">
        <v>46</v>
      </c>
      <c r="C26" s="11">
        <v>40</v>
      </c>
      <c r="D26" s="12">
        <v>0.54400000000000004</v>
      </c>
      <c r="E26" s="1">
        <v>3073781141382</v>
      </c>
      <c r="F26" s="10" t="s">
        <v>45</v>
      </c>
      <c r="G26" s="1">
        <v>312609</v>
      </c>
      <c r="H26" s="13">
        <v>21.76</v>
      </c>
      <c r="I26" s="14">
        <v>3073781141399</v>
      </c>
      <c r="J26" s="8">
        <f>VLOOKUP(G26,[1]Sheet1!$B:$L,1,0)</f>
        <v>312609</v>
      </c>
      <c r="K26" s="8" t="e">
        <f>VLOOKUP(J26,[2]Sheet1!$D:$F,3,0)</f>
        <v>#N/A</v>
      </c>
      <c r="L26" s="63" t="e">
        <f t="shared" si="0"/>
        <v>#N/A</v>
      </c>
    </row>
    <row r="27" spans="1:12" ht="15.75">
      <c r="A27" s="9">
        <v>1060455</v>
      </c>
      <c r="B27" s="11" t="s">
        <v>48</v>
      </c>
      <c r="C27" s="11">
        <v>16</v>
      </c>
      <c r="D27" s="12">
        <v>1.95</v>
      </c>
      <c r="E27" s="1">
        <v>3073781141368</v>
      </c>
      <c r="F27" s="15" t="s">
        <v>47</v>
      </c>
      <c r="G27" s="1">
        <v>312610</v>
      </c>
      <c r="H27" s="13">
        <v>31.2</v>
      </c>
      <c r="I27" s="14">
        <v>3073781141375</v>
      </c>
      <c r="J27" s="8">
        <f>VLOOKUP(G27,[1]Sheet1!$B:$L,1,0)</f>
        <v>312610</v>
      </c>
      <c r="K27" s="8">
        <f>VLOOKUP(J27,[2]Sheet1!$D:$F,3,0)</f>
        <v>1060455</v>
      </c>
      <c r="L27" s="63">
        <f t="shared" si="0"/>
        <v>0</v>
      </c>
    </row>
    <row r="28" spans="1:12" ht="15.75">
      <c r="A28" s="9"/>
      <c r="B28" s="11" t="s">
        <v>50</v>
      </c>
      <c r="C28" s="11">
        <v>12</v>
      </c>
      <c r="D28" s="12">
        <v>1.964</v>
      </c>
      <c r="E28" s="1">
        <v>3073781053555</v>
      </c>
      <c r="F28" s="15" t="s">
        <v>49</v>
      </c>
      <c r="G28" s="16">
        <v>195540</v>
      </c>
      <c r="H28" s="13">
        <v>23.567999999999998</v>
      </c>
      <c r="I28" s="64" t="s">
        <v>51</v>
      </c>
      <c r="J28" s="8">
        <f>VLOOKUP(G28,[1]Sheet1!$B:$L,1,0)</f>
        <v>195540</v>
      </c>
      <c r="K28" s="8" t="e">
        <f>VLOOKUP(J28,[2]Sheet1!$D:$F,3,0)</f>
        <v>#N/A</v>
      </c>
      <c r="L28" s="63" t="e">
        <f t="shared" si="0"/>
        <v>#N/A</v>
      </c>
    </row>
    <row r="29" spans="1:12" ht="15.75">
      <c r="A29" s="9"/>
      <c r="B29" s="11" t="s">
        <v>53</v>
      </c>
      <c r="C29" s="11">
        <v>8</v>
      </c>
      <c r="D29" s="12">
        <v>3.0579999999999998</v>
      </c>
      <c r="E29" s="1">
        <v>3073781053586</v>
      </c>
      <c r="F29" s="15" t="s">
        <v>52</v>
      </c>
      <c r="G29" s="16">
        <v>94715</v>
      </c>
      <c r="H29" s="13">
        <v>24.463999999999999</v>
      </c>
      <c r="I29" s="64" t="s">
        <v>51</v>
      </c>
      <c r="J29" s="8">
        <f>VLOOKUP(G29,[1]Sheet1!$B:$L,1,0)</f>
        <v>94715</v>
      </c>
      <c r="K29" s="8" t="e">
        <f>VLOOKUP(J29,[2]Sheet1!$D:$F,3,0)</f>
        <v>#N/A</v>
      </c>
      <c r="L29" s="63" t="e">
        <f t="shared" si="0"/>
        <v>#N/A</v>
      </c>
    </row>
    <row r="30" spans="1:12" ht="15.75">
      <c r="A30" s="9"/>
      <c r="B30" s="11" t="s">
        <v>55</v>
      </c>
      <c r="C30" s="17">
        <v>12</v>
      </c>
      <c r="D30" s="12">
        <v>2.2000000000000002</v>
      </c>
      <c r="E30" s="1">
        <v>3073781053562</v>
      </c>
      <c r="F30" s="15" t="s">
        <v>54</v>
      </c>
      <c r="G30" s="16">
        <v>195536</v>
      </c>
      <c r="H30" s="13">
        <v>26.400000000000002</v>
      </c>
      <c r="I30" s="64" t="s">
        <v>51</v>
      </c>
      <c r="J30" s="8">
        <f>VLOOKUP(G30,[1]Sheet1!$B:$L,1,0)</f>
        <v>195536</v>
      </c>
      <c r="K30" s="8" t="e">
        <f>VLOOKUP(J30,[2]Sheet1!$D:$F,3,0)</f>
        <v>#N/A</v>
      </c>
      <c r="L30" s="63" t="e">
        <f t="shared" si="0"/>
        <v>#N/A</v>
      </c>
    </row>
    <row r="31" spans="1:12" ht="15.75">
      <c r="A31" s="9">
        <v>198856</v>
      </c>
      <c r="B31" s="11" t="s">
        <v>57</v>
      </c>
      <c r="C31" s="11">
        <v>24</v>
      </c>
      <c r="D31" s="12">
        <v>0.67600000000000005</v>
      </c>
      <c r="E31" s="1">
        <v>3073780998338</v>
      </c>
      <c r="F31" s="18" t="s">
        <v>56</v>
      </c>
      <c r="G31" s="19">
        <v>114598</v>
      </c>
      <c r="H31" s="13">
        <v>16.224</v>
      </c>
      <c r="I31" s="14">
        <v>3073780998345</v>
      </c>
      <c r="J31" s="8">
        <f>VLOOKUP(G31,[1]Sheet1!$B:$L,1,0)</f>
        <v>114598</v>
      </c>
      <c r="K31" s="8">
        <f>VLOOKUP(J31,[2]Sheet1!$D:$F,3,0)</f>
        <v>198856</v>
      </c>
      <c r="L31" s="63">
        <f t="shared" si="0"/>
        <v>0</v>
      </c>
    </row>
    <row r="32" spans="1:12" ht="15.75">
      <c r="A32" s="9"/>
      <c r="B32" s="11" t="s">
        <v>57</v>
      </c>
      <c r="C32" s="11">
        <v>24</v>
      </c>
      <c r="D32" s="12">
        <v>0.67600000000000005</v>
      </c>
      <c r="E32" s="1">
        <v>3073780998352</v>
      </c>
      <c r="F32" s="18" t="s">
        <v>58</v>
      </c>
      <c r="G32" s="19">
        <v>114599</v>
      </c>
      <c r="H32" s="13">
        <v>16.224</v>
      </c>
      <c r="I32" s="14">
        <v>3073780998369</v>
      </c>
      <c r="J32" s="8">
        <f>VLOOKUP(G32,[1]Sheet1!$B:$L,1,0)</f>
        <v>114599</v>
      </c>
      <c r="K32" s="8" t="e">
        <f>VLOOKUP(J32,[2]Sheet1!$D:$F,3,0)</f>
        <v>#N/A</v>
      </c>
      <c r="L32" s="63" t="e">
        <f t="shared" si="0"/>
        <v>#N/A</v>
      </c>
    </row>
    <row r="33" spans="1:12" ht="15.75">
      <c r="A33" s="9">
        <v>327038</v>
      </c>
      <c r="B33" s="11" t="s">
        <v>48</v>
      </c>
      <c r="C33" s="11">
        <v>16</v>
      </c>
      <c r="D33" s="12">
        <v>1.3520000000000001</v>
      </c>
      <c r="E33" s="1">
        <v>3073780998376</v>
      </c>
      <c r="F33" s="18" t="s">
        <v>59</v>
      </c>
      <c r="G33" s="19">
        <v>114600</v>
      </c>
      <c r="H33" s="13">
        <v>21.632000000000001</v>
      </c>
      <c r="I33" s="14">
        <v>3073780998383</v>
      </c>
      <c r="J33" s="8">
        <f>VLOOKUP(G33,[1]Sheet1!$B:$L,1,0)</f>
        <v>114600</v>
      </c>
      <c r="K33" s="8">
        <f>VLOOKUP(J33,[2]Sheet1!$D:$F,3,0)</f>
        <v>327038</v>
      </c>
      <c r="L33" s="63">
        <f t="shared" si="0"/>
        <v>0</v>
      </c>
    </row>
    <row r="34" spans="1:12" ht="15.75">
      <c r="A34" s="9"/>
      <c r="B34" s="11" t="s">
        <v>61</v>
      </c>
      <c r="C34" s="11">
        <v>32</v>
      </c>
      <c r="D34" s="12">
        <v>0.66400000000000003</v>
      </c>
      <c r="E34" s="1">
        <v>3073780450461</v>
      </c>
      <c r="F34" s="18" t="s">
        <v>60</v>
      </c>
      <c r="G34" s="19">
        <v>94671</v>
      </c>
      <c r="H34" s="13">
        <v>21.248000000000001</v>
      </c>
      <c r="I34" s="14">
        <v>3073780985628</v>
      </c>
      <c r="J34" s="8">
        <f>VLOOKUP(G34,[1]Sheet1!$B:$L,1,0)</f>
        <v>94671</v>
      </c>
      <c r="K34" s="8" t="e">
        <f>VLOOKUP(J34,[2]Sheet1!$D:$F,3,0)</f>
        <v>#N/A</v>
      </c>
      <c r="L34" s="63" t="e">
        <f t="shared" si="0"/>
        <v>#N/A</v>
      </c>
    </row>
    <row r="35" spans="1:12" ht="15.75">
      <c r="A35" s="9">
        <v>116557</v>
      </c>
      <c r="B35" s="11" t="s">
        <v>61</v>
      </c>
      <c r="C35" s="11">
        <v>32</v>
      </c>
      <c r="D35" s="12">
        <v>0.66400000000000003</v>
      </c>
      <c r="E35" s="1">
        <v>3073780985581</v>
      </c>
      <c r="F35" s="18" t="s">
        <v>62</v>
      </c>
      <c r="G35" s="19">
        <v>94674</v>
      </c>
      <c r="H35" s="13">
        <v>21.248000000000001</v>
      </c>
      <c r="I35" s="14">
        <v>3073780985598</v>
      </c>
      <c r="J35" s="8">
        <f>VLOOKUP(G35,[1]Sheet1!$B:$L,1,0)</f>
        <v>94674</v>
      </c>
      <c r="K35" s="8">
        <f>VLOOKUP(J35,[2]Sheet1!$D:$F,3,0)</f>
        <v>116557</v>
      </c>
      <c r="L35" s="63">
        <f t="shared" si="0"/>
        <v>0</v>
      </c>
    </row>
    <row r="36" spans="1:12" ht="15.75">
      <c r="A36" s="9"/>
      <c r="B36" s="11" t="s">
        <v>61</v>
      </c>
      <c r="C36" s="11">
        <v>32</v>
      </c>
      <c r="D36" s="12">
        <v>0.66400000000000003</v>
      </c>
      <c r="E36" s="1">
        <v>3073780450386</v>
      </c>
      <c r="F36" s="18" t="s">
        <v>63</v>
      </c>
      <c r="G36" s="19">
        <v>94698</v>
      </c>
      <c r="H36" s="13">
        <v>21.248000000000001</v>
      </c>
      <c r="I36" s="14">
        <v>3073780985635</v>
      </c>
      <c r="J36" s="8">
        <f>VLOOKUP(G36,[1]Sheet1!$B:$L,1,0)</f>
        <v>94698</v>
      </c>
      <c r="K36" s="8" t="e">
        <f>VLOOKUP(J36,[2]Sheet1!$D:$F,3,0)</f>
        <v>#N/A</v>
      </c>
      <c r="L36" s="63" t="e">
        <f t="shared" si="0"/>
        <v>#N/A</v>
      </c>
    </row>
    <row r="37" spans="1:12" ht="15.75">
      <c r="A37" s="9">
        <v>116572</v>
      </c>
      <c r="B37" s="11" t="s">
        <v>61</v>
      </c>
      <c r="C37" s="11">
        <v>32</v>
      </c>
      <c r="D37" s="12">
        <v>0.66400000000000003</v>
      </c>
      <c r="E37" s="1">
        <v>3073780543989</v>
      </c>
      <c r="F37" s="20" t="s">
        <v>64</v>
      </c>
      <c r="G37" s="16">
        <v>94693</v>
      </c>
      <c r="H37" s="13">
        <v>21.248000000000001</v>
      </c>
      <c r="I37" s="14">
        <v>3073780985642</v>
      </c>
      <c r="J37" s="8">
        <f>VLOOKUP(G37,[1]Sheet1!$B:$L,1,0)</f>
        <v>94693</v>
      </c>
      <c r="K37" s="8" t="e">
        <f>VLOOKUP(J37,[2]Sheet1!$D:$F,3,0)</f>
        <v>#N/A</v>
      </c>
      <c r="L37" s="63" t="e">
        <f t="shared" si="0"/>
        <v>#N/A</v>
      </c>
    </row>
    <row r="38" spans="1:12" ht="15.75">
      <c r="A38" s="9">
        <v>198856</v>
      </c>
      <c r="B38" s="21" t="s">
        <v>66</v>
      </c>
      <c r="C38" s="17">
        <v>12</v>
      </c>
      <c r="D38" s="12">
        <v>1.4730000000000001</v>
      </c>
      <c r="E38" s="1">
        <v>3073780985604</v>
      </c>
      <c r="F38" s="20" t="s">
        <v>65</v>
      </c>
      <c r="G38" s="16">
        <v>94672</v>
      </c>
      <c r="H38" s="13">
        <v>17.676000000000002</v>
      </c>
      <c r="I38" s="14">
        <v>3073780985611</v>
      </c>
      <c r="J38" s="8">
        <f>VLOOKUP(G38,[1]Sheet1!$B:$L,1,0)</f>
        <v>94672</v>
      </c>
      <c r="K38" s="8" t="e">
        <f>VLOOKUP(J38,[2]Sheet1!$D:$F,3,0)</f>
        <v>#N/A</v>
      </c>
      <c r="L38" s="63" t="e">
        <f t="shared" si="0"/>
        <v>#N/A</v>
      </c>
    </row>
    <row r="39" spans="1:12" ht="15.75">
      <c r="A39" s="9"/>
      <c r="B39" s="22" t="s">
        <v>66</v>
      </c>
      <c r="C39" s="23">
        <v>12</v>
      </c>
      <c r="D39" s="12">
        <v>1.4730000000000001</v>
      </c>
      <c r="E39" s="1">
        <v>3073780999816</v>
      </c>
      <c r="F39" s="20" t="s">
        <v>67</v>
      </c>
      <c r="G39" s="16">
        <v>318173</v>
      </c>
      <c r="H39" s="13">
        <v>17.676000000000002</v>
      </c>
      <c r="I39" s="14">
        <v>3073780999823</v>
      </c>
      <c r="J39" s="8">
        <f>VLOOKUP(G39,[1]Sheet1!$B:$L,1,0)</f>
        <v>318173</v>
      </c>
      <c r="K39" s="8" t="e">
        <f>VLOOKUP(J39,[2]Sheet1!$D:$F,3,0)</f>
        <v>#N/A</v>
      </c>
      <c r="L39" s="63" t="e">
        <f t="shared" si="0"/>
        <v>#N/A</v>
      </c>
    </row>
    <row r="40" spans="1:12" ht="15.75">
      <c r="A40" s="9">
        <v>1060456</v>
      </c>
      <c r="B40" s="24" t="s">
        <v>69</v>
      </c>
      <c r="C40" s="24">
        <v>18</v>
      </c>
      <c r="D40" s="12">
        <v>0.82499999999999996</v>
      </c>
      <c r="E40" s="1">
        <v>3073781141429</v>
      </c>
      <c r="F40" s="15" t="s">
        <v>68</v>
      </c>
      <c r="G40" s="1">
        <v>312611</v>
      </c>
      <c r="H40" s="13">
        <v>14.85</v>
      </c>
      <c r="I40" s="14">
        <v>3073781141436</v>
      </c>
      <c r="J40" s="8">
        <f>VLOOKUP(G40,[1]Sheet1!$B:$L,1,0)</f>
        <v>312611</v>
      </c>
      <c r="K40" s="8">
        <f>VLOOKUP(J40,[2]Sheet1!$D:$F,3,0)</f>
        <v>1060456</v>
      </c>
      <c r="L40" s="63">
        <f t="shared" si="0"/>
        <v>0</v>
      </c>
    </row>
    <row r="41" spans="1:12" ht="15.75">
      <c r="A41" s="9">
        <v>1060457</v>
      </c>
      <c r="B41" s="24" t="s">
        <v>71</v>
      </c>
      <c r="C41" s="24">
        <v>8</v>
      </c>
      <c r="D41" s="12">
        <v>1.7529999999999999</v>
      </c>
      <c r="E41" s="1">
        <v>3073781141443</v>
      </c>
      <c r="F41" s="15" t="s">
        <v>70</v>
      </c>
      <c r="G41" s="1">
        <v>312612</v>
      </c>
      <c r="H41" s="13">
        <v>14.023999999999999</v>
      </c>
      <c r="I41" s="14">
        <v>3073781141450</v>
      </c>
      <c r="J41" s="8">
        <f>VLOOKUP(G41,[1]Sheet1!$B:$L,1,0)</f>
        <v>312612</v>
      </c>
      <c r="K41" s="8">
        <f>VLOOKUP(J41,[2]Sheet1!$D:$F,3,0)</f>
        <v>1060457</v>
      </c>
      <c r="L41" s="63">
        <f t="shared" si="0"/>
        <v>0</v>
      </c>
    </row>
    <row r="42" spans="1:12" ht="15.75">
      <c r="A42" s="9"/>
      <c r="B42" s="11" t="s">
        <v>69</v>
      </c>
      <c r="C42" s="26">
        <v>18</v>
      </c>
      <c r="D42" s="12">
        <v>0.72299999999999998</v>
      </c>
      <c r="E42" s="1">
        <v>1800000007721</v>
      </c>
      <c r="F42" s="25" t="s">
        <v>72</v>
      </c>
      <c r="G42" s="1">
        <v>208761</v>
      </c>
      <c r="H42" s="13">
        <v>13.013999999999999</v>
      </c>
      <c r="I42" s="14">
        <v>3073781010732</v>
      </c>
      <c r="J42" s="8" t="e">
        <f>VLOOKUP(G42,[1]Sheet1!$B:$L,1,0)</f>
        <v>#N/A</v>
      </c>
      <c r="K42" s="8" t="e">
        <f>VLOOKUP(J42,[2]Sheet1!$D:$F,3,0)</f>
        <v>#N/A</v>
      </c>
      <c r="L42" s="63" t="e">
        <f t="shared" si="0"/>
        <v>#N/A</v>
      </c>
    </row>
    <row r="43" spans="1:12" ht="15.75">
      <c r="A43" s="9"/>
      <c r="B43" s="24" t="s">
        <v>74</v>
      </c>
      <c r="C43" s="24">
        <v>12</v>
      </c>
      <c r="D43" s="12">
        <v>1.1890000000000001</v>
      </c>
      <c r="E43" s="1">
        <v>1800000007738</v>
      </c>
      <c r="F43" s="25" t="s">
        <v>73</v>
      </c>
      <c r="G43" s="1">
        <v>293032</v>
      </c>
      <c r="H43" s="13">
        <v>14.268000000000001</v>
      </c>
      <c r="I43" s="14">
        <v>3073781010756</v>
      </c>
      <c r="J43" s="8" t="e">
        <f>VLOOKUP(G43,[1]Sheet1!$B:$L,1,0)</f>
        <v>#N/A</v>
      </c>
      <c r="K43" s="8" t="e">
        <f>VLOOKUP(J43,[2]Sheet1!$D:$F,3,0)</f>
        <v>#N/A</v>
      </c>
      <c r="L43" s="63" t="e">
        <f t="shared" si="0"/>
        <v>#N/A</v>
      </c>
    </row>
    <row r="44" spans="1:12" ht="15.75">
      <c r="A44" s="9"/>
      <c r="B44" s="24" t="s">
        <v>71</v>
      </c>
      <c r="C44" s="24">
        <v>8</v>
      </c>
      <c r="D44" s="12">
        <v>1.5509999999999999</v>
      </c>
      <c r="E44" s="1">
        <v>1800000007745</v>
      </c>
      <c r="F44" s="25" t="s">
        <v>75</v>
      </c>
      <c r="G44" s="1">
        <v>293033</v>
      </c>
      <c r="H44" s="13">
        <v>12.407999999999999</v>
      </c>
      <c r="I44" s="14">
        <v>3073781058833</v>
      </c>
      <c r="J44" s="8" t="e">
        <f>VLOOKUP(G44,[1]Sheet1!$B:$L,1,0)</f>
        <v>#N/A</v>
      </c>
      <c r="K44" s="8" t="e">
        <f>VLOOKUP(J44,[2]Sheet1!$D:$F,3,0)</f>
        <v>#N/A</v>
      </c>
      <c r="L44" s="63" t="e">
        <f t="shared" si="0"/>
        <v>#N/A</v>
      </c>
    </row>
    <row r="45" spans="1:12" ht="15.75">
      <c r="A45" s="9"/>
      <c r="B45" s="24" t="s">
        <v>77</v>
      </c>
      <c r="C45" s="24">
        <v>24</v>
      </c>
      <c r="D45" s="12">
        <v>0.93300000000000005</v>
      </c>
      <c r="E45" s="1">
        <v>3073780976466</v>
      </c>
      <c r="F45" s="25" t="s">
        <v>76</v>
      </c>
      <c r="G45" s="1">
        <v>252499</v>
      </c>
      <c r="H45" s="13">
        <v>22.392000000000003</v>
      </c>
      <c r="I45" s="14">
        <v>3073781075960</v>
      </c>
      <c r="J45" s="8" t="e">
        <f>VLOOKUP(G45,[1]Sheet1!$B:$L,1,0)</f>
        <v>#N/A</v>
      </c>
      <c r="K45" s="8" t="e">
        <f>VLOOKUP(J45,[2]Sheet1!$D:$F,3,0)</f>
        <v>#N/A</v>
      </c>
      <c r="L45" s="63" t="e">
        <f t="shared" si="0"/>
        <v>#N/A</v>
      </c>
    </row>
    <row r="46" spans="1:12" ht="15.75">
      <c r="A46" s="9"/>
      <c r="B46" s="24" t="s">
        <v>79</v>
      </c>
      <c r="C46" s="24">
        <v>12</v>
      </c>
      <c r="D46" s="12">
        <v>1.7010000000000001</v>
      </c>
      <c r="E46" s="1">
        <v>3073780904148</v>
      </c>
      <c r="F46" s="25" t="s">
        <v>78</v>
      </c>
      <c r="G46" s="1">
        <v>252500</v>
      </c>
      <c r="H46" s="13">
        <v>20.411999999999999</v>
      </c>
      <c r="I46" s="14">
        <v>3073781075977</v>
      </c>
      <c r="J46" s="8" t="e">
        <f>VLOOKUP(G46,[1]Sheet1!$B:$L,1,0)</f>
        <v>#N/A</v>
      </c>
      <c r="K46" s="8" t="e">
        <f>VLOOKUP(J46,[2]Sheet1!$D:$F,3,0)</f>
        <v>#N/A</v>
      </c>
      <c r="L46" s="63" t="e">
        <f t="shared" si="0"/>
        <v>#N/A</v>
      </c>
    </row>
    <row r="47" spans="1:12" ht="15.75">
      <c r="A47" s="9"/>
      <c r="B47" s="24" t="s">
        <v>81</v>
      </c>
      <c r="C47" s="24">
        <v>12</v>
      </c>
      <c r="D47" s="12">
        <v>2.0299999999999998</v>
      </c>
      <c r="E47" s="1">
        <v>3073780963404</v>
      </c>
      <c r="F47" s="25" t="s">
        <v>80</v>
      </c>
      <c r="G47" s="1">
        <v>252501</v>
      </c>
      <c r="H47" s="13">
        <v>24.36</v>
      </c>
      <c r="I47" s="14">
        <v>3073781075984</v>
      </c>
      <c r="J47" s="8" t="e">
        <f>VLOOKUP(G47,[1]Sheet1!$B:$L,1,0)</f>
        <v>#N/A</v>
      </c>
      <c r="K47" s="8" t="e">
        <f>VLOOKUP(J47,[2]Sheet1!$D:$F,3,0)</f>
        <v>#N/A</v>
      </c>
      <c r="L47" s="63" t="e">
        <f t="shared" si="0"/>
        <v>#N/A</v>
      </c>
    </row>
    <row r="48" spans="1:12" ht="15.75">
      <c r="A48" s="9"/>
      <c r="B48" s="24" t="s">
        <v>83</v>
      </c>
      <c r="C48" s="24">
        <v>12</v>
      </c>
      <c r="D48" s="12">
        <v>0.92800000000000005</v>
      </c>
      <c r="E48" s="1">
        <v>3073780810661</v>
      </c>
      <c r="F48" s="25" t="s">
        <v>82</v>
      </c>
      <c r="G48" s="1">
        <v>194963</v>
      </c>
      <c r="H48" s="13">
        <v>11.136000000000001</v>
      </c>
      <c r="I48" s="14">
        <v>3073780829311</v>
      </c>
      <c r="J48" s="8">
        <f>VLOOKUP(G48,[1]Sheet1!$B:$L,1,0)</f>
        <v>194963</v>
      </c>
      <c r="K48" s="8" t="e">
        <f>VLOOKUP(J48,[2]Sheet1!$D:$F,3,0)</f>
        <v>#N/A</v>
      </c>
      <c r="L48" s="63" t="e">
        <f t="shared" si="0"/>
        <v>#N/A</v>
      </c>
    </row>
    <row r="49" spans="1:12" ht="15.75">
      <c r="A49" s="9"/>
      <c r="B49" s="24" t="s">
        <v>85</v>
      </c>
      <c r="C49" s="24">
        <v>12</v>
      </c>
      <c r="D49" s="12">
        <v>1.702</v>
      </c>
      <c r="E49" s="1">
        <v>3073781009842</v>
      </c>
      <c r="F49" s="25" t="s">
        <v>84</v>
      </c>
      <c r="G49" s="1">
        <v>194964</v>
      </c>
      <c r="H49" s="13">
        <v>20.423999999999999</v>
      </c>
      <c r="I49" s="14">
        <v>3073781040777</v>
      </c>
      <c r="J49" s="8">
        <f>VLOOKUP(G49,[1]Sheet1!$B:$L,1,0)</f>
        <v>194964</v>
      </c>
      <c r="K49" s="8" t="e">
        <f>VLOOKUP(J49,[2]Sheet1!$D:$F,3,0)</f>
        <v>#N/A</v>
      </c>
      <c r="L49" s="63" t="e">
        <f t="shared" si="0"/>
        <v>#N/A</v>
      </c>
    </row>
    <row r="50" spans="1:12" ht="15.75">
      <c r="A50" s="9"/>
      <c r="B50" s="24" t="s">
        <v>87</v>
      </c>
      <c r="C50" s="24">
        <v>20</v>
      </c>
      <c r="D50" s="12">
        <v>0.21299999999999999</v>
      </c>
      <c r="E50" s="1">
        <v>30087798</v>
      </c>
      <c r="F50" s="25" t="s">
        <v>86</v>
      </c>
      <c r="G50" s="1">
        <v>309827</v>
      </c>
      <c r="H50" s="13">
        <v>4.26</v>
      </c>
      <c r="I50" s="14">
        <v>3073780850643</v>
      </c>
      <c r="J50" s="8">
        <f>VLOOKUP(G50,[1]Sheet1!$B:$L,1,0)</f>
        <v>309827</v>
      </c>
      <c r="K50" s="8" t="e">
        <f>VLOOKUP(J50,[2]Sheet1!$D:$F,3,0)</f>
        <v>#N/A</v>
      </c>
      <c r="L50" s="63" t="e">
        <f t="shared" si="0"/>
        <v>#N/A</v>
      </c>
    </row>
    <row r="51" spans="1:12" ht="15.75">
      <c r="A51" s="9"/>
      <c r="B51" s="24" t="s">
        <v>83</v>
      </c>
      <c r="C51" s="24">
        <v>12</v>
      </c>
      <c r="D51" s="12">
        <v>0.97499999999999998</v>
      </c>
      <c r="E51" s="1">
        <v>3073781058628</v>
      </c>
      <c r="F51" s="25" t="s">
        <v>88</v>
      </c>
      <c r="G51" s="1">
        <v>213406</v>
      </c>
      <c r="H51" s="13">
        <v>11.7</v>
      </c>
      <c r="I51" s="14">
        <v>3073781065060</v>
      </c>
      <c r="J51" s="8">
        <f>VLOOKUP(G51,[1]Sheet1!$B:$L,1,0)</f>
        <v>213406</v>
      </c>
      <c r="K51" s="8" t="e">
        <f>VLOOKUP(J51,[2]Sheet1!$D:$F,3,0)</f>
        <v>#N/A</v>
      </c>
      <c r="L51" s="63" t="e">
        <f t="shared" si="0"/>
        <v>#N/A</v>
      </c>
    </row>
    <row r="52" spans="1:12" ht="15.75">
      <c r="A52" s="9">
        <v>244913</v>
      </c>
      <c r="B52" s="24" t="s">
        <v>90</v>
      </c>
      <c r="C52" s="24">
        <v>8</v>
      </c>
      <c r="D52" s="12">
        <v>1.2709999999999999</v>
      </c>
      <c r="E52" s="1">
        <v>3073780460262</v>
      </c>
      <c r="F52" s="25" t="s">
        <v>89</v>
      </c>
      <c r="G52" s="1">
        <v>214355</v>
      </c>
      <c r="H52" s="13">
        <v>10.167999999999999</v>
      </c>
      <c r="I52" s="14">
        <v>3073781065435</v>
      </c>
      <c r="J52" s="8">
        <f>VLOOKUP(G52,[1]Sheet1!$B:$L,1,0)</f>
        <v>214355</v>
      </c>
      <c r="K52" s="8">
        <f>VLOOKUP(J52,[2]Sheet1!$D:$F,3,0)</f>
        <v>244913</v>
      </c>
      <c r="L52" s="63">
        <f t="shared" si="0"/>
        <v>0</v>
      </c>
    </row>
    <row r="53" spans="1:12" ht="15.75">
      <c r="A53" s="9"/>
      <c r="B53" s="24" t="s">
        <v>92</v>
      </c>
      <c r="C53" s="24">
        <v>12</v>
      </c>
      <c r="D53" s="12">
        <v>1.04</v>
      </c>
      <c r="E53" s="1">
        <v>3073780968508</v>
      </c>
      <c r="F53" s="25" t="s">
        <v>91</v>
      </c>
      <c r="G53" s="1">
        <v>94730</v>
      </c>
      <c r="H53" s="13">
        <v>12.48</v>
      </c>
      <c r="I53" s="14">
        <v>3073780969680</v>
      </c>
      <c r="J53" s="8">
        <f>VLOOKUP(G53,[1]Sheet1!$B:$L,1,0)</f>
        <v>94730</v>
      </c>
      <c r="K53" s="8" t="e">
        <f>VLOOKUP(J53,[2]Sheet1!$D:$F,3,0)</f>
        <v>#N/A</v>
      </c>
      <c r="L53" s="63" t="e">
        <f t="shared" si="0"/>
        <v>#N/A</v>
      </c>
    </row>
    <row r="54" spans="1:12" ht="15.75">
      <c r="A54" s="9"/>
      <c r="B54" s="24" t="s">
        <v>92</v>
      </c>
      <c r="C54" s="24">
        <v>12</v>
      </c>
      <c r="D54" s="12">
        <v>1.04</v>
      </c>
      <c r="E54" s="1">
        <v>3073780965828</v>
      </c>
      <c r="F54" s="25" t="s">
        <v>93</v>
      </c>
      <c r="G54" s="1">
        <v>94734</v>
      </c>
      <c r="H54" s="13">
        <v>12.48</v>
      </c>
      <c r="I54" s="14">
        <v>3073780965835</v>
      </c>
      <c r="J54" s="8">
        <f>VLOOKUP(G54,[1]Sheet1!$B:$L,1,0)</f>
        <v>94734</v>
      </c>
      <c r="K54" s="8" t="e">
        <f>VLOOKUP(J54,[2]Sheet1!$D:$F,3,0)</f>
        <v>#N/A</v>
      </c>
      <c r="L54" s="63" t="e">
        <f t="shared" si="0"/>
        <v>#N/A</v>
      </c>
    </row>
    <row r="55" spans="1:12" ht="15.75">
      <c r="A55" s="9">
        <v>229372</v>
      </c>
      <c r="B55" s="24" t="s">
        <v>92</v>
      </c>
      <c r="C55" s="24">
        <v>12</v>
      </c>
      <c r="D55" s="12">
        <v>1.04</v>
      </c>
      <c r="E55" s="1">
        <v>3073780965729</v>
      </c>
      <c r="F55" s="25" t="s">
        <v>94</v>
      </c>
      <c r="G55" s="1">
        <v>94733</v>
      </c>
      <c r="H55" s="13">
        <v>12.48</v>
      </c>
      <c r="I55" s="14">
        <v>3073780965736</v>
      </c>
      <c r="J55" s="8">
        <f>VLOOKUP(G55,[1]Sheet1!$B:$L,1,0)</f>
        <v>94733</v>
      </c>
      <c r="K55" s="8">
        <f>VLOOKUP(J55,[2]Sheet1!$D:$F,3,0)</f>
        <v>229372</v>
      </c>
      <c r="L55" s="63">
        <f t="shared" si="0"/>
        <v>0</v>
      </c>
    </row>
    <row r="56" spans="1:12" ht="15.75">
      <c r="A56" s="9">
        <v>116146</v>
      </c>
      <c r="B56" s="24" t="s">
        <v>69</v>
      </c>
      <c r="C56" s="24">
        <v>18</v>
      </c>
      <c r="D56" s="12">
        <v>0.67100000000000004</v>
      </c>
      <c r="E56" s="1">
        <v>3073780984492</v>
      </c>
      <c r="F56" s="25" t="s">
        <v>95</v>
      </c>
      <c r="G56" s="1">
        <v>215668</v>
      </c>
      <c r="H56" s="13">
        <v>12.078000000000001</v>
      </c>
      <c r="I56" s="14">
        <v>3073781063059</v>
      </c>
      <c r="J56" s="8">
        <f>VLOOKUP(G56,[1]Sheet1!$B:$L,1,0)</f>
        <v>215668</v>
      </c>
      <c r="K56" s="8">
        <f>VLOOKUP(J56,[2]Sheet1!$D:$F,3,0)</f>
        <v>116146</v>
      </c>
      <c r="L56" s="63">
        <f t="shared" si="0"/>
        <v>0</v>
      </c>
    </row>
    <row r="57" spans="1:12" ht="15.75">
      <c r="A57" s="9"/>
      <c r="B57" s="24" t="s">
        <v>97</v>
      </c>
      <c r="C57" s="24">
        <v>12</v>
      </c>
      <c r="D57" s="12">
        <v>1.155</v>
      </c>
      <c r="E57" s="1">
        <v>3073780984515</v>
      </c>
      <c r="F57" s="25" t="s">
        <v>96</v>
      </c>
      <c r="G57" s="1">
        <v>293034</v>
      </c>
      <c r="H57" s="13">
        <v>13.86</v>
      </c>
      <c r="I57" s="14">
        <v>3073781063066</v>
      </c>
      <c r="J57" s="8">
        <f>VLOOKUP(G57,[1]Sheet1!$B:$L,1,0)</f>
        <v>293034</v>
      </c>
      <c r="K57" s="8" t="e">
        <f>VLOOKUP(J57,[2]Sheet1!$D:$F,3,0)</f>
        <v>#N/A</v>
      </c>
      <c r="L57" s="63" t="e">
        <f t="shared" si="0"/>
        <v>#N/A</v>
      </c>
    </row>
    <row r="58" spans="1:12" ht="15.75">
      <c r="A58" s="9"/>
      <c r="B58" s="24" t="s">
        <v>99</v>
      </c>
      <c r="C58" s="24">
        <v>8</v>
      </c>
      <c r="D58" s="12">
        <v>1.5009999999999999</v>
      </c>
      <c r="E58" s="1">
        <v>3073781062762</v>
      </c>
      <c r="F58" s="25" t="s">
        <v>98</v>
      </c>
      <c r="G58" s="1">
        <v>293035</v>
      </c>
      <c r="H58" s="13">
        <v>12.007999999999999</v>
      </c>
      <c r="I58" s="14">
        <v>3073781063073</v>
      </c>
      <c r="J58" s="8">
        <f>VLOOKUP(G58,[1]Sheet1!$B:$L,1,0)</f>
        <v>293035</v>
      </c>
      <c r="K58" s="8" t="e">
        <f>VLOOKUP(J58,[2]Sheet1!$D:$F,3,0)</f>
        <v>#N/A</v>
      </c>
      <c r="L58" s="63" t="e">
        <f t="shared" si="0"/>
        <v>#N/A</v>
      </c>
    </row>
    <row r="59" spans="1:12" ht="15.75">
      <c r="A59" s="9">
        <v>1020248</v>
      </c>
      <c r="B59" s="27" t="s">
        <v>101</v>
      </c>
      <c r="C59" s="27">
        <v>24</v>
      </c>
      <c r="D59" s="12">
        <v>0.754</v>
      </c>
      <c r="E59" s="1">
        <v>3073781125627</v>
      </c>
      <c r="F59" s="15" t="s">
        <v>100</v>
      </c>
      <c r="G59" s="1">
        <v>293087</v>
      </c>
      <c r="H59" s="13">
        <v>18.096</v>
      </c>
      <c r="I59" s="14">
        <v>3073781125597</v>
      </c>
      <c r="J59" s="8">
        <f>VLOOKUP(G59,[1]Sheet1!$B:$L,1,0)</f>
        <v>293087</v>
      </c>
      <c r="K59" s="8">
        <f>VLOOKUP(J59,[2]Sheet1!$D:$F,3,0)</f>
        <v>1020248</v>
      </c>
      <c r="L59" s="63">
        <f t="shared" si="0"/>
        <v>0</v>
      </c>
    </row>
    <row r="60" spans="1:12" ht="15.75">
      <c r="A60" s="9"/>
      <c r="B60" s="27" t="s">
        <v>103</v>
      </c>
      <c r="C60" s="27">
        <v>12</v>
      </c>
      <c r="D60" s="12">
        <v>1.482</v>
      </c>
      <c r="E60" s="1">
        <v>3073781125634</v>
      </c>
      <c r="F60" s="15" t="s">
        <v>102</v>
      </c>
      <c r="G60" s="1">
        <v>293088</v>
      </c>
      <c r="H60" s="13">
        <v>17.783999999999999</v>
      </c>
      <c r="I60" s="14">
        <v>3073781125603</v>
      </c>
      <c r="J60" s="8">
        <f>VLOOKUP(G60,[1]Sheet1!$B:$L,1,0)</f>
        <v>293088</v>
      </c>
      <c r="K60" s="8" t="e">
        <f>VLOOKUP(J60,[2]Sheet1!$D:$F,3,0)</f>
        <v>#N/A</v>
      </c>
      <c r="L60" s="63" t="e">
        <f t="shared" si="0"/>
        <v>#N/A</v>
      </c>
    </row>
    <row r="61" spans="1:12" ht="15.75">
      <c r="A61" s="9">
        <v>1020250</v>
      </c>
      <c r="B61" s="27" t="s">
        <v>105</v>
      </c>
      <c r="C61" s="27">
        <v>6</v>
      </c>
      <c r="D61" s="12">
        <v>2.4609999999999999</v>
      </c>
      <c r="E61" s="1">
        <v>3073781125641</v>
      </c>
      <c r="F61" s="15" t="s">
        <v>104</v>
      </c>
      <c r="G61" s="1">
        <v>293293</v>
      </c>
      <c r="H61" s="13">
        <v>14.765999999999998</v>
      </c>
      <c r="I61" s="14">
        <v>3073781125610</v>
      </c>
      <c r="J61" s="8">
        <f>VLOOKUP(G61,[1]Sheet1!$B:$L,1,0)</f>
        <v>293293</v>
      </c>
      <c r="K61" s="8">
        <f>VLOOKUP(J61,[2]Sheet1!$D:$F,3,0)</f>
        <v>1020250</v>
      </c>
      <c r="L61" s="63">
        <f t="shared" si="0"/>
        <v>0</v>
      </c>
    </row>
    <row r="62" spans="1:12" ht="15.75">
      <c r="A62" s="9"/>
      <c r="B62" s="27" t="s">
        <v>107</v>
      </c>
      <c r="C62" s="27">
        <v>6</v>
      </c>
      <c r="D62" s="12">
        <v>2.371</v>
      </c>
      <c r="E62" s="1">
        <v>3073781134537</v>
      </c>
      <c r="F62" s="15" t="s">
        <v>106</v>
      </c>
      <c r="G62" s="1">
        <v>293294</v>
      </c>
      <c r="H62" s="13">
        <v>14.225999999999999</v>
      </c>
      <c r="I62" s="14">
        <v>3073781134544</v>
      </c>
      <c r="J62" s="8">
        <f>VLOOKUP(G62,[1]Sheet1!$B:$L,1,0)</f>
        <v>293294</v>
      </c>
      <c r="K62" s="8" t="e">
        <f>VLOOKUP(J62,[2]Sheet1!$D:$F,3,0)</f>
        <v>#N/A</v>
      </c>
      <c r="L62" s="63" t="e">
        <f t="shared" si="0"/>
        <v>#N/A</v>
      </c>
    </row>
    <row r="63" spans="1:12" ht="15.75">
      <c r="A63" s="9">
        <v>1024253</v>
      </c>
      <c r="B63" s="27" t="s">
        <v>109</v>
      </c>
      <c r="C63" s="27">
        <v>3</v>
      </c>
      <c r="D63" s="12">
        <v>4.1840000000000002</v>
      </c>
      <c r="E63" s="1">
        <v>3073781134193</v>
      </c>
      <c r="F63" s="15" t="s">
        <v>108</v>
      </c>
      <c r="G63" s="1">
        <v>293732</v>
      </c>
      <c r="H63" s="13">
        <v>12.552</v>
      </c>
      <c r="I63" s="14" t="s">
        <v>110</v>
      </c>
      <c r="J63" s="8">
        <f>VLOOKUP(G63,[1]Sheet1!$B:$L,1,0)</f>
        <v>293732</v>
      </c>
      <c r="K63" s="8">
        <f>VLOOKUP(J63,[2]Sheet1!$D:$F,3,0)</f>
        <v>1024253</v>
      </c>
      <c r="L63" s="63">
        <f t="shared" si="0"/>
        <v>0</v>
      </c>
    </row>
    <row r="64" spans="1:12" ht="15.75">
      <c r="A64" s="9"/>
      <c r="B64" s="27" t="s">
        <v>112</v>
      </c>
      <c r="C64" s="27">
        <v>12</v>
      </c>
      <c r="D64" s="12">
        <v>3.5590000000000002</v>
      </c>
      <c r="E64" s="1">
        <v>3073780853545</v>
      </c>
      <c r="F64" s="28" t="s">
        <v>111</v>
      </c>
      <c r="G64" s="1">
        <v>194957</v>
      </c>
      <c r="H64" s="13">
        <v>42.707999999999998</v>
      </c>
      <c r="I64" s="14">
        <v>3073780853552</v>
      </c>
      <c r="J64" s="8">
        <f>VLOOKUP(G64,[1]Sheet1!$B:$L,1,0)</f>
        <v>194957</v>
      </c>
      <c r="K64" s="8" t="e">
        <f>VLOOKUP(J64,[2]Sheet1!$D:$F,3,0)</f>
        <v>#N/A</v>
      </c>
      <c r="L64" s="63" t="e">
        <f t="shared" si="0"/>
        <v>#N/A</v>
      </c>
    </row>
    <row r="65" spans="1:12" ht="15.75">
      <c r="A65" s="9"/>
      <c r="B65" s="27" t="s">
        <v>114</v>
      </c>
      <c r="C65" s="27">
        <v>30</v>
      </c>
      <c r="D65" s="12">
        <v>1.2050000000000001</v>
      </c>
      <c r="E65" s="1">
        <v>3073781089172</v>
      </c>
      <c r="F65" s="15" t="s">
        <v>113</v>
      </c>
      <c r="G65" s="1">
        <v>308347</v>
      </c>
      <c r="H65" s="13">
        <v>36.150000000000006</v>
      </c>
      <c r="I65" s="14">
        <v>3073781133745</v>
      </c>
      <c r="J65" s="8">
        <f>VLOOKUP(G65,[1]Sheet1!$B:$L,1,0)</f>
        <v>308347</v>
      </c>
      <c r="K65" s="8" t="e">
        <f>VLOOKUP(J65,[2]Sheet1!$D:$F,3,0)</f>
        <v>#N/A</v>
      </c>
      <c r="L65" s="63" t="e">
        <f t="shared" si="0"/>
        <v>#N/A</v>
      </c>
    </row>
    <row r="66" spans="1:12">
      <c r="A66" s="9">
        <v>102262</v>
      </c>
      <c r="E66" s="9">
        <v>4800024550057</v>
      </c>
      <c r="F66" s="9" t="s">
        <v>115</v>
      </c>
      <c r="G66" s="29">
        <v>91607</v>
      </c>
      <c r="J66" s="8">
        <f>VLOOKUP(G66,[1]Sheet1!$B:$L,1,0)</f>
        <v>91607</v>
      </c>
      <c r="K66" s="8" t="e">
        <f>VLOOKUP(J66,[2]Sheet1!$D:$F,3,0)</f>
        <v>#N/A</v>
      </c>
      <c r="L66" s="63" t="e">
        <f t="shared" si="0"/>
        <v>#N/A</v>
      </c>
    </row>
    <row r="67" spans="1:12">
      <c r="A67" s="9">
        <v>102265</v>
      </c>
      <c r="E67" s="9">
        <v>4800024550088</v>
      </c>
      <c r="F67" s="9" t="s">
        <v>116</v>
      </c>
      <c r="G67" s="29">
        <v>91608</v>
      </c>
      <c r="J67" s="8">
        <f>VLOOKUP(G67,[1]Sheet1!$B:$L,1,0)</f>
        <v>91608</v>
      </c>
      <c r="K67" s="8" t="e">
        <f>VLOOKUP(J67,[2]Sheet1!$D:$F,3,0)</f>
        <v>#N/A</v>
      </c>
      <c r="L67" s="63" t="e">
        <f t="shared" ref="L67:L130" si="1">K67-A67</f>
        <v>#N/A</v>
      </c>
    </row>
    <row r="68" spans="1:12">
      <c r="A68" s="9">
        <v>168711</v>
      </c>
      <c r="E68" s="9">
        <v>4800024550927</v>
      </c>
      <c r="F68" s="9" t="s">
        <v>117</v>
      </c>
      <c r="G68" s="29">
        <v>91606</v>
      </c>
      <c r="J68" s="8">
        <f>VLOOKUP(G68,[1]Sheet1!$B:$L,1,0)</f>
        <v>91606</v>
      </c>
      <c r="K68" s="8" t="e">
        <f>VLOOKUP(J68,[2]Sheet1!$D:$F,3,0)</f>
        <v>#N/A</v>
      </c>
      <c r="L68" s="63" t="e">
        <f t="shared" si="1"/>
        <v>#N/A</v>
      </c>
    </row>
    <row r="69" spans="1:12">
      <c r="A69" s="9">
        <v>100811</v>
      </c>
      <c r="E69" s="9">
        <v>8990800011196</v>
      </c>
      <c r="F69" s="9" t="s">
        <v>118</v>
      </c>
      <c r="G69" s="29">
        <v>229184</v>
      </c>
      <c r="J69" s="8">
        <f>VLOOKUP(G69,[1]Sheet1!$B:$L,1,0)</f>
        <v>229184</v>
      </c>
      <c r="K69" s="8" t="e">
        <f>VLOOKUP(J69,[2]Sheet1!$D:$F,3,0)</f>
        <v>#N/A</v>
      </c>
      <c r="L69" s="63" t="e">
        <f t="shared" si="1"/>
        <v>#N/A</v>
      </c>
    </row>
    <row r="70" spans="1:12">
      <c r="A70" s="9">
        <v>100812</v>
      </c>
      <c r="E70" s="9">
        <v>8990800011554</v>
      </c>
      <c r="F70" s="9" t="s">
        <v>119</v>
      </c>
      <c r="G70" s="29">
        <v>229182</v>
      </c>
      <c r="J70" s="8">
        <f>VLOOKUP(G70,[1]Sheet1!$B:$L,1,0)</f>
        <v>229182</v>
      </c>
      <c r="K70" s="8" t="e">
        <f>VLOOKUP(J70,[2]Sheet1!$D:$F,3,0)</f>
        <v>#N/A</v>
      </c>
      <c r="L70" s="63" t="e">
        <f t="shared" si="1"/>
        <v>#N/A</v>
      </c>
    </row>
    <row r="71" spans="1:12">
      <c r="A71" s="9">
        <v>100814</v>
      </c>
      <c r="E71" s="9">
        <v>8990800011332</v>
      </c>
      <c r="F71" s="9" t="s">
        <v>120</v>
      </c>
      <c r="G71" s="62">
        <v>229183</v>
      </c>
      <c r="J71" s="8" t="e">
        <f>VLOOKUP(G71,[1]Sheet1!$B:$L,1,0)</f>
        <v>#N/A</v>
      </c>
      <c r="K71" s="8" t="e">
        <f>VLOOKUP(J71,[2]Sheet1!$D:$F,3,0)</f>
        <v>#N/A</v>
      </c>
      <c r="L71" s="63" t="e">
        <f t="shared" si="1"/>
        <v>#N/A</v>
      </c>
    </row>
    <row r="72" spans="1:12">
      <c r="A72" s="9">
        <v>1009878</v>
      </c>
      <c r="E72" s="9">
        <v>24000308324</v>
      </c>
      <c r="F72" s="9" t="s">
        <v>121</v>
      </c>
      <c r="G72" s="29"/>
      <c r="J72" s="8" t="e">
        <f>VLOOKUP(G72,[1]Sheet1!$B:$L,1,0)</f>
        <v>#N/A</v>
      </c>
      <c r="K72" s="8" t="e">
        <f>VLOOKUP(J72,[2]Sheet1!$D:$F,3,0)</f>
        <v>#N/A</v>
      </c>
      <c r="L72" s="63" t="e">
        <f t="shared" si="1"/>
        <v>#N/A</v>
      </c>
    </row>
    <row r="73" spans="1:12">
      <c r="A73" s="9">
        <v>1009879</v>
      </c>
      <c r="E73" s="9">
        <v>24000308317</v>
      </c>
      <c r="F73" s="9" t="s">
        <v>122</v>
      </c>
      <c r="G73" s="29"/>
      <c r="J73" s="8" t="e">
        <f>VLOOKUP(G73,[1]Sheet1!$B:$L,1,0)</f>
        <v>#N/A</v>
      </c>
      <c r="K73" s="8" t="e">
        <f>VLOOKUP(J73,[2]Sheet1!$D:$F,3,0)</f>
        <v>#N/A</v>
      </c>
      <c r="L73" s="63" t="e">
        <f t="shared" si="1"/>
        <v>#N/A</v>
      </c>
    </row>
    <row r="74" spans="1:12">
      <c r="A74" s="9">
        <v>101359</v>
      </c>
      <c r="E74" s="9">
        <v>80757450</v>
      </c>
      <c r="F74" s="9" t="s">
        <v>123</v>
      </c>
      <c r="G74" s="29">
        <v>229190</v>
      </c>
      <c r="J74" s="8">
        <f>VLOOKUP(G74,[1]Sheet1!$B:$L,1,0)</f>
        <v>229190</v>
      </c>
      <c r="K74" s="8" t="e">
        <f>VLOOKUP(J74,[2]Sheet1!$D:$F,3,0)</f>
        <v>#N/A</v>
      </c>
      <c r="L74" s="63" t="e">
        <f t="shared" si="1"/>
        <v>#N/A</v>
      </c>
    </row>
    <row r="75" spans="1:12">
      <c r="A75" s="9">
        <v>101360</v>
      </c>
      <c r="E75" s="9">
        <v>80757467</v>
      </c>
      <c r="F75" s="9" t="s">
        <v>124</v>
      </c>
      <c r="G75" s="62">
        <v>229391</v>
      </c>
      <c r="J75" s="8" t="e">
        <f>VLOOKUP(G75,[1]Sheet1!$B:$L,1,0)</f>
        <v>#N/A</v>
      </c>
      <c r="K75" s="8" t="e">
        <f>VLOOKUP(J75,[2]Sheet1!$D:$F,3,0)</f>
        <v>#N/A</v>
      </c>
      <c r="L75" s="63" t="e">
        <f t="shared" si="1"/>
        <v>#N/A</v>
      </c>
    </row>
    <row r="76" spans="1:12">
      <c r="A76" s="9">
        <v>101361</v>
      </c>
      <c r="E76" s="9">
        <v>80757474</v>
      </c>
      <c r="F76" s="9" t="s">
        <v>125</v>
      </c>
      <c r="G76" s="29">
        <v>229392</v>
      </c>
      <c r="J76" s="8">
        <f>VLOOKUP(G76,[1]Sheet1!$B:$L,1,0)</f>
        <v>229392</v>
      </c>
      <c r="K76" s="8" t="e">
        <f>VLOOKUP(J76,[2]Sheet1!$D:$F,3,0)</f>
        <v>#N/A</v>
      </c>
      <c r="L76" s="63" t="e">
        <f t="shared" si="1"/>
        <v>#N/A</v>
      </c>
    </row>
    <row r="77" spans="1:12">
      <c r="A77" s="9">
        <v>101362</v>
      </c>
      <c r="E77" s="9">
        <v>80757481</v>
      </c>
      <c r="F77" s="9" t="s">
        <v>126</v>
      </c>
      <c r="G77" s="29">
        <v>229393</v>
      </c>
      <c r="J77" s="8">
        <f>VLOOKUP(G77,[1]Sheet1!$B:$L,1,0)</f>
        <v>229393</v>
      </c>
      <c r="K77" s="8" t="e">
        <f>VLOOKUP(J77,[2]Sheet1!$D:$F,3,0)</f>
        <v>#N/A</v>
      </c>
      <c r="L77" s="63" t="e">
        <f t="shared" si="1"/>
        <v>#N/A</v>
      </c>
    </row>
    <row r="78" spans="1:12">
      <c r="A78" s="9">
        <v>1014903</v>
      </c>
      <c r="E78" s="9">
        <v>8429671351266</v>
      </c>
      <c r="F78" s="9" t="s">
        <v>127</v>
      </c>
      <c r="G78" s="29">
        <v>282412</v>
      </c>
      <c r="J78" s="8">
        <f>VLOOKUP(G78,[1]Sheet1!$B:$L,1,0)</f>
        <v>282412</v>
      </c>
      <c r="K78" s="8" t="e">
        <f>VLOOKUP(J78,[2]Sheet1!$D:$F,3,0)</f>
        <v>#N/A</v>
      </c>
      <c r="L78" s="63" t="e">
        <f t="shared" si="1"/>
        <v>#N/A</v>
      </c>
    </row>
    <row r="79" spans="1:12">
      <c r="A79" s="9">
        <v>1016907</v>
      </c>
      <c r="E79" s="9">
        <v>8003440993859</v>
      </c>
      <c r="F79" s="9" t="s">
        <v>128</v>
      </c>
      <c r="G79" s="29">
        <v>293097</v>
      </c>
      <c r="J79" s="8">
        <f>VLOOKUP(G79,[1]Sheet1!$B:$L,1,0)</f>
        <v>293097</v>
      </c>
      <c r="K79" s="8" t="e">
        <f>VLOOKUP(J79,[2]Sheet1!$D:$F,3,0)</f>
        <v>#N/A</v>
      </c>
      <c r="L79" s="63" t="e">
        <f t="shared" si="1"/>
        <v>#N/A</v>
      </c>
    </row>
    <row r="80" spans="1:12">
      <c r="A80" s="9">
        <v>1016908</v>
      </c>
      <c r="E80" s="9">
        <v>8003440993873</v>
      </c>
      <c r="F80" s="9" t="s">
        <v>129</v>
      </c>
      <c r="G80" s="29">
        <v>293098</v>
      </c>
      <c r="J80" s="8">
        <f>VLOOKUP(G80,[1]Sheet1!$B:$L,1,0)</f>
        <v>293098</v>
      </c>
      <c r="K80" s="8" t="e">
        <f>VLOOKUP(J80,[2]Sheet1!$D:$F,3,0)</f>
        <v>#N/A</v>
      </c>
      <c r="L80" s="63" t="e">
        <f t="shared" si="1"/>
        <v>#N/A</v>
      </c>
    </row>
    <row r="81" spans="1:12">
      <c r="A81" s="9">
        <v>1016909</v>
      </c>
      <c r="E81" s="9">
        <v>8003440993897</v>
      </c>
      <c r="F81" s="9" t="s">
        <v>130</v>
      </c>
      <c r="G81" s="29">
        <v>293099</v>
      </c>
      <c r="J81" s="8">
        <f>VLOOKUP(G81,[1]Sheet1!$B:$L,1,0)</f>
        <v>293099</v>
      </c>
      <c r="K81" s="8" t="e">
        <f>VLOOKUP(J81,[2]Sheet1!$D:$F,3,0)</f>
        <v>#N/A</v>
      </c>
      <c r="L81" s="63" t="e">
        <f t="shared" si="1"/>
        <v>#N/A</v>
      </c>
    </row>
    <row r="82" spans="1:12">
      <c r="A82" s="9">
        <v>101931</v>
      </c>
      <c r="E82" s="9">
        <v>8410031132519</v>
      </c>
      <c r="F82" s="9" t="s">
        <v>131</v>
      </c>
      <c r="G82" s="29">
        <v>176201</v>
      </c>
      <c r="J82" s="8">
        <f>VLOOKUP(G82,[1]Sheet1!$B:$L,1,0)</f>
        <v>176201</v>
      </c>
      <c r="K82" s="8" t="e">
        <f>VLOOKUP(J82,[2]Sheet1!$D:$F,3,0)</f>
        <v>#N/A</v>
      </c>
      <c r="L82" s="63" t="e">
        <f t="shared" si="1"/>
        <v>#N/A</v>
      </c>
    </row>
    <row r="83" spans="1:12">
      <c r="A83" s="9">
        <v>101933</v>
      </c>
      <c r="E83" s="9">
        <v>8410031914443</v>
      </c>
      <c r="F83" s="9" t="s">
        <v>132</v>
      </c>
      <c r="G83" s="29">
        <v>176198</v>
      </c>
      <c r="J83" s="8">
        <f>VLOOKUP(G83,[1]Sheet1!$B:$L,1,0)</f>
        <v>176198</v>
      </c>
      <c r="K83" s="8" t="e">
        <f>VLOOKUP(J83,[2]Sheet1!$D:$F,3,0)</f>
        <v>#N/A</v>
      </c>
      <c r="L83" s="63" t="e">
        <f t="shared" si="1"/>
        <v>#N/A</v>
      </c>
    </row>
    <row r="84" spans="1:12">
      <c r="A84" s="9">
        <v>101934</v>
      </c>
      <c r="E84" s="9">
        <v>8410031921007</v>
      </c>
      <c r="F84" s="9" t="s">
        <v>133</v>
      </c>
      <c r="G84" s="88" t="s">
        <v>471</v>
      </c>
      <c r="J84" s="8" t="e">
        <f>VLOOKUP(G84,[1]Sheet1!$B:$L,1,0)</f>
        <v>#N/A</v>
      </c>
      <c r="K84" s="8" t="e">
        <f>VLOOKUP(J84,[2]Sheet1!$D:$F,3,0)</f>
        <v>#N/A</v>
      </c>
      <c r="L84" s="63" t="e">
        <f t="shared" si="1"/>
        <v>#N/A</v>
      </c>
    </row>
    <row r="85" spans="1:12">
      <c r="A85" s="9">
        <v>101935</v>
      </c>
      <c r="E85" s="9">
        <v>8410031920970</v>
      </c>
      <c r="F85" s="9" t="s">
        <v>134</v>
      </c>
      <c r="G85" s="88" t="s">
        <v>471</v>
      </c>
      <c r="J85" s="8" t="e">
        <f>VLOOKUP(G85,[1]Sheet1!$B:$L,1,0)</f>
        <v>#N/A</v>
      </c>
      <c r="K85" s="8" t="e">
        <f>VLOOKUP(J85,[2]Sheet1!$D:$F,3,0)</f>
        <v>#N/A</v>
      </c>
      <c r="L85" s="63" t="e">
        <f t="shared" si="1"/>
        <v>#N/A</v>
      </c>
    </row>
    <row r="86" spans="1:12">
      <c r="A86" s="9">
        <v>101937</v>
      </c>
      <c r="E86" s="9">
        <v>8410031996852</v>
      </c>
      <c r="F86" s="9" t="s">
        <v>135</v>
      </c>
      <c r="G86" s="29">
        <v>176199</v>
      </c>
      <c r="J86" s="8">
        <f>VLOOKUP(G86,[1]Sheet1!$B:$L,1,0)</f>
        <v>176199</v>
      </c>
      <c r="K86" s="8" t="e">
        <f>VLOOKUP(J86,[2]Sheet1!$D:$F,3,0)</f>
        <v>#N/A</v>
      </c>
      <c r="L86" s="63" t="e">
        <f t="shared" si="1"/>
        <v>#N/A</v>
      </c>
    </row>
    <row r="87" spans="1:12">
      <c r="A87" s="9">
        <v>101938</v>
      </c>
      <c r="E87" s="9">
        <v>1000103479887</v>
      </c>
      <c r="F87" s="9" t="s">
        <v>136</v>
      </c>
      <c r="G87" s="88" t="s">
        <v>471</v>
      </c>
      <c r="J87" s="8" t="e">
        <f>VLOOKUP(G87,[1]Sheet1!$B:$L,1,0)</f>
        <v>#N/A</v>
      </c>
      <c r="K87" s="8" t="e">
        <f>VLOOKUP(J87,[2]Sheet1!$D:$F,3,0)</f>
        <v>#N/A</v>
      </c>
      <c r="L87" s="63" t="e">
        <f t="shared" si="1"/>
        <v>#N/A</v>
      </c>
    </row>
    <row r="88" spans="1:12">
      <c r="A88" s="9">
        <v>101939</v>
      </c>
      <c r="E88" s="9">
        <v>8410031122510</v>
      </c>
      <c r="F88" s="9" t="s">
        <v>137</v>
      </c>
      <c r="G88" s="29">
        <v>176200</v>
      </c>
      <c r="J88" s="8">
        <f>VLOOKUP(G88,[1]Sheet1!$B:$L,1,0)</f>
        <v>176200</v>
      </c>
      <c r="K88" s="8" t="e">
        <f>VLOOKUP(J88,[2]Sheet1!$D:$F,3,0)</f>
        <v>#N/A</v>
      </c>
      <c r="L88" s="63" t="e">
        <f t="shared" si="1"/>
        <v>#N/A</v>
      </c>
    </row>
    <row r="89" spans="1:12">
      <c r="A89" s="9">
        <v>101941</v>
      </c>
      <c r="E89" s="9">
        <v>84196842</v>
      </c>
      <c r="F89" s="9" t="s">
        <v>138</v>
      </c>
      <c r="G89" s="29">
        <v>176210</v>
      </c>
      <c r="J89" s="8">
        <f>VLOOKUP(G89,[1]Sheet1!$B:$L,1,0)</f>
        <v>176210</v>
      </c>
      <c r="K89" s="8" t="e">
        <f>VLOOKUP(J89,[2]Sheet1!$D:$F,3,0)</f>
        <v>#N/A</v>
      </c>
      <c r="L89" s="63" t="e">
        <f t="shared" si="1"/>
        <v>#N/A</v>
      </c>
    </row>
    <row r="90" spans="1:12">
      <c r="A90" s="9">
        <v>101942</v>
      </c>
      <c r="E90" s="9">
        <v>8410031936988</v>
      </c>
      <c r="F90" s="9" t="s">
        <v>139</v>
      </c>
      <c r="G90" s="29">
        <v>176205</v>
      </c>
      <c r="J90" s="8">
        <f>VLOOKUP(G90,[1]Sheet1!$B:$L,1,0)</f>
        <v>176205</v>
      </c>
      <c r="K90" s="8" t="e">
        <f>VLOOKUP(J90,[2]Sheet1!$D:$F,3,0)</f>
        <v>#N/A</v>
      </c>
      <c r="L90" s="63" t="e">
        <f t="shared" si="1"/>
        <v>#N/A</v>
      </c>
    </row>
    <row r="91" spans="1:12">
      <c r="A91" s="9">
        <v>101943</v>
      </c>
      <c r="E91" s="9">
        <v>84194107</v>
      </c>
      <c r="F91" s="9" t="s">
        <v>140</v>
      </c>
      <c r="G91" s="29">
        <v>176206</v>
      </c>
      <c r="J91" s="8">
        <f>VLOOKUP(G91,[1]Sheet1!$B:$L,1,0)</f>
        <v>176206</v>
      </c>
      <c r="K91" s="8" t="e">
        <f>VLOOKUP(J91,[2]Sheet1!$D:$F,3,0)</f>
        <v>#N/A</v>
      </c>
      <c r="L91" s="63" t="e">
        <f t="shared" si="1"/>
        <v>#N/A</v>
      </c>
    </row>
    <row r="92" spans="1:12">
      <c r="A92" s="9">
        <v>101945</v>
      </c>
      <c r="E92" s="9">
        <v>8935001723684</v>
      </c>
      <c r="F92" s="9" t="s">
        <v>141</v>
      </c>
      <c r="G92" s="29">
        <v>176207</v>
      </c>
      <c r="J92" s="8">
        <f>VLOOKUP(G92,[1]Sheet1!$B:$L,1,0)</f>
        <v>176207</v>
      </c>
      <c r="K92" s="8" t="e">
        <f>VLOOKUP(J92,[2]Sheet1!$D:$F,3,0)</f>
        <v>#N/A</v>
      </c>
      <c r="L92" s="63" t="e">
        <f t="shared" si="1"/>
        <v>#N/A</v>
      </c>
    </row>
    <row r="93" spans="1:12">
      <c r="A93" s="9">
        <v>101946</v>
      </c>
      <c r="E93" s="9">
        <v>46055460</v>
      </c>
      <c r="F93" s="9" t="s">
        <v>142</v>
      </c>
      <c r="G93" s="29">
        <v>176208</v>
      </c>
      <c r="J93" s="8">
        <f>VLOOKUP(G93,[1]Sheet1!$B:$L,1,0)</f>
        <v>176208</v>
      </c>
      <c r="K93" s="8" t="e">
        <f>VLOOKUP(J93,[2]Sheet1!$D:$F,3,0)</f>
        <v>#N/A</v>
      </c>
      <c r="L93" s="63" t="e">
        <f t="shared" si="1"/>
        <v>#N/A</v>
      </c>
    </row>
    <row r="94" spans="1:12">
      <c r="A94" s="9">
        <v>1020334</v>
      </c>
      <c r="E94" s="9">
        <v>24000101895</v>
      </c>
      <c r="F94" s="9" t="s">
        <v>143</v>
      </c>
      <c r="G94" s="29">
        <v>302679</v>
      </c>
      <c r="J94" s="8">
        <f>VLOOKUP(G94,[1]Sheet1!$B:$L,1,0)</f>
        <v>302679</v>
      </c>
      <c r="K94" s="8" t="e">
        <f>VLOOKUP(J94,[2]Sheet1!$D:$F,3,0)</f>
        <v>#N/A</v>
      </c>
      <c r="L94" s="63" t="e">
        <f t="shared" si="1"/>
        <v>#N/A</v>
      </c>
    </row>
    <row r="95" spans="1:12">
      <c r="A95" s="9">
        <v>102261</v>
      </c>
      <c r="E95" s="9">
        <v>24000012412</v>
      </c>
      <c r="F95" s="9" t="s">
        <v>144</v>
      </c>
      <c r="G95" s="29">
        <v>91575</v>
      </c>
      <c r="J95" s="8">
        <f>VLOOKUP(G95,[1]Sheet1!$B:$L,1,0)</f>
        <v>91575</v>
      </c>
      <c r="K95" s="8" t="e">
        <f>VLOOKUP(J95,[2]Sheet1!$D:$F,3,0)</f>
        <v>#N/A</v>
      </c>
      <c r="L95" s="63" t="e">
        <f t="shared" si="1"/>
        <v>#N/A</v>
      </c>
    </row>
    <row r="96" spans="1:12">
      <c r="A96" s="9">
        <v>102263</v>
      </c>
      <c r="E96" s="9">
        <v>4800024562692</v>
      </c>
      <c r="F96" s="9" t="s">
        <v>145</v>
      </c>
      <c r="G96" s="29">
        <v>91604</v>
      </c>
      <c r="J96" s="8">
        <f>VLOOKUP(G96,[1]Sheet1!$B:$L,1,0)</f>
        <v>91604</v>
      </c>
      <c r="K96" s="8" t="e">
        <f>VLOOKUP(J96,[2]Sheet1!$D:$F,3,0)</f>
        <v>#N/A</v>
      </c>
      <c r="L96" s="63" t="e">
        <f t="shared" si="1"/>
        <v>#N/A</v>
      </c>
    </row>
    <row r="97" spans="1:12">
      <c r="A97" s="9">
        <v>102266</v>
      </c>
      <c r="E97" s="9">
        <v>24000012313</v>
      </c>
      <c r="F97" s="9" t="s">
        <v>146</v>
      </c>
      <c r="G97" s="29">
        <v>91566</v>
      </c>
      <c r="J97" s="8">
        <f>VLOOKUP(G97,[1]Sheet1!$B:$L,1,0)</f>
        <v>91566</v>
      </c>
      <c r="K97" s="8" t="e">
        <f>VLOOKUP(J97,[2]Sheet1!$D:$F,3,0)</f>
        <v>#N/A</v>
      </c>
      <c r="L97" s="63" t="e">
        <f t="shared" si="1"/>
        <v>#N/A</v>
      </c>
    </row>
    <row r="98" spans="1:12">
      <c r="A98" s="9">
        <v>102267</v>
      </c>
      <c r="E98" s="9">
        <v>24000003649</v>
      </c>
      <c r="F98" s="9" t="s">
        <v>147</v>
      </c>
      <c r="G98" s="29">
        <v>91558</v>
      </c>
      <c r="J98" s="8">
        <f>VLOOKUP(G98,[1]Sheet1!$B:$L,1,0)</f>
        <v>91558</v>
      </c>
      <c r="K98" s="8" t="e">
        <f>VLOOKUP(J98,[2]Sheet1!$D:$F,3,0)</f>
        <v>#N/A</v>
      </c>
      <c r="L98" s="63" t="e">
        <f t="shared" si="1"/>
        <v>#N/A</v>
      </c>
    </row>
    <row r="99" spans="1:12">
      <c r="A99" s="9">
        <v>102882</v>
      </c>
      <c r="E99" s="9">
        <v>87108422</v>
      </c>
      <c r="F99" s="9" t="s">
        <v>148</v>
      </c>
      <c r="G99" s="29">
        <v>229397</v>
      </c>
      <c r="J99" s="8">
        <f>VLOOKUP(G99,[1]Sheet1!$B:$L,1,0)</f>
        <v>229397</v>
      </c>
      <c r="K99" s="8" t="e">
        <f>VLOOKUP(J99,[2]Sheet1!$D:$F,3,0)</f>
        <v>#N/A</v>
      </c>
      <c r="L99" s="63" t="e">
        <f t="shared" si="1"/>
        <v>#N/A</v>
      </c>
    </row>
    <row r="100" spans="1:12">
      <c r="A100" s="9">
        <v>102884</v>
      </c>
      <c r="E100" s="9">
        <v>8990800011899</v>
      </c>
      <c r="F100" s="9" t="s">
        <v>149</v>
      </c>
      <c r="G100" s="88" t="s">
        <v>471</v>
      </c>
      <c r="J100" s="8" t="e">
        <f>VLOOKUP(G100,[1]Sheet1!$B:$L,1,0)</f>
        <v>#N/A</v>
      </c>
      <c r="K100" s="8" t="e">
        <f>VLOOKUP(J100,[2]Sheet1!$D:$F,3,0)</f>
        <v>#N/A</v>
      </c>
      <c r="L100" s="63" t="e">
        <f t="shared" si="1"/>
        <v>#N/A</v>
      </c>
    </row>
    <row r="101" spans="1:12">
      <c r="A101" s="9">
        <v>102885</v>
      </c>
      <c r="E101" s="9">
        <v>87108415</v>
      </c>
      <c r="F101" s="9" t="s">
        <v>150</v>
      </c>
      <c r="G101" s="29">
        <v>229396</v>
      </c>
      <c r="J101" s="8">
        <f>VLOOKUP(G101,[1]Sheet1!$B:$L,1,0)</f>
        <v>229396</v>
      </c>
      <c r="K101" s="8" t="e">
        <f>VLOOKUP(J101,[2]Sheet1!$D:$F,3,0)</f>
        <v>#N/A</v>
      </c>
      <c r="L101" s="63" t="e">
        <f t="shared" si="1"/>
        <v>#N/A</v>
      </c>
    </row>
    <row r="102" spans="1:12">
      <c r="A102" s="9">
        <v>102886</v>
      </c>
      <c r="E102" s="9">
        <v>8990800011868</v>
      </c>
      <c r="F102" s="9" t="s">
        <v>151</v>
      </c>
      <c r="G102" s="88" t="s">
        <v>471</v>
      </c>
      <c r="J102" s="8" t="e">
        <f>VLOOKUP(G102,[1]Sheet1!$B:$L,1,0)</f>
        <v>#N/A</v>
      </c>
      <c r="K102" s="8" t="e">
        <f>VLOOKUP(J102,[2]Sheet1!$D:$F,3,0)</f>
        <v>#N/A</v>
      </c>
      <c r="L102" s="63" t="e">
        <f t="shared" si="1"/>
        <v>#N/A</v>
      </c>
    </row>
    <row r="103" spans="1:12">
      <c r="A103" s="9">
        <v>102887</v>
      </c>
      <c r="E103" s="9">
        <v>87108408</v>
      </c>
      <c r="F103" s="9" t="s">
        <v>152</v>
      </c>
      <c r="G103" s="29">
        <v>229395</v>
      </c>
      <c r="J103" s="8">
        <f>VLOOKUP(G103,[1]Sheet1!$B:$L,1,0)</f>
        <v>229395</v>
      </c>
      <c r="K103" s="8" t="e">
        <f>VLOOKUP(J103,[2]Sheet1!$D:$F,3,0)</f>
        <v>#N/A</v>
      </c>
      <c r="L103" s="63" t="e">
        <f t="shared" si="1"/>
        <v>#N/A</v>
      </c>
    </row>
    <row r="104" spans="1:12">
      <c r="A104" s="9">
        <v>102889</v>
      </c>
      <c r="E104" s="9">
        <v>5908227100273</v>
      </c>
      <c r="F104" s="9" t="s">
        <v>153</v>
      </c>
      <c r="G104" s="88" t="s">
        <v>471</v>
      </c>
      <c r="J104" s="8" t="e">
        <f>VLOOKUP(G104,[1]Sheet1!$B:$L,1,0)</f>
        <v>#N/A</v>
      </c>
      <c r="K104" s="8" t="e">
        <f>VLOOKUP(J104,[2]Sheet1!$D:$F,3,0)</f>
        <v>#N/A</v>
      </c>
      <c r="L104" s="63" t="e">
        <f t="shared" si="1"/>
        <v>#N/A</v>
      </c>
    </row>
    <row r="105" spans="1:12">
      <c r="A105" s="9">
        <v>1033540</v>
      </c>
      <c r="E105" s="9">
        <v>24000106470</v>
      </c>
      <c r="F105" s="9" t="s">
        <v>154</v>
      </c>
      <c r="G105" s="29">
        <v>296891</v>
      </c>
      <c r="J105" s="8">
        <f>VLOOKUP(G105,[1]Sheet1!$B:$L,1,0)</f>
        <v>296891</v>
      </c>
      <c r="K105" s="8" t="e">
        <f>VLOOKUP(J105,[2]Sheet1!$D:$F,3,0)</f>
        <v>#N/A</v>
      </c>
      <c r="L105" s="63" t="e">
        <f t="shared" si="1"/>
        <v>#N/A</v>
      </c>
    </row>
    <row r="106" spans="1:12">
      <c r="A106" s="9">
        <v>105104</v>
      </c>
      <c r="E106" s="9">
        <v>80792598</v>
      </c>
      <c r="F106" s="9" t="s">
        <v>155</v>
      </c>
      <c r="G106" s="29">
        <v>138950</v>
      </c>
      <c r="J106" s="8">
        <f>VLOOKUP(G106,[1]Sheet1!$B:$L,1,0)</f>
        <v>138950</v>
      </c>
      <c r="K106" s="8" t="e">
        <f>VLOOKUP(J106,[2]Sheet1!$D:$F,3,0)</f>
        <v>#N/A</v>
      </c>
      <c r="L106" s="63" t="e">
        <f t="shared" si="1"/>
        <v>#N/A</v>
      </c>
    </row>
    <row r="107" spans="1:12">
      <c r="A107" s="9">
        <v>105105</v>
      </c>
      <c r="E107" s="9">
        <v>80945086</v>
      </c>
      <c r="F107" s="9" t="s">
        <v>156</v>
      </c>
      <c r="G107" s="29">
        <v>138948</v>
      </c>
      <c r="J107" s="8">
        <f>VLOOKUP(G107,[1]Sheet1!$B:$L,1,0)</f>
        <v>138948</v>
      </c>
      <c r="K107" s="8" t="e">
        <f>VLOOKUP(J107,[2]Sheet1!$D:$F,3,0)</f>
        <v>#N/A</v>
      </c>
      <c r="L107" s="63" t="e">
        <f t="shared" si="1"/>
        <v>#N/A</v>
      </c>
    </row>
    <row r="108" spans="1:12">
      <c r="A108" s="9">
        <v>105106</v>
      </c>
      <c r="E108" s="9">
        <v>80789222</v>
      </c>
      <c r="F108" s="9" t="s">
        <v>157</v>
      </c>
      <c r="G108" s="29">
        <v>138949</v>
      </c>
      <c r="J108" s="8">
        <f>VLOOKUP(G108,[1]Sheet1!$B:$L,1,0)</f>
        <v>138949</v>
      </c>
      <c r="K108" s="8" t="e">
        <f>VLOOKUP(J108,[2]Sheet1!$D:$F,3,0)</f>
        <v>#N/A</v>
      </c>
      <c r="L108" s="63" t="e">
        <f t="shared" si="1"/>
        <v>#N/A</v>
      </c>
    </row>
    <row r="109" spans="1:12">
      <c r="A109" s="9">
        <v>105107</v>
      </c>
      <c r="E109" s="9">
        <v>8935001706588</v>
      </c>
      <c r="F109" s="9" t="s">
        <v>158</v>
      </c>
      <c r="G109" s="29">
        <v>138937</v>
      </c>
      <c r="J109" s="8">
        <f>VLOOKUP(G109,[1]Sheet1!$B:$L,1,0)</f>
        <v>138937</v>
      </c>
      <c r="K109" s="8" t="e">
        <f>VLOOKUP(J109,[2]Sheet1!$D:$F,3,0)</f>
        <v>#N/A</v>
      </c>
      <c r="L109" s="63" t="e">
        <f t="shared" si="1"/>
        <v>#N/A</v>
      </c>
    </row>
    <row r="110" spans="1:12">
      <c r="A110" s="9">
        <v>105108</v>
      </c>
      <c r="E110" s="9">
        <v>8935001706724</v>
      </c>
      <c r="F110" s="9" t="s">
        <v>159</v>
      </c>
      <c r="G110" s="29">
        <v>138938</v>
      </c>
      <c r="J110" s="8">
        <f>VLOOKUP(G110,[1]Sheet1!$B:$L,1,0)</f>
        <v>138938</v>
      </c>
      <c r="K110" s="8" t="e">
        <f>VLOOKUP(J110,[2]Sheet1!$D:$F,3,0)</f>
        <v>#N/A</v>
      </c>
      <c r="L110" s="63" t="e">
        <f t="shared" si="1"/>
        <v>#N/A</v>
      </c>
    </row>
    <row r="111" spans="1:12">
      <c r="A111" s="9">
        <v>105109</v>
      </c>
      <c r="E111" s="9">
        <v>80759355</v>
      </c>
      <c r="F111" s="9" t="s">
        <v>160</v>
      </c>
      <c r="G111" s="29">
        <v>138942</v>
      </c>
      <c r="J111" s="8">
        <f>VLOOKUP(G111,[1]Sheet1!$B:$L,1,0)</f>
        <v>138942</v>
      </c>
      <c r="K111" s="8" t="e">
        <f>VLOOKUP(J111,[2]Sheet1!$D:$F,3,0)</f>
        <v>#N/A</v>
      </c>
      <c r="L111" s="63" t="e">
        <f t="shared" si="1"/>
        <v>#N/A</v>
      </c>
    </row>
    <row r="112" spans="1:12">
      <c r="A112" s="9">
        <v>105110</v>
      </c>
      <c r="E112" s="9">
        <v>8935001709534</v>
      </c>
      <c r="F112" s="9" t="s">
        <v>161</v>
      </c>
      <c r="G112" s="88" t="s">
        <v>471</v>
      </c>
      <c r="J112" s="8" t="e">
        <f>VLOOKUP(G112,[1]Sheet1!$B:$L,1,0)</f>
        <v>#N/A</v>
      </c>
      <c r="K112" s="8" t="e">
        <f>VLOOKUP(J112,[2]Sheet1!$D:$F,3,0)</f>
        <v>#N/A</v>
      </c>
      <c r="L112" s="63" t="e">
        <f t="shared" si="1"/>
        <v>#N/A</v>
      </c>
    </row>
    <row r="113" spans="1:12">
      <c r="A113" s="9">
        <v>105113</v>
      </c>
      <c r="E113" s="9">
        <v>8990800007793</v>
      </c>
      <c r="F113" s="9" t="s">
        <v>162</v>
      </c>
      <c r="G113" s="29">
        <v>176176</v>
      </c>
      <c r="J113" s="8">
        <f>VLOOKUP(G113,[1]Sheet1!$B:$L,1,0)</f>
        <v>176176</v>
      </c>
      <c r="K113" s="8" t="e">
        <f>VLOOKUP(J113,[2]Sheet1!$D:$F,3,0)</f>
        <v>#N/A</v>
      </c>
      <c r="L113" s="63" t="e">
        <f t="shared" si="1"/>
        <v>#N/A</v>
      </c>
    </row>
    <row r="114" spans="1:12">
      <c r="A114" s="9">
        <v>105114</v>
      </c>
      <c r="E114" s="9">
        <v>8990800007601</v>
      </c>
      <c r="F114" s="9" t="s">
        <v>163</v>
      </c>
      <c r="G114" s="88" t="s">
        <v>471</v>
      </c>
      <c r="J114" s="8" t="e">
        <f>VLOOKUP(G114,[1]Sheet1!$B:$L,1,0)</f>
        <v>#N/A</v>
      </c>
      <c r="K114" s="8" t="e">
        <f>VLOOKUP(J114,[2]Sheet1!$D:$F,3,0)</f>
        <v>#N/A</v>
      </c>
      <c r="L114" s="63" t="e">
        <f t="shared" si="1"/>
        <v>#N/A</v>
      </c>
    </row>
    <row r="115" spans="1:12">
      <c r="A115" s="9">
        <v>105115</v>
      </c>
      <c r="E115" s="9">
        <v>8935001707387</v>
      </c>
      <c r="F115" s="9" t="s">
        <v>164</v>
      </c>
      <c r="G115" s="88" t="s">
        <v>471</v>
      </c>
      <c r="J115" s="8" t="e">
        <f>VLOOKUP(G115,[1]Sheet1!$B:$L,1,0)</f>
        <v>#N/A</v>
      </c>
      <c r="K115" s="8" t="e">
        <f>VLOOKUP(J115,[2]Sheet1!$D:$F,3,0)</f>
        <v>#N/A</v>
      </c>
      <c r="L115" s="63" t="e">
        <f t="shared" si="1"/>
        <v>#N/A</v>
      </c>
    </row>
    <row r="116" spans="1:12">
      <c r="A116" s="9">
        <v>105116</v>
      </c>
      <c r="E116" s="9">
        <v>80756637</v>
      </c>
      <c r="F116" s="9" t="s">
        <v>165</v>
      </c>
      <c r="G116" s="29">
        <v>138945</v>
      </c>
      <c r="J116" s="8">
        <f>VLOOKUP(G116,[1]Sheet1!$B:$L,1,0)</f>
        <v>138945</v>
      </c>
      <c r="K116" s="8" t="e">
        <f>VLOOKUP(J116,[2]Sheet1!$D:$F,3,0)</f>
        <v>#N/A</v>
      </c>
      <c r="L116" s="63" t="e">
        <f t="shared" si="1"/>
        <v>#N/A</v>
      </c>
    </row>
    <row r="117" spans="1:12">
      <c r="A117" s="9">
        <v>105117</v>
      </c>
      <c r="E117" s="9">
        <v>80756613</v>
      </c>
      <c r="F117" s="9" t="s">
        <v>166</v>
      </c>
      <c r="G117" s="29">
        <v>138946</v>
      </c>
      <c r="J117" s="8">
        <f>VLOOKUP(G117,[1]Sheet1!$B:$L,1,0)</f>
        <v>138946</v>
      </c>
      <c r="K117" s="8" t="e">
        <f>VLOOKUP(J117,[2]Sheet1!$D:$F,3,0)</f>
        <v>#N/A</v>
      </c>
      <c r="L117" s="63" t="e">
        <f t="shared" si="1"/>
        <v>#N/A</v>
      </c>
    </row>
    <row r="118" spans="1:12">
      <c r="A118" s="9">
        <v>105118</v>
      </c>
      <c r="E118" s="9">
        <v>8935001707363</v>
      </c>
      <c r="F118" s="9" t="s">
        <v>167</v>
      </c>
      <c r="G118" s="88" t="s">
        <v>471</v>
      </c>
      <c r="J118" s="8" t="e">
        <f>VLOOKUP(G118,[1]Sheet1!$B:$L,1,0)</f>
        <v>#N/A</v>
      </c>
      <c r="K118" s="8" t="e">
        <f>VLOOKUP(J118,[2]Sheet1!$D:$F,3,0)</f>
        <v>#N/A</v>
      </c>
      <c r="L118" s="63" t="e">
        <f t="shared" si="1"/>
        <v>#N/A</v>
      </c>
    </row>
    <row r="119" spans="1:12">
      <c r="A119" s="9">
        <v>105119</v>
      </c>
      <c r="E119" s="9">
        <v>80756620</v>
      </c>
      <c r="F119" s="9" t="s">
        <v>168</v>
      </c>
      <c r="G119" s="29">
        <v>138947</v>
      </c>
      <c r="J119" s="8">
        <f>VLOOKUP(G119,[1]Sheet1!$B:$L,1,0)</f>
        <v>138947</v>
      </c>
      <c r="K119" s="8" t="e">
        <f>VLOOKUP(J119,[2]Sheet1!$D:$F,3,0)</f>
        <v>#N/A</v>
      </c>
      <c r="L119" s="63" t="e">
        <f t="shared" si="1"/>
        <v>#N/A</v>
      </c>
    </row>
    <row r="120" spans="1:12">
      <c r="A120" s="9">
        <v>105120</v>
      </c>
      <c r="E120" s="9">
        <v>80756842</v>
      </c>
      <c r="F120" s="9" t="s">
        <v>169</v>
      </c>
      <c r="G120" s="88" t="s">
        <v>471</v>
      </c>
      <c r="J120" s="8" t="e">
        <f>VLOOKUP(G120,[1]Sheet1!$B:$L,1,0)</f>
        <v>#N/A</v>
      </c>
      <c r="K120" s="8" t="e">
        <f>VLOOKUP(J120,[2]Sheet1!$D:$F,3,0)</f>
        <v>#N/A</v>
      </c>
      <c r="L120" s="63" t="e">
        <f t="shared" si="1"/>
        <v>#N/A</v>
      </c>
    </row>
    <row r="121" spans="1:12">
      <c r="A121" s="9">
        <v>105121</v>
      </c>
      <c r="E121" s="9">
        <v>80756590</v>
      </c>
      <c r="F121" s="9" t="s">
        <v>170</v>
      </c>
      <c r="G121" s="29">
        <v>138940</v>
      </c>
      <c r="J121" s="8">
        <f>VLOOKUP(G121,[1]Sheet1!$B:$L,1,0)</f>
        <v>138940</v>
      </c>
      <c r="K121" s="8" t="e">
        <f>VLOOKUP(J121,[2]Sheet1!$D:$F,3,0)</f>
        <v>#N/A</v>
      </c>
      <c r="L121" s="63" t="e">
        <f t="shared" si="1"/>
        <v>#N/A</v>
      </c>
    </row>
    <row r="122" spans="1:12">
      <c r="A122" s="9">
        <v>105123</v>
      </c>
      <c r="E122" s="9">
        <v>80756606</v>
      </c>
      <c r="F122" s="9" t="s">
        <v>171</v>
      </c>
      <c r="G122" s="29">
        <v>138939</v>
      </c>
      <c r="J122" s="8">
        <f>VLOOKUP(G122,[1]Sheet1!$B:$L,1,0)</f>
        <v>138939</v>
      </c>
      <c r="K122" s="8" t="e">
        <f>VLOOKUP(J122,[2]Sheet1!$D:$F,3,0)</f>
        <v>#N/A</v>
      </c>
      <c r="L122" s="63" t="e">
        <f t="shared" si="1"/>
        <v>#N/A</v>
      </c>
    </row>
    <row r="123" spans="1:12">
      <c r="A123" s="9">
        <v>105124</v>
      </c>
      <c r="E123" s="9">
        <v>8990800000053</v>
      </c>
      <c r="F123" s="9" t="s">
        <v>172</v>
      </c>
      <c r="G123" s="29">
        <v>351380</v>
      </c>
      <c r="J123" s="8">
        <f>VLOOKUP(G123,[1]Sheet1!$B:$L,1,0)</f>
        <v>351380</v>
      </c>
      <c r="K123" s="8" t="e">
        <f>VLOOKUP(J123,[2]Sheet1!$D:$F,3,0)</f>
        <v>#N/A</v>
      </c>
      <c r="L123" s="63" t="e">
        <f t="shared" si="1"/>
        <v>#N/A</v>
      </c>
    </row>
    <row r="124" spans="1:12">
      <c r="A124" s="9">
        <v>105125</v>
      </c>
      <c r="E124" s="9">
        <v>8990800000015</v>
      </c>
      <c r="F124" s="9" t="s">
        <v>173</v>
      </c>
      <c r="G124" s="29">
        <v>351970</v>
      </c>
      <c r="J124" s="8">
        <f>VLOOKUP(G124,[1]Sheet1!$B:$L,1,0)</f>
        <v>351970</v>
      </c>
      <c r="K124" s="8" t="e">
        <f>VLOOKUP(J124,[2]Sheet1!$D:$F,3,0)</f>
        <v>#N/A</v>
      </c>
      <c r="L124" s="63" t="e">
        <f t="shared" si="1"/>
        <v>#N/A</v>
      </c>
    </row>
    <row r="125" spans="1:12">
      <c r="A125" s="9">
        <v>105126</v>
      </c>
      <c r="E125" s="9">
        <v>8990800000176</v>
      </c>
      <c r="F125" s="9" t="s">
        <v>174</v>
      </c>
      <c r="G125" s="29">
        <v>351378</v>
      </c>
      <c r="J125" s="8">
        <f>VLOOKUP(G125,[1]Sheet1!$B:$L,1,0)</f>
        <v>351378</v>
      </c>
      <c r="K125" s="8" t="e">
        <f>VLOOKUP(J125,[2]Sheet1!$D:$F,3,0)</f>
        <v>#N/A</v>
      </c>
      <c r="L125" s="63" t="e">
        <f t="shared" si="1"/>
        <v>#N/A</v>
      </c>
    </row>
    <row r="126" spans="1:12">
      <c r="A126" s="9">
        <v>1055211</v>
      </c>
      <c r="E126" s="9">
        <v>8992741952590</v>
      </c>
      <c r="F126" s="9" t="s">
        <v>175</v>
      </c>
      <c r="G126" s="29">
        <v>308066</v>
      </c>
      <c r="J126" s="8">
        <f>VLOOKUP(G126,[1]Sheet1!$B:$L,1,0)</f>
        <v>308066</v>
      </c>
      <c r="K126" s="8" t="e">
        <f>VLOOKUP(J126,[2]Sheet1!$D:$F,3,0)</f>
        <v>#N/A</v>
      </c>
      <c r="L126" s="63" t="e">
        <f t="shared" si="1"/>
        <v>#N/A</v>
      </c>
    </row>
    <row r="127" spans="1:12">
      <c r="A127" s="9">
        <v>1055213</v>
      </c>
      <c r="E127" s="9">
        <v>8992741952583</v>
      </c>
      <c r="F127" s="9" t="s">
        <v>176</v>
      </c>
      <c r="G127" s="29">
        <v>308067</v>
      </c>
      <c r="J127" s="8">
        <f>VLOOKUP(G127,[1]Sheet1!$B:$L,1,0)</f>
        <v>308067</v>
      </c>
      <c r="K127" s="8" t="e">
        <f>VLOOKUP(J127,[2]Sheet1!$D:$F,3,0)</f>
        <v>#N/A</v>
      </c>
      <c r="L127" s="63" t="e">
        <f t="shared" si="1"/>
        <v>#N/A</v>
      </c>
    </row>
    <row r="128" spans="1:12">
      <c r="A128" s="9">
        <v>1055217</v>
      </c>
      <c r="E128" s="9">
        <v>8992741952613</v>
      </c>
      <c r="F128" s="9" t="s">
        <v>177</v>
      </c>
      <c r="G128" s="29">
        <v>308068</v>
      </c>
      <c r="J128" s="8">
        <f>VLOOKUP(G128,[1]Sheet1!$B:$L,1,0)</f>
        <v>308068</v>
      </c>
      <c r="K128" s="8" t="e">
        <f>VLOOKUP(J128,[2]Sheet1!$D:$F,3,0)</f>
        <v>#N/A</v>
      </c>
      <c r="L128" s="63" t="e">
        <f t="shared" si="1"/>
        <v>#N/A</v>
      </c>
    </row>
    <row r="129" spans="1:12">
      <c r="A129" s="9">
        <v>1055241</v>
      </c>
      <c r="E129" s="9">
        <v>8935001724537</v>
      </c>
      <c r="F129" s="9" t="s">
        <v>178</v>
      </c>
      <c r="G129" s="29">
        <v>309760</v>
      </c>
      <c r="J129" s="8">
        <f>VLOOKUP(G129,[1]Sheet1!$B:$L,1,0)</f>
        <v>309760</v>
      </c>
      <c r="K129" s="8" t="e">
        <f>VLOOKUP(J129,[2]Sheet1!$D:$F,3,0)</f>
        <v>#N/A</v>
      </c>
      <c r="L129" s="63" t="e">
        <f t="shared" si="1"/>
        <v>#N/A</v>
      </c>
    </row>
    <row r="130" spans="1:12">
      <c r="A130" s="9">
        <v>1055242</v>
      </c>
      <c r="E130" s="9">
        <v>8935001724520</v>
      </c>
      <c r="F130" s="9" t="s">
        <v>179</v>
      </c>
      <c r="G130" s="29">
        <v>309771</v>
      </c>
      <c r="J130" s="8">
        <f>VLOOKUP(G130,[1]Sheet1!$B:$L,1,0)</f>
        <v>309771</v>
      </c>
      <c r="K130" s="8" t="e">
        <f>VLOOKUP(J130,[2]Sheet1!$D:$F,3,0)</f>
        <v>#N/A</v>
      </c>
      <c r="L130" s="63" t="e">
        <f t="shared" si="1"/>
        <v>#N/A</v>
      </c>
    </row>
    <row r="131" spans="1:12">
      <c r="A131" s="9">
        <v>1055243</v>
      </c>
      <c r="E131" s="9">
        <v>8935001725015</v>
      </c>
      <c r="F131" s="9" t="s">
        <v>180</v>
      </c>
      <c r="G131" s="29">
        <v>308535</v>
      </c>
      <c r="J131" s="8">
        <f>VLOOKUP(G131,[1]Sheet1!$B:$L,1,0)</f>
        <v>308535</v>
      </c>
      <c r="K131" s="8" t="e">
        <f>VLOOKUP(J131,[2]Sheet1!$D:$F,3,0)</f>
        <v>#N/A</v>
      </c>
      <c r="L131" s="63" t="e">
        <f t="shared" ref="L131:L194" si="2">K131-A131</f>
        <v>#N/A</v>
      </c>
    </row>
    <row r="132" spans="1:12">
      <c r="A132" s="9">
        <v>1055244</v>
      </c>
      <c r="E132" s="9">
        <v>8935001725039</v>
      </c>
      <c r="F132" s="9" t="s">
        <v>181</v>
      </c>
      <c r="G132" s="29">
        <v>308536</v>
      </c>
      <c r="J132" s="8">
        <f>VLOOKUP(G132,[1]Sheet1!$B:$L,1,0)</f>
        <v>308536</v>
      </c>
      <c r="K132" s="8" t="e">
        <f>VLOOKUP(J132,[2]Sheet1!$D:$F,3,0)</f>
        <v>#N/A</v>
      </c>
      <c r="L132" s="63" t="e">
        <f t="shared" si="2"/>
        <v>#N/A</v>
      </c>
    </row>
    <row r="133" spans="1:12">
      <c r="A133" s="9">
        <v>106251</v>
      </c>
      <c r="E133" s="9">
        <v>80723394</v>
      </c>
      <c r="F133" s="9" t="s">
        <v>182</v>
      </c>
      <c r="G133" s="88" t="s">
        <v>471</v>
      </c>
      <c r="H133" s="45" t="s">
        <v>423</v>
      </c>
      <c r="J133" s="8" t="e">
        <f>VLOOKUP(G133,[1]Sheet1!$B:$L,1,0)</f>
        <v>#N/A</v>
      </c>
      <c r="K133" s="8" t="e">
        <f>VLOOKUP(J133,[2]Sheet1!$D:$F,3,0)</f>
        <v>#N/A</v>
      </c>
      <c r="L133" s="63" t="e">
        <f t="shared" si="2"/>
        <v>#N/A</v>
      </c>
    </row>
    <row r="134" spans="1:12">
      <c r="A134" s="9">
        <v>107310</v>
      </c>
      <c r="E134" s="9">
        <v>6419950083454</v>
      </c>
      <c r="F134" s="9" t="s">
        <v>183</v>
      </c>
      <c r="G134" s="88" t="s">
        <v>471</v>
      </c>
      <c r="J134" s="8" t="e">
        <f>VLOOKUP(G134,[1]Sheet1!$B:$L,1,0)</f>
        <v>#N/A</v>
      </c>
      <c r="K134" s="8" t="e">
        <f>VLOOKUP(J134,[2]Sheet1!$D:$F,3,0)</f>
        <v>#N/A</v>
      </c>
      <c r="L134" s="63" t="e">
        <f t="shared" si="2"/>
        <v>#N/A</v>
      </c>
    </row>
    <row r="135" spans="1:12">
      <c r="A135" s="9">
        <v>107358</v>
      </c>
      <c r="E135" s="9">
        <v>8410031937527</v>
      </c>
      <c r="F135" s="9" t="s">
        <v>184</v>
      </c>
      <c r="G135" s="88" t="s">
        <v>471</v>
      </c>
      <c r="J135" s="8" t="e">
        <f>VLOOKUP(G135,[1]Sheet1!$B:$L,1,0)</f>
        <v>#N/A</v>
      </c>
      <c r="K135" s="8" t="e">
        <f>VLOOKUP(J135,[2]Sheet1!$D:$F,3,0)</f>
        <v>#N/A</v>
      </c>
      <c r="L135" s="63" t="e">
        <f t="shared" si="2"/>
        <v>#N/A</v>
      </c>
    </row>
    <row r="136" spans="1:12">
      <c r="A136" s="9">
        <v>107359</v>
      </c>
      <c r="E136" s="9">
        <v>8410031937541</v>
      </c>
      <c r="F136" s="9" t="s">
        <v>185</v>
      </c>
      <c r="G136" s="88" t="s">
        <v>471</v>
      </c>
      <c r="J136" s="8" t="e">
        <f>VLOOKUP(G136,[1]Sheet1!$B:$L,1,0)</f>
        <v>#N/A</v>
      </c>
      <c r="K136" s="8" t="e">
        <f>VLOOKUP(J136,[2]Sheet1!$D:$F,3,0)</f>
        <v>#N/A</v>
      </c>
      <c r="L136" s="63" t="e">
        <f t="shared" si="2"/>
        <v>#N/A</v>
      </c>
    </row>
    <row r="137" spans="1:12">
      <c r="A137" s="9">
        <v>107360</v>
      </c>
      <c r="E137" s="9">
        <v>8410031937503</v>
      </c>
      <c r="F137" s="9" t="s">
        <v>186</v>
      </c>
      <c r="G137" s="88" t="s">
        <v>471</v>
      </c>
      <c r="J137" s="8" t="e">
        <f>VLOOKUP(G137,[1]Sheet1!$B:$L,1,0)</f>
        <v>#N/A</v>
      </c>
      <c r="K137" s="8" t="e">
        <f>VLOOKUP(J137,[2]Sheet1!$D:$F,3,0)</f>
        <v>#N/A</v>
      </c>
      <c r="L137" s="63" t="e">
        <f t="shared" si="2"/>
        <v>#N/A</v>
      </c>
    </row>
    <row r="138" spans="1:12">
      <c r="A138" s="9">
        <v>107361</v>
      </c>
      <c r="E138" s="9">
        <v>84158826</v>
      </c>
      <c r="F138" s="9" t="s">
        <v>187</v>
      </c>
      <c r="G138" s="88" t="s">
        <v>471</v>
      </c>
      <c r="J138" s="8" t="e">
        <f>VLOOKUP(G138,[1]Sheet1!$B:$L,1,0)</f>
        <v>#N/A</v>
      </c>
      <c r="K138" s="8" t="e">
        <f>VLOOKUP(J138,[2]Sheet1!$D:$F,3,0)</f>
        <v>#N/A</v>
      </c>
      <c r="L138" s="63" t="e">
        <f t="shared" si="2"/>
        <v>#N/A</v>
      </c>
    </row>
    <row r="139" spans="1:12">
      <c r="A139" s="9">
        <v>107362</v>
      </c>
      <c r="E139" s="9">
        <v>84197368</v>
      </c>
      <c r="F139" s="9" t="s">
        <v>188</v>
      </c>
      <c r="G139" s="88" t="s">
        <v>471</v>
      </c>
      <c r="J139" s="8" t="e">
        <f>VLOOKUP(G139,[1]Sheet1!$B:$L,1,0)</f>
        <v>#N/A</v>
      </c>
      <c r="K139" s="8" t="e">
        <f>VLOOKUP(J139,[2]Sheet1!$D:$F,3,0)</f>
        <v>#N/A</v>
      </c>
      <c r="L139" s="63" t="e">
        <f t="shared" si="2"/>
        <v>#N/A</v>
      </c>
    </row>
    <row r="140" spans="1:12">
      <c r="A140" s="9">
        <v>107363</v>
      </c>
      <c r="E140" s="9">
        <v>8410031940015</v>
      </c>
      <c r="F140" s="9" t="s">
        <v>189</v>
      </c>
      <c r="G140" s="88" t="s">
        <v>471</v>
      </c>
      <c r="J140" s="8" t="e">
        <f>VLOOKUP(G140,[1]Sheet1!$B:$L,1,0)</f>
        <v>#N/A</v>
      </c>
      <c r="K140" s="8" t="e">
        <f>VLOOKUP(J140,[2]Sheet1!$D:$F,3,0)</f>
        <v>#N/A</v>
      </c>
      <c r="L140" s="63" t="e">
        <f t="shared" si="2"/>
        <v>#N/A</v>
      </c>
    </row>
    <row r="141" spans="1:12">
      <c r="A141" s="9">
        <v>107365</v>
      </c>
      <c r="E141" s="9">
        <v>84155634</v>
      </c>
      <c r="F141" s="9" t="s">
        <v>190</v>
      </c>
      <c r="G141" s="29">
        <v>176188</v>
      </c>
      <c r="J141" s="8">
        <f>VLOOKUP(G141,[1]Sheet1!$B:$L,1,0)</f>
        <v>176188</v>
      </c>
      <c r="K141" s="8" t="e">
        <f>VLOOKUP(J141,[2]Sheet1!$D:$F,3,0)</f>
        <v>#N/A</v>
      </c>
      <c r="L141" s="63" t="e">
        <f t="shared" si="2"/>
        <v>#N/A</v>
      </c>
    </row>
    <row r="142" spans="1:12">
      <c r="A142" s="9">
        <v>107366</v>
      </c>
      <c r="E142" s="9">
        <v>84158833</v>
      </c>
      <c r="F142" s="9" t="s">
        <v>191</v>
      </c>
      <c r="G142" s="29">
        <v>176189</v>
      </c>
      <c r="J142" s="8">
        <f>VLOOKUP(G142,[1]Sheet1!$B:$L,1,0)</f>
        <v>176189</v>
      </c>
      <c r="K142" s="8" t="e">
        <f>VLOOKUP(J142,[2]Sheet1!$D:$F,3,0)</f>
        <v>#N/A</v>
      </c>
      <c r="L142" s="63" t="e">
        <f t="shared" si="2"/>
        <v>#N/A</v>
      </c>
    </row>
    <row r="143" spans="1:12">
      <c r="A143" s="9">
        <v>107369</v>
      </c>
      <c r="E143" s="9">
        <v>84196033</v>
      </c>
      <c r="F143" s="9" t="s">
        <v>192</v>
      </c>
      <c r="G143" s="29">
        <v>176191</v>
      </c>
      <c r="J143" s="8">
        <f>VLOOKUP(G143,[1]Sheet1!$B:$L,1,0)</f>
        <v>176191</v>
      </c>
      <c r="K143" s="8" t="e">
        <f>VLOOKUP(J143,[2]Sheet1!$D:$F,3,0)</f>
        <v>#N/A</v>
      </c>
      <c r="L143" s="63" t="e">
        <f t="shared" si="2"/>
        <v>#N/A</v>
      </c>
    </row>
    <row r="144" spans="1:12">
      <c r="A144" s="9">
        <v>1078757</v>
      </c>
      <c r="E144" s="9">
        <v>8901393020557</v>
      </c>
      <c r="F144" s="9" t="s">
        <v>193</v>
      </c>
      <c r="G144" s="29">
        <v>324336</v>
      </c>
      <c r="J144" s="8">
        <f>VLOOKUP(G144,[1]Sheet1!$B:$L,1,0)</f>
        <v>324336</v>
      </c>
      <c r="K144" s="8" t="e">
        <f>VLOOKUP(J144,[2]Sheet1!$D:$F,3,0)</f>
        <v>#N/A</v>
      </c>
      <c r="L144" s="63" t="e">
        <f t="shared" si="2"/>
        <v>#N/A</v>
      </c>
    </row>
    <row r="145" spans="1:12">
      <c r="A145" s="9">
        <v>1078758</v>
      </c>
      <c r="E145" s="9">
        <v>8935001725572</v>
      </c>
      <c r="F145" s="9" t="s">
        <v>194</v>
      </c>
      <c r="G145" s="29">
        <v>327491</v>
      </c>
      <c r="J145" s="8">
        <f>VLOOKUP(G145,[1]Sheet1!$B:$L,1,0)</f>
        <v>327491</v>
      </c>
      <c r="K145" s="8" t="e">
        <f>VLOOKUP(J145,[2]Sheet1!$D:$F,3,0)</f>
        <v>#N/A</v>
      </c>
      <c r="L145" s="63" t="e">
        <f t="shared" si="2"/>
        <v>#N/A</v>
      </c>
    </row>
    <row r="146" spans="1:12">
      <c r="A146" s="9">
        <v>1092119</v>
      </c>
      <c r="E146" s="9">
        <v>6291106770339</v>
      </c>
      <c r="F146" s="9" t="s">
        <v>195</v>
      </c>
      <c r="G146" s="29"/>
      <c r="J146" s="8" t="e">
        <f>VLOOKUP(G146,[1]Sheet1!$B:$L,1,0)</f>
        <v>#N/A</v>
      </c>
      <c r="K146" s="8" t="e">
        <f>VLOOKUP(J146,[2]Sheet1!$D:$F,3,0)</f>
        <v>#N/A</v>
      </c>
      <c r="L146" s="63" t="e">
        <f t="shared" si="2"/>
        <v>#N/A</v>
      </c>
    </row>
    <row r="147" spans="1:12">
      <c r="A147" s="9">
        <v>1092120</v>
      </c>
      <c r="E147" s="9">
        <v>6291106770421</v>
      </c>
      <c r="F147" s="9" t="s">
        <v>196</v>
      </c>
      <c r="G147" s="29"/>
      <c r="J147" s="8" t="e">
        <f>VLOOKUP(G147,[1]Sheet1!$B:$L,1,0)</f>
        <v>#N/A</v>
      </c>
      <c r="K147" s="8" t="e">
        <f>VLOOKUP(J147,[2]Sheet1!$D:$F,3,0)</f>
        <v>#N/A</v>
      </c>
      <c r="L147" s="63" t="e">
        <f t="shared" si="2"/>
        <v>#N/A</v>
      </c>
    </row>
    <row r="148" spans="1:12">
      <c r="A148" s="9">
        <v>1092121</v>
      </c>
      <c r="E148" s="9">
        <v>6291106770476</v>
      </c>
      <c r="F148" s="9" t="s">
        <v>197</v>
      </c>
      <c r="G148" s="29"/>
      <c r="J148" s="8" t="e">
        <f>VLOOKUP(G148,[1]Sheet1!$B:$L,1,0)</f>
        <v>#N/A</v>
      </c>
      <c r="K148" s="8" t="e">
        <f>VLOOKUP(J148,[2]Sheet1!$D:$F,3,0)</f>
        <v>#N/A</v>
      </c>
      <c r="L148" s="63" t="e">
        <f t="shared" si="2"/>
        <v>#N/A</v>
      </c>
    </row>
    <row r="149" spans="1:12">
      <c r="A149" s="9">
        <v>1102598</v>
      </c>
      <c r="E149" s="9">
        <v>8990800022475</v>
      </c>
      <c r="F149" s="9" t="s">
        <v>198</v>
      </c>
      <c r="G149" s="29">
        <v>310039</v>
      </c>
      <c r="J149" s="8">
        <f>VLOOKUP(G149,[1]Sheet1!$B:$L,1,0)</f>
        <v>310039</v>
      </c>
      <c r="K149" s="8" t="e">
        <f>VLOOKUP(J149,[2]Sheet1!$D:$F,3,0)</f>
        <v>#N/A</v>
      </c>
      <c r="L149" s="63" t="e">
        <f t="shared" si="2"/>
        <v>#N/A</v>
      </c>
    </row>
    <row r="150" spans="1:12">
      <c r="A150" s="9">
        <v>1103444</v>
      </c>
      <c r="E150" s="9">
        <v>24000102342</v>
      </c>
      <c r="F150" s="9" t="s">
        <v>199</v>
      </c>
      <c r="G150" s="88" t="s">
        <v>471</v>
      </c>
      <c r="J150" s="8" t="e">
        <f>VLOOKUP(G150,[1]Sheet1!$B:$L,1,0)</f>
        <v>#N/A</v>
      </c>
      <c r="K150" s="8" t="e">
        <f>VLOOKUP(J150,[2]Sheet1!$D:$F,3,0)</f>
        <v>#N/A</v>
      </c>
      <c r="L150" s="63" t="e">
        <f t="shared" si="2"/>
        <v>#N/A</v>
      </c>
    </row>
    <row r="151" spans="1:12">
      <c r="A151" s="9">
        <v>1103445</v>
      </c>
      <c r="E151" s="9">
        <v>24000214267</v>
      </c>
      <c r="F151" s="9" t="s">
        <v>200</v>
      </c>
      <c r="G151" s="88" t="s">
        <v>471</v>
      </c>
      <c r="J151" s="8" t="e">
        <f>VLOOKUP(G151,[1]Sheet1!$B:$L,1,0)</f>
        <v>#N/A</v>
      </c>
      <c r="K151" s="8" t="e">
        <f>VLOOKUP(J151,[2]Sheet1!$D:$F,3,0)</f>
        <v>#N/A</v>
      </c>
      <c r="L151" s="63" t="e">
        <f t="shared" si="2"/>
        <v>#N/A</v>
      </c>
    </row>
    <row r="152" spans="1:12">
      <c r="A152" s="9">
        <v>1103446</v>
      </c>
      <c r="E152" s="9">
        <v>24000238119</v>
      </c>
      <c r="F152" s="9" t="s">
        <v>201</v>
      </c>
      <c r="G152" s="88" t="s">
        <v>471</v>
      </c>
      <c r="J152" s="8" t="e">
        <f>VLOOKUP(G152,[1]Sheet1!$B:$L,1,0)</f>
        <v>#N/A</v>
      </c>
      <c r="K152" s="8" t="e">
        <f>VLOOKUP(J152,[2]Sheet1!$D:$F,3,0)</f>
        <v>#N/A</v>
      </c>
      <c r="L152" s="63" t="e">
        <f t="shared" si="2"/>
        <v>#N/A</v>
      </c>
    </row>
    <row r="153" spans="1:12">
      <c r="A153" s="9">
        <v>1103447</v>
      </c>
      <c r="E153" s="9">
        <v>24000102311</v>
      </c>
      <c r="F153" s="9" t="s">
        <v>202</v>
      </c>
      <c r="G153" s="88" t="s">
        <v>471</v>
      </c>
      <c r="J153" s="8" t="e">
        <f>VLOOKUP(G153,[1]Sheet1!$B:$L,1,0)</f>
        <v>#N/A</v>
      </c>
      <c r="K153" s="8" t="e">
        <f>VLOOKUP(J153,[2]Sheet1!$D:$F,3,0)</f>
        <v>#N/A</v>
      </c>
      <c r="L153" s="63" t="e">
        <f t="shared" si="2"/>
        <v>#N/A</v>
      </c>
    </row>
    <row r="154" spans="1:12">
      <c r="A154" s="9">
        <v>1107310</v>
      </c>
      <c r="E154" s="9">
        <v>6291106770452</v>
      </c>
      <c r="F154" s="9" t="s">
        <v>203</v>
      </c>
      <c r="G154" s="29"/>
      <c r="J154" s="8" t="e">
        <f>VLOOKUP(G154,[1]Sheet1!$B:$L,1,0)</f>
        <v>#N/A</v>
      </c>
      <c r="K154" s="8" t="e">
        <f>VLOOKUP(J154,[2]Sheet1!$D:$F,3,0)</f>
        <v>#N/A</v>
      </c>
      <c r="L154" s="63" t="e">
        <f t="shared" si="2"/>
        <v>#N/A</v>
      </c>
    </row>
    <row r="155" spans="1:12">
      <c r="A155" s="9">
        <v>1107321</v>
      </c>
      <c r="E155" s="9">
        <v>6291106770414</v>
      </c>
      <c r="F155" s="9" t="s">
        <v>204</v>
      </c>
      <c r="G155" s="29"/>
      <c r="J155" s="8" t="e">
        <f>VLOOKUP(G155,[1]Sheet1!$B:$L,1,0)</f>
        <v>#N/A</v>
      </c>
      <c r="K155" s="8" t="e">
        <f>VLOOKUP(J155,[2]Sheet1!$D:$F,3,0)</f>
        <v>#N/A</v>
      </c>
      <c r="L155" s="63" t="e">
        <f t="shared" si="2"/>
        <v>#N/A</v>
      </c>
    </row>
    <row r="156" spans="1:12">
      <c r="A156" s="9">
        <v>1107322</v>
      </c>
      <c r="E156" s="9">
        <v>6291107147789</v>
      </c>
      <c r="F156" s="9" t="s">
        <v>205</v>
      </c>
      <c r="G156" s="29"/>
      <c r="J156" s="8" t="e">
        <f>VLOOKUP(G156,[1]Sheet1!$B:$L,1,0)</f>
        <v>#N/A</v>
      </c>
      <c r="K156" s="8" t="e">
        <f>VLOOKUP(J156,[2]Sheet1!$D:$F,3,0)</f>
        <v>#N/A</v>
      </c>
      <c r="L156" s="63" t="e">
        <f t="shared" si="2"/>
        <v>#N/A</v>
      </c>
    </row>
    <row r="157" spans="1:12">
      <c r="A157" s="9">
        <v>1107323</v>
      </c>
      <c r="E157" s="9">
        <v>6291107147772</v>
      </c>
      <c r="F157" s="9" t="s">
        <v>206</v>
      </c>
      <c r="G157" s="29"/>
      <c r="J157" s="8" t="e">
        <f>VLOOKUP(G157,[1]Sheet1!$B:$L,1,0)</f>
        <v>#N/A</v>
      </c>
      <c r="K157" s="8" t="e">
        <f>VLOOKUP(J157,[2]Sheet1!$D:$F,3,0)</f>
        <v>#N/A</v>
      </c>
      <c r="L157" s="63" t="e">
        <f t="shared" si="2"/>
        <v>#N/A</v>
      </c>
    </row>
    <row r="158" spans="1:12">
      <c r="A158" s="9">
        <v>1115510</v>
      </c>
      <c r="E158" s="9">
        <v>8992741993340</v>
      </c>
      <c r="F158" s="9" t="s">
        <v>207</v>
      </c>
      <c r="G158" s="29">
        <v>329171</v>
      </c>
      <c r="J158" s="8">
        <f>VLOOKUP(G158,[1]Sheet1!$B:$L,1,0)</f>
        <v>329171</v>
      </c>
      <c r="K158" s="8" t="e">
        <f>VLOOKUP(J158,[2]Sheet1!$D:$F,3,0)</f>
        <v>#N/A</v>
      </c>
      <c r="L158" s="63" t="e">
        <f t="shared" si="2"/>
        <v>#N/A</v>
      </c>
    </row>
    <row r="159" spans="1:12">
      <c r="A159" s="9">
        <v>1115511</v>
      </c>
      <c r="E159" s="9">
        <v>8992741993333</v>
      </c>
      <c r="F159" s="9" t="s">
        <v>208</v>
      </c>
      <c r="G159" s="29">
        <v>329172</v>
      </c>
      <c r="J159" s="8">
        <f>VLOOKUP(G159,[1]Sheet1!$B:$L,1,0)</f>
        <v>329172</v>
      </c>
      <c r="K159" s="8" t="e">
        <f>VLOOKUP(J159,[2]Sheet1!$D:$F,3,0)</f>
        <v>#N/A</v>
      </c>
      <c r="L159" s="63" t="e">
        <f t="shared" si="2"/>
        <v>#N/A</v>
      </c>
    </row>
    <row r="160" spans="1:12">
      <c r="A160" s="9">
        <v>1115512</v>
      </c>
      <c r="E160" s="9">
        <v>8992741994088</v>
      </c>
      <c r="F160" s="9" t="s">
        <v>209</v>
      </c>
      <c r="G160" s="29">
        <v>329173</v>
      </c>
      <c r="J160" s="8">
        <f>VLOOKUP(G160,[1]Sheet1!$B:$L,1,0)</f>
        <v>329173</v>
      </c>
      <c r="K160" s="8" t="e">
        <f>VLOOKUP(J160,[2]Sheet1!$D:$F,3,0)</f>
        <v>#N/A</v>
      </c>
      <c r="L160" s="63" t="e">
        <f t="shared" si="2"/>
        <v>#N/A</v>
      </c>
    </row>
    <row r="161" spans="1:12">
      <c r="A161" s="9">
        <v>1148333</v>
      </c>
      <c r="E161" s="9">
        <v>8990800023939</v>
      </c>
      <c r="F161" s="9" t="s">
        <v>210</v>
      </c>
      <c r="G161" s="29">
        <v>352470</v>
      </c>
      <c r="J161" s="8">
        <f>VLOOKUP(G161,[1]Sheet1!$B:$L,1,0)</f>
        <v>352470</v>
      </c>
      <c r="K161" s="8" t="e">
        <f>VLOOKUP(J161,[2]Sheet1!$D:$F,3,0)</f>
        <v>#N/A</v>
      </c>
      <c r="L161" s="63" t="e">
        <f t="shared" si="2"/>
        <v>#N/A</v>
      </c>
    </row>
    <row r="162" spans="1:12">
      <c r="A162" s="9">
        <v>1152853</v>
      </c>
      <c r="E162" s="9">
        <v>8935001726005</v>
      </c>
      <c r="F162" s="9" t="s">
        <v>211</v>
      </c>
      <c r="G162" s="29">
        <v>353006</v>
      </c>
      <c r="J162" s="8">
        <f>VLOOKUP(G162,[1]Sheet1!$B:$L,1,0)</f>
        <v>353006</v>
      </c>
      <c r="K162" s="8" t="e">
        <f>VLOOKUP(J162,[2]Sheet1!$D:$F,3,0)</f>
        <v>#N/A</v>
      </c>
      <c r="L162" s="63" t="e">
        <f t="shared" si="2"/>
        <v>#N/A</v>
      </c>
    </row>
    <row r="163" spans="1:12">
      <c r="A163" s="9">
        <v>1152854</v>
      </c>
      <c r="E163" s="9">
        <v>8935001726043</v>
      </c>
      <c r="F163" s="9" t="s">
        <v>212</v>
      </c>
      <c r="G163" s="29">
        <v>353007</v>
      </c>
      <c r="J163" s="8">
        <f>VLOOKUP(G163,[1]Sheet1!$B:$L,1,0)</f>
        <v>353007</v>
      </c>
      <c r="K163" s="8" t="e">
        <f>VLOOKUP(J163,[2]Sheet1!$D:$F,3,0)</f>
        <v>#N/A</v>
      </c>
      <c r="L163" s="63" t="e">
        <f t="shared" si="2"/>
        <v>#N/A</v>
      </c>
    </row>
    <row r="164" spans="1:12">
      <c r="A164" s="9">
        <v>1152855</v>
      </c>
      <c r="E164" s="9">
        <v>8935001726029</v>
      </c>
      <c r="F164" s="9" t="s">
        <v>213</v>
      </c>
      <c r="G164" s="29">
        <v>372697</v>
      </c>
      <c r="J164" s="8">
        <f>VLOOKUP(G164,[1]Sheet1!$B:$L,1,0)</f>
        <v>372697</v>
      </c>
      <c r="K164" s="8" t="e">
        <f>VLOOKUP(J164,[2]Sheet1!$D:$F,3,0)</f>
        <v>#N/A</v>
      </c>
      <c r="L164" s="63" t="e">
        <f t="shared" si="2"/>
        <v>#N/A</v>
      </c>
    </row>
    <row r="165" spans="1:12">
      <c r="A165" s="9">
        <v>1164893</v>
      </c>
      <c r="E165" s="9">
        <v>6921211117094</v>
      </c>
      <c r="F165" s="9" t="s">
        <v>214</v>
      </c>
      <c r="G165" s="29">
        <v>371251</v>
      </c>
      <c r="J165" s="8">
        <f>VLOOKUP(G165,[1]Sheet1!$B:$L,1,0)</f>
        <v>371251</v>
      </c>
      <c r="K165" s="8" t="e">
        <f>VLOOKUP(J165,[2]Sheet1!$D:$F,3,0)</f>
        <v>#N/A</v>
      </c>
      <c r="L165" s="63" t="e">
        <f t="shared" si="2"/>
        <v>#N/A</v>
      </c>
    </row>
    <row r="166" spans="1:12">
      <c r="A166" s="9">
        <v>1164895</v>
      </c>
      <c r="E166" s="9">
        <v>6921211118121</v>
      </c>
      <c r="F166" s="9" t="s">
        <v>215</v>
      </c>
      <c r="G166" s="29">
        <v>365134</v>
      </c>
      <c r="J166" s="8">
        <f>VLOOKUP(G166,[1]Sheet1!$B:$L,1,0)</f>
        <v>365134</v>
      </c>
      <c r="K166" s="8" t="e">
        <f>VLOOKUP(J166,[2]Sheet1!$D:$F,3,0)</f>
        <v>#N/A</v>
      </c>
      <c r="L166" s="63" t="e">
        <f t="shared" si="2"/>
        <v>#N/A</v>
      </c>
    </row>
    <row r="167" spans="1:12">
      <c r="A167" s="9">
        <v>1164896</v>
      </c>
      <c r="E167" s="9">
        <v>6921211117025</v>
      </c>
      <c r="F167" s="9" t="s">
        <v>216</v>
      </c>
      <c r="G167" s="29">
        <v>365133</v>
      </c>
      <c r="J167" s="8">
        <f>VLOOKUP(G167,[1]Sheet1!$B:$L,1,0)</f>
        <v>365133</v>
      </c>
      <c r="K167" s="8" t="e">
        <f>VLOOKUP(J167,[2]Sheet1!$D:$F,3,0)</f>
        <v>#N/A</v>
      </c>
      <c r="L167" s="63" t="e">
        <f t="shared" si="2"/>
        <v>#N/A</v>
      </c>
    </row>
    <row r="168" spans="1:12">
      <c r="A168" s="9">
        <v>1195826</v>
      </c>
      <c r="E168" s="9">
        <v>8935001726494</v>
      </c>
      <c r="F168" s="9" t="s">
        <v>217</v>
      </c>
      <c r="G168" s="29">
        <v>351374</v>
      </c>
      <c r="J168" s="8">
        <f>VLOOKUP(G168,[1]Sheet1!$B:$L,1,0)</f>
        <v>351374</v>
      </c>
      <c r="K168" s="8" t="e">
        <f>VLOOKUP(J168,[2]Sheet1!$D:$F,3,0)</f>
        <v>#N/A</v>
      </c>
      <c r="L168" s="63" t="e">
        <f t="shared" si="2"/>
        <v>#N/A</v>
      </c>
    </row>
    <row r="169" spans="1:12">
      <c r="A169" s="9">
        <v>1218988</v>
      </c>
      <c r="E169" s="9">
        <v>1800000015405</v>
      </c>
      <c r="F169" s="9" t="s">
        <v>218</v>
      </c>
      <c r="G169" s="29">
        <v>356743</v>
      </c>
      <c r="J169" s="8">
        <f>VLOOKUP(G169,[1]Sheet1!$B:$L,1,0)</f>
        <v>356743</v>
      </c>
      <c r="K169" s="8" t="e">
        <f>VLOOKUP(J169,[2]Sheet1!$D:$F,3,0)</f>
        <v>#N/A</v>
      </c>
      <c r="L169" s="63" t="e">
        <f t="shared" si="2"/>
        <v>#N/A</v>
      </c>
    </row>
    <row r="170" spans="1:12">
      <c r="A170" s="9">
        <v>1218989</v>
      </c>
      <c r="E170" s="9">
        <v>1800000014804</v>
      </c>
      <c r="F170" s="9" t="s">
        <v>219</v>
      </c>
      <c r="G170" s="29">
        <v>356737</v>
      </c>
      <c r="J170" s="8">
        <f>VLOOKUP(G170,[1]Sheet1!$B:$L,1,0)</f>
        <v>356737</v>
      </c>
      <c r="K170" s="8" t="e">
        <f>VLOOKUP(J170,[2]Sheet1!$D:$F,3,0)</f>
        <v>#N/A</v>
      </c>
      <c r="L170" s="63" t="e">
        <f t="shared" si="2"/>
        <v>#N/A</v>
      </c>
    </row>
    <row r="171" spans="1:12">
      <c r="A171" s="9">
        <v>1218990</v>
      </c>
      <c r="E171" s="9">
        <v>1800000016020</v>
      </c>
      <c r="F171" s="9" t="s">
        <v>220</v>
      </c>
      <c r="G171" s="29">
        <v>356748</v>
      </c>
      <c r="J171" s="8">
        <f>VLOOKUP(G171,[1]Sheet1!$B:$L,1,0)</f>
        <v>356748</v>
      </c>
      <c r="K171" s="8" t="e">
        <f>VLOOKUP(J171,[2]Sheet1!$D:$F,3,0)</f>
        <v>#N/A</v>
      </c>
      <c r="L171" s="63" t="e">
        <f t="shared" si="2"/>
        <v>#N/A</v>
      </c>
    </row>
    <row r="172" spans="1:12">
      <c r="A172" s="9">
        <v>1218991</v>
      </c>
      <c r="E172" s="9">
        <v>1800000015306</v>
      </c>
      <c r="F172" s="9" t="s">
        <v>221</v>
      </c>
      <c r="G172" s="29">
        <v>356742</v>
      </c>
      <c r="J172" s="8">
        <f>VLOOKUP(G172,[1]Sheet1!$B:$L,1,0)</f>
        <v>356742</v>
      </c>
      <c r="K172" s="8" t="e">
        <f>VLOOKUP(J172,[2]Sheet1!$D:$F,3,0)</f>
        <v>#N/A</v>
      </c>
      <c r="L172" s="63" t="e">
        <f t="shared" si="2"/>
        <v>#N/A</v>
      </c>
    </row>
    <row r="173" spans="1:12">
      <c r="A173" s="9">
        <v>1218992</v>
      </c>
      <c r="E173" s="9">
        <v>1800000015009</v>
      </c>
      <c r="F173" s="9" t="s">
        <v>222</v>
      </c>
      <c r="G173" s="29">
        <v>356739</v>
      </c>
      <c r="J173" s="8">
        <f>VLOOKUP(G173,[1]Sheet1!$B:$L,1,0)</f>
        <v>356739</v>
      </c>
      <c r="K173" s="8" t="e">
        <f>VLOOKUP(J173,[2]Sheet1!$D:$F,3,0)</f>
        <v>#N/A</v>
      </c>
      <c r="L173" s="63" t="e">
        <f t="shared" si="2"/>
        <v>#N/A</v>
      </c>
    </row>
    <row r="174" spans="1:12">
      <c r="A174" s="9">
        <v>1218993</v>
      </c>
      <c r="E174" s="9">
        <v>1800000015900</v>
      </c>
      <c r="F174" s="9" t="s">
        <v>223</v>
      </c>
      <c r="G174" s="29">
        <v>356749</v>
      </c>
      <c r="J174" s="8">
        <f>VLOOKUP(G174,[1]Sheet1!$B:$L,1,0)</f>
        <v>356749</v>
      </c>
      <c r="K174" s="8" t="e">
        <f>VLOOKUP(J174,[2]Sheet1!$D:$F,3,0)</f>
        <v>#N/A</v>
      </c>
      <c r="L174" s="63" t="e">
        <f t="shared" si="2"/>
        <v>#N/A</v>
      </c>
    </row>
    <row r="175" spans="1:12">
      <c r="A175" s="9">
        <v>1218994</v>
      </c>
      <c r="E175" s="9">
        <v>24000109815</v>
      </c>
      <c r="F175" s="9" t="s">
        <v>224</v>
      </c>
      <c r="G175" s="29">
        <v>341283</v>
      </c>
      <c r="J175" s="8">
        <f>VLOOKUP(G175,[1]Sheet1!$B:$L,1,0)</f>
        <v>341283</v>
      </c>
      <c r="K175" s="8" t="e">
        <f>VLOOKUP(J175,[2]Sheet1!$D:$F,3,0)</f>
        <v>#N/A</v>
      </c>
      <c r="L175" s="63" t="e">
        <f t="shared" si="2"/>
        <v>#N/A</v>
      </c>
    </row>
    <row r="176" spans="1:12">
      <c r="A176" s="9">
        <v>1218995</v>
      </c>
      <c r="E176" s="9">
        <v>24000109785</v>
      </c>
      <c r="F176" s="9" t="s">
        <v>225</v>
      </c>
      <c r="G176" s="29">
        <v>341280</v>
      </c>
      <c r="J176" s="8">
        <f>VLOOKUP(G176,[1]Sheet1!$B:$L,1,0)</f>
        <v>341280</v>
      </c>
      <c r="K176" s="8" t="e">
        <f>VLOOKUP(J176,[2]Sheet1!$D:$F,3,0)</f>
        <v>#N/A</v>
      </c>
      <c r="L176" s="63" t="e">
        <f t="shared" si="2"/>
        <v>#N/A</v>
      </c>
    </row>
    <row r="177" spans="1:12">
      <c r="A177" s="9">
        <v>1218996</v>
      </c>
      <c r="E177" s="9">
        <v>24000109808</v>
      </c>
      <c r="F177" s="9" t="s">
        <v>226</v>
      </c>
      <c r="G177" s="29">
        <v>341282</v>
      </c>
      <c r="J177" s="8">
        <f>VLOOKUP(G177,[1]Sheet1!$B:$L,1,0)</f>
        <v>341282</v>
      </c>
      <c r="K177" s="8" t="e">
        <f>VLOOKUP(J177,[2]Sheet1!$D:$F,3,0)</f>
        <v>#N/A</v>
      </c>
      <c r="L177" s="63" t="e">
        <f t="shared" si="2"/>
        <v>#N/A</v>
      </c>
    </row>
    <row r="178" spans="1:12">
      <c r="A178" s="9">
        <v>1218997</v>
      </c>
      <c r="E178" s="9">
        <v>24000109822</v>
      </c>
      <c r="F178" s="9" t="s">
        <v>227</v>
      </c>
      <c r="G178" s="29">
        <v>341279</v>
      </c>
      <c r="J178" s="8">
        <f>VLOOKUP(G178,[1]Sheet1!$B:$L,1,0)</f>
        <v>341279</v>
      </c>
      <c r="K178" s="8" t="e">
        <f>VLOOKUP(J178,[2]Sheet1!$D:$F,3,0)</f>
        <v>#N/A</v>
      </c>
      <c r="L178" s="63" t="e">
        <f t="shared" si="2"/>
        <v>#N/A</v>
      </c>
    </row>
    <row r="179" spans="1:12">
      <c r="A179" s="9">
        <v>1218998</v>
      </c>
      <c r="E179" s="9">
        <v>24000109792</v>
      </c>
      <c r="F179" s="9" t="s">
        <v>228</v>
      </c>
      <c r="G179" s="29">
        <v>341281</v>
      </c>
      <c r="J179" s="8">
        <f>VLOOKUP(G179,[1]Sheet1!$B:$L,1,0)</f>
        <v>341281</v>
      </c>
      <c r="K179" s="8" t="e">
        <f>VLOOKUP(J179,[2]Sheet1!$D:$F,3,0)</f>
        <v>#N/A</v>
      </c>
      <c r="L179" s="63" t="e">
        <f t="shared" si="2"/>
        <v>#N/A</v>
      </c>
    </row>
    <row r="180" spans="1:12">
      <c r="A180" s="9">
        <v>1219424</v>
      </c>
      <c r="E180" s="9">
        <v>1800000015504</v>
      </c>
      <c r="F180" s="9" t="s">
        <v>229</v>
      </c>
      <c r="G180" s="29">
        <v>356745</v>
      </c>
      <c r="J180" s="8">
        <f>VLOOKUP(G180,[1]Sheet1!$B:$L,1,0)</f>
        <v>356745</v>
      </c>
      <c r="K180" s="8" t="e">
        <f>VLOOKUP(J180,[2]Sheet1!$D:$F,3,0)</f>
        <v>#N/A</v>
      </c>
      <c r="L180" s="63" t="e">
        <f t="shared" si="2"/>
        <v>#N/A</v>
      </c>
    </row>
    <row r="181" spans="1:12">
      <c r="A181" s="9">
        <v>1282411</v>
      </c>
      <c r="E181" s="9">
        <v>8901393025804</v>
      </c>
      <c r="F181" s="9" t="s">
        <v>230</v>
      </c>
      <c r="G181" s="29">
        <v>372698</v>
      </c>
      <c r="J181" s="8">
        <f>VLOOKUP(G181,[1]Sheet1!$B:$L,1,0)</f>
        <v>372698</v>
      </c>
      <c r="K181" s="8" t="e">
        <f>VLOOKUP(J181,[2]Sheet1!$D:$F,3,0)</f>
        <v>#N/A</v>
      </c>
      <c r="L181" s="63" t="e">
        <f t="shared" si="2"/>
        <v>#N/A</v>
      </c>
    </row>
    <row r="182" spans="1:12">
      <c r="A182" s="9">
        <v>1296592</v>
      </c>
      <c r="E182" s="9">
        <v>8901393025798</v>
      </c>
      <c r="F182" s="9" t="s">
        <v>231</v>
      </c>
      <c r="G182" s="29">
        <v>372699</v>
      </c>
      <c r="J182" s="8">
        <f>VLOOKUP(G182,[1]Sheet1!$B:$L,1,0)</f>
        <v>372699</v>
      </c>
      <c r="K182" s="8" t="e">
        <f>VLOOKUP(J182,[2]Sheet1!$D:$F,3,0)</f>
        <v>#N/A</v>
      </c>
      <c r="L182" s="63" t="e">
        <f t="shared" si="2"/>
        <v>#N/A</v>
      </c>
    </row>
    <row r="183" spans="1:12">
      <c r="A183" s="9">
        <v>1299133</v>
      </c>
      <c r="E183" s="9">
        <v>8720865190549</v>
      </c>
      <c r="F183" s="9" t="s">
        <v>232</v>
      </c>
      <c r="G183" s="29">
        <v>372600</v>
      </c>
      <c r="J183" s="8">
        <f>VLOOKUP(G183,[1]Sheet1!$B:$L,1,0)</f>
        <v>372600</v>
      </c>
      <c r="K183" s="8" t="e">
        <f>VLOOKUP(J183,[2]Sheet1!$D:$F,3,0)</f>
        <v>#N/A</v>
      </c>
      <c r="L183" s="63" t="e">
        <f t="shared" si="2"/>
        <v>#N/A</v>
      </c>
    </row>
    <row r="184" spans="1:12">
      <c r="A184" s="9">
        <v>1299134</v>
      </c>
      <c r="E184" s="9">
        <v>8720865190587</v>
      </c>
      <c r="F184" s="9" t="s">
        <v>233</v>
      </c>
      <c r="G184" s="29">
        <v>372605</v>
      </c>
      <c r="J184" s="8">
        <f>VLOOKUP(G184,[1]Sheet1!$B:$L,1,0)</f>
        <v>372605</v>
      </c>
      <c r="K184" s="8" t="e">
        <f>VLOOKUP(J184,[2]Sheet1!$D:$F,3,0)</f>
        <v>#N/A</v>
      </c>
      <c r="L184" s="63" t="e">
        <f t="shared" si="2"/>
        <v>#N/A</v>
      </c>
    </row>
    <row r="185" spans="1:12">
      <c r="A185" s="9">
        <v>1299135</v>
      </c>
      <c r="E185" s="9">
        <v>8720865190525</v>
      </c>
      <c r="F185" s="9" t="s">
        <v>234</v>
      </c>
      <c r="G185" s="29">
        <v>377203</v>
      </c>
      <c r="J185" s="8">
        <f>VLOOKUP(G185,[1]Sheet1!$B:$L,1,0)</f>
        <v>377203</v>
      </c>
      <c r="K185" s="8" t="e">
        <f>VLOOKUP(J185,[2]Sheet1!$D:$F,3,0)</f>
        <v>#N/A</v>
      </c>
      <c r="L185" s="63" t="e">
        <f t="shared" si="2"/>
        <v>#N/A</v>
      </c>
    </row>
    <row r="186" spans="1:12">
      <c r="A186" s="9">
        <v>1299136</v>
      </c>
      <c r="E186" s="9">
        <v>8720865190648</v>
      </c>
      <c r="F186" s="9" t="s">
        <v>235</v>
      </c>
      <c r="G186" s="29">
        <v>372604</v>
      </c>
      <c r="J186" s="8">
        <f>VLOOKUP(G186,[1]Sheet1!$B:$L,1,0)</f>
        <v>372604</v>
      </c>
      <c r="K186" s="8" t="e">
        <f>VLOOKUP(J186,[2]Sheet1!$D:$F,3,0)</f>
        <v>#N/A</v>
      </c>
      <c r="L186" s="63" t="e">
        <f t="shared" si="2"/>
        <v>#N/A</v>
      </c>
    </row>
    <row r="187" spans="1:12">
      <c r="A187" s="9">
        <v>1299137</v>
      </c>
      <c r="E187" s="9">
        <v>8720865190624</v>
      </c>
      <c r="F187" s="9" t="s">
        <v>236</v>
      </c>
      <c r="G187" s="29">
        <v>377204</v>
      </c>
      <c r="J187" s="8">
        <f>VLOOKUP(G187,[1]Sheet1!$B:$L,1,0)</f>
        <v>377204</v>
      </c>
      <c r="K187" s="8" t="e">
        <f>VLOOKUP(J187,[2]Sheet1!$D:$F,3,0)</f>
        <v>#N/A</v>
      </c>
      <c r="L187" s="63" t="e">
        <f t="shared" si="2"/>
        <v>#N/A</v>
      </c>
    </row>
    <row r="188" spans="1:12">
      <c r="A188" s="9">
        <v>1299138</v>
      </c>
      <c r="E188" s="9">
        <v>8720865190600</v>
      </c>
      <c r="F188" s="9" t="s">
        <v>237</v>
      </c>
      <c r="G188" s="29">
        <v>372603</v>
      </c>
      <c r="J188" s="8">
        <f>VLOOKUP(G188,[1]Sheet1!$B:$L,1,0)</f>
        <v>372603</v>
      </c>
      <c r="K188" s="8" t="e">
        <f>VLOOKUP(J188,[2]Sheet1!$D:$F,3,0)</f>
        <v>#N/A</v>
      </c>
      <c r="L188" s="63" t="e">
        <f t="shared" si="2"/>
        <v>#N/A</v>
      </c>
    </row>
    <row r="189" spans="1:12">
      <c r="A189" s="9">
        <v>152080</v>
      </c>
      <c r="E189" s="9">
        <v>8429671350054</v>
      </c>
      <c r="F189" s="9" t="s">
        <v>238</v>
      </c>
      <c r="G189" s="29">
        <v>106958</v>
      </c>
      <c r="J189" s="8">
        <f>VLOOKUP(G189,[1]Sheet1!$B:$L,1,0)</f>
        <v>106958</v>
      </c>
      <c r="K189" s="8" t="e">
        <f>VLOOKUP(J189,[2]Sheet1!$D:$F,3,0)</f>
        <v>#N/A</v>
      </c>
      <c r="L189" s="63" t="e">
        <f t="shared" si="2"/>
        <v>#N/A</v>
      </c>
    </row>
    <row r="190" spans="1:12">
      <c r="A190" s="9">
        <v>152081</v>
      </c>
      <c r="E190" s="9">
        <v>8429671350061</v>
      </c>
      <c r="F190" s="9" t="s">
        <v>239</v>
      </c>
      <c r="G190" s="29">
        <v>91275</v>
      </c>
      <c r="J190" s="8">
        <f>VLOOKUP(G190,[1]Sheet1!$B:$L,1,0)</f>
        <v>91275</v>
      </c>
      <c r="K190" s="8" t="e">
        <f>VLOOKUP(J190,[2]Sheet1!$D:$F,3,0)</f>
        <v>#N/A</v>
      </c>
      <c r="L190" s="63" t="e">
        <f t="shared" si="2"/>
        <v>#N/A</v>
      </c>
    </row>
    <row r="191" spans="1:12">
      <c r="A191" s="9">
        <v>168720</v>
      </c>
      <c r="E191" s="9">
        <v>24000008934</v>
      </c>
      <c r="F191" s="9" t="s">
        <v>240</v>
      </c>
      <c r="G191" s="29">
        <v>91570</v>
      </c>
      <c r="J191" s="8">
        <f>VLOOKUP(G191,[1]Sheet1!$B:$L,1,0)</f>
        <v>91570</v>
      </c>
      <c r="K191" s="8" t="e">
        <f>VLOOKUP(J191,[2]Sheet1!$D:$F,3,0)</f>
        <v>#N/A</v>
      </c>
      <c r="L191" s="63" t="e">
        <f t="shared" si="2"/>
        <v>#N/A</v>
      </c>
    </row>
    <row r="192" spans="1:12">
      <c r="A192" s="9">
        <v>185709</v>
      </c>
      <c r="E192" s="9">
        <v>24000012306</v>
      </c>
      <c r="F192" s="9" t="s">
        <v>241</v>
      </c>
      <c r="G192" s="29">
        <v>91568</v>
      </c>
      <c r="J192" s="8">
        <f>VLOOKUP(G192,[1]Sheet1!$B:$L,1,0)</f>
        <v>91568</v>
      </c>
      <c r="K192" s="8" t="e">
        <f>VLOOKUP(J192,[2]Sheet1!$D:$F,3,0)</f>
        <v>#N/A</v>
      </c>
      <c r="L192" s="63" t="e">
        <f t="shared" si="2"/>
        <v>#N/A</v>
      </c>
    </row>
    <row r="193" spans="1:12">
      <c r="A193" s="9">
        <v>185713</v>
      </c>
      <c r="E193" s="9">
        <v>24000011477</v>
      </c>
      <c r="F193" s="9" t="s">
        <v>242</v>
      </c>
      <c r="G193" s="29">
        <v>91538</v>
      </c>
      <c r="J193" s="8">
        <f>VLOOKUP(G193,[1]Sheet1!$B:$L,1,0)</f>
        <v>91538</v>
      </c>
      <c r="K193" s="8" t="e">
        <f>VLOOKUP(J193,[2]Sheet1!$D:$F,3,0)</f>
        <v>#N/A</v>
      </c>
      <c r="L193" s="63" t="e">
        <f t="shared" si="2"/>
        <v>#N/A</v>
      </c>
    </row>
    <row r="194" spans="1:12">
      <c r="A194" s="9">
        <v>185714</v>
      </c>
      <c r="E194" s="9">
        <v>24000024675</v>
      </c>
      <c r="F194" s="9" t="s">
        <v>243</v>
      </c>
      <c r="G194" s="29">
        <v>91531</v>
      </c>
      <c r="J194" s="8">
        <f>VLOOKUP(G194,[1]Sheet1!$B:$L,1,0)</f>
        <v>91531</v>
      </c>
      <c r="K194" s="8" t="e">
        <f>VLOOKUP(J194,[2]Sheet1!$D:$F,3,0)</f>
        <v>#N/A</v>
      </c>
      <c r="L194" s="63" t="e">
        <f t="shared" si="2"/>
        <v>#N/A</v>
      </c>
    </row>
    <row r="195" spans="1:12">
      <c r="A195" s="9">
        <v>185715</v>
      </c>
      <c r="E195" s="9">
        <v>24000010920</v>
      </c>
      <c r="F195" s="9" t="s">
        <v>244</v>
      </c>
      <c r="G195" s="29">
        <v>91535</v>
      </c>
      <c r="J195" s="8">
        <f>VLOOKUP(G195,[1]Sheet1!$B:$L,1,0)</f>
        <v>91535</v>
      </c>
      <c r="K195" s="8" t="e">
        <f>VLOOKUP(J195,[2]Sheet1!$D:$F,3,0)</f>
        <v>#N/A</v>
      </c>
      <c r="L195" s="63" t="e">
        <f t="shared" ref="L195:L258" si="3">K195-A195</f>
        <v>#N/A</v>
      </c>
    </row>
    <row r="196" spans="1:12">
      <c r="A196" s="9">
        <v>185719</v>
      </c>
      <c r="E196" s="9">
        <v>24000025528</v>
      </c>
      <c r="F196" s="9" t="s">
        <v>245</v>
      </c>
      <c r="G196" s="29">
        <v>91552</v>
      </c>
      <c r="J196" s="8">
        <f>VLOOKUP(G196,[1]Sheet1!$B:$L,1,0)</f>
        <v>91552</v>
      </c>
      <c r="K196" s="8" t="e">
        <f>VLOOKUP(J196,[2]Sheet1!$D:$F,3,0)</f>
        <v>#N/A</v>
      </c>
      <c r="L196" s="63" t="e">
        <f t="shared" si="3"/>
        <v>#N/A</v>
      </c>
    </row>
    <row r="197" spans="1:12">
      <c r="A197" s="9">
        <v>185720</v>
      </c>
      <c r="E197" s="9">
        <v>24000104582</v>
      </c>
      <c r="F197" s="9" t="s">
        <v>246</v>
      </c>
      <c r="G197" s="29">
        <v>91599</v>
      </c>
      <c r="J197" s="8">
        <f>VLOOKUP(G197,[1]Sheet1!$B:$L,1,0)</f>
        <v>91599</v>
      </c>
      <c r="K197" s="8" t="e">
        <f>VLOOKUP(J197,[2]Sheet1!$D:$F,3,0)</f>
        <v>#N/A</v>
      </c>
      <c r="L197" s="63" t="e">
        <f t="shared" si="3"/>
        <v>#N/A</v>
      </c>
    </row>
    <row r="198" spans="1:12">
      <c r="A198" s="9">
        <v>185721</v>
      </c>
      <c r="E198" s="9">
        <v>24000111092</v>
      </c>
      <c r="F198" s="9" t="s">
        <v>247</v>
      </c>
      <c r="G198" s="29">
        <v>91589</v>
      </c>
      <c r="J198" s="8">
        <f>VLOOKUP(G198,[1]Sheet1!$B:$L,1,0)</f>
        <v>91589</v>
      </c>
      <c r="K198" s="8" t="e">
        <f>VLOOKUP(J198,[2]Sheet1!$D:$F,3,0)</f>
        <v>#N/A</v>
      </c>
      <c r="L198" s="63" t="e">
        <f t="shared" si="3"/>
        <v>#N/A</v>
      </c>
    </row>
    <row r="199" spans="1:12">
      <c r="A199" s="9">
        <v>185722</v>
      </c>
      <c r="E199" s="9">
        <v>24000111085</v>
      </c>
      <c r="F199" s="9" t="s">
        <v>248</v>
      </c>
      <c r="G199" s="29">
        <v>91584</v>
      </c>
      <c r="H199" s="46" t="s">
        <v>422</v>
      </c>
      <c r="J199" s="8">
        <f>VLOOKUP(G199,[1]Sheet1!$B:$L,1,0)</f>
        <v>91584</v>
      </c>
      <c r="K199" s="8" t="e">
        <f>VLOOKUP(J199,[2]Sheet1!$D:$F,3,0)</f>
        <v>#N/A</v>
      </c>
      <c r="L199" s="63" t="e">
        <f t="shared" si="3"/>
        <v>#N/A</v>
      </c>
    </row>
    <row r="200" spans="1:12">
      <c r="A200" s="9">
        <v>185723</v>
      </c>
      <c r="E200" s="9">
        <v>24000111078</v>
      </c>
      <c r="F200" s="9" t="s">
        <v>249</v>
      </c>
      <c r="G200" s="29">
        <v>91579</v>
      </c>
      <c r="J200" s="8">
        <f>VLOOKUP(G200,[1]Sheet1!$B:$L,1,0)</f>
        <v>91579</v>
      </c>
      <c r="K200" s="8" t="e">
        <f>VLOOKUP(J200,[2]Sheet1!$D:$F,3,0)</f>
        <v>#N/A</v>
      </c>
      <c r="L200" s="63" t="e">
        <f t="shared" si="3"/>
        <v>#N/A</v>
      </c>
    </row>
    <row r="201" spans="1:12">
      <c r="A201" s="9">
        <v>185726</v>
      </c>
      <c r="E201" s="9">
        <v>24000111108</v>
      </c>
      <c r="F201" s="9" t="s">
        <v>250</v>
      </c>
      <c r="G201" s="29">
        <v>91592</v>
      </c>
      <c r="H201" s="45" t="s">
        <v>422</v>
      </c>
      <c r="J201" s="8">
        <f>VLOOKUP(G201,[1]Sheet1!$B:$L,1,0)</f>
        <v>91592</v>
      </c>
      <c r="K201" s="8" t="e">
        <f>VLOOKUP(J201,[2]Sheet1!$D:$F,3,0)</f>
        <v>#N/A</v>
      </c>
      <c r="L201" s="63" t="e">
        <f t="shared" si="3"/>
        <v>#N/A</v>
      </c>
    </row>
    <row r="202" spans="1:12">
      <c r="A202" s="9">
        <v>185728</v>
      </c>
      <c r="E202" s="9">
        <v>24000175056</v>
      </c>
      <c r="F202" s="9" t="s">
        <v>251</v>
      </c>
      <c r="G202" s="29">
        <v>91597</v>
      </c>
      <c r="J202" s="8">
        <f>VLOOKUP(G202,[1]Sheet1!$B:$L,1,0)</f>
        <v>91597</v>
      </c>
      <c r="K202" s="8" t="e">
        <f>VLOOKUP(J202,[2]Sheet1!$D:$F,3,0)</f>
        <v>#N/A</v>
      </c>
      <c r="L202" s="63" t="e">
        <f t="shared" si="3"/>
        <v>#N/A</v>
      </c>
    </row>
    <row r="203" spans="1:12">
      <c r="A203" s="9">
        <v>185736</v>
      </c>
      <c r="E203" s="9">
        <v>24000156000</v>
      </c>
      <c r="F203" s="9" t="s">
        <v>252</v>
      </c>
      <c r="G203" s="29">
        <v>159750</v>
      </c>
      <c r="J203" s="8">
        <f>VLOOKUP(G203,[1]Sheet1!$B:$L,1,0)</f>
        <v>159750</v>
      </c>
      <c r="K203" s="8" t="e">
        <f>VLOOKUP(J203,[2]Sheet1!$D:$F,3,0)</f>
        <v>#N/A</v>
      </c>
      <c r="L203" s="63" t="e">
        <f t="shared" si="3"/>
        <v>#N/A</v>
      </c>
    </row>
    <row r="204" spans="1:12">
      <c r="A204" s="9">
        <v>185737</v>
      </c>
      <c r="E204" s="9">
        <v>24000155997</v>
      </c>
      <c r="F204" s="9" t="s">
        <v>253</v>
      </c>
      <c r="G204" s="29">
        <v>159749</v>
      </c>
      <c r="J204" s="8">
        <f>VLOOKUP(G204,[1]Sheet1!$B:$L,1,0)</f>
        <v>159749</v>
      </c>
      <c r="K204" s="8" t="e">
        <f>VLOOKUP(J204,[2]Sheet1!$D:$F,3,0)</f>
        <v>#N/A</v>
      </c>
      <c r="L204" s="63" t="e">
        <f t="shared" si="3"/>
        <v>#N/A</v>
      </c>
    </row>
    <row r="205" spans="1:12">
      <c r="A205" s="9">
        <v>185738</v>
      </c>
      <c r="E205" s="9">
        <v>24000143635</v>
      </c>
      <c r="F205" s="9" t="s">
        <v>254</v>
      </c>
      <c r="G205" s="88" t="s">
        <v>479</v>
      </c>
      <c r="J205" s="8" t="e">
        <f>VLOOKUP(G205,[1]Sheet1!$B:$L,1,0)</f>
        <v>#N/A</v>
      </c>
      <c r="K205" s="8" t="e">
        <f>VLOOKUP(J205,[2]Sheet1!$D:$F,3,0)</f>
        <v>#N/A</v>
      </c>
      <c r="L205" s="63" t="e">
        <f t="shared" si="3"/>
        <v>#N/A</v>
      </c>
    </row>
    <row r="206" spans="1:12">
      <c r="A206" s="9">
        <v>185739</v>
      </c>
      <c r="E206" s="9">
        <v>24000067931</v>
      </c>
      <c r="F206" s="9" t="s">
        <v>255</v>
      </c>
      <c r="G206" s="88" t="s">
        <v>479</v>
      </c>
      <c r="J206" s="8" t="e">
        <f>VLOOKUP(G206,[1]Sheet1!$B:$L,1,0)</f>
        <v>#N/A</v>
      </c>
      <c r="K206" s="8" t="e">
        <f>VLOOKUP(J206,[2]Sheet1!$D:$F,3,0)</f>
        <v>#N/A</v>
      </c>
      <c r="L206" s="63" t="e">
        <f t="shared" si="3"/>
        <v>#N/A</v>
      </c>
    </row>
    <row r="207" spans="1:12">
      <c r="A207" s="9">
        <v>185752</v>
      </c>
      <c r="E207" s="9">
        <v>24000238171</v>
      </c>
      <c r="F207" s="9" t="s">
        <v>256</v>
      </c>
      <c r="G207" s="29">
        <v>165099</v>
      </c>
      <c r="J207" s="8">
        <f>VLOOKUP(G207,[1]Sheet1!$B:$L,1,0)</f>
        <v>165099</v>
      </c>
      <c r="K207" s="8" t="e">
        <f>VLOOKUP(J207,[2]Sheet1!$D:$F,3,0)</f>
        <v>#N/A</v>
      </c>
      <c r="L207" s="63" t="e">
        <f t="shared" si="3"/>
        <v>#N/A</v>
      </c>
    </row>
    <row r="208" spans="1:12">
      <c r="A208" s="9">
        <v>185753</v>
      </c>
      <c r="E208" s="9">
        <v>24000238188</v>
      </c>
      <c r="F208" s="9" t="s">
        <v>257</v>
      </c>
      <c r="G208" s="29">
        <v>165100</v>
      </c>
      <c r="J208" s="8">
        <f>VLOOKUP(G208,[1]Sheet1!$B:$L,1,0)</f>
        <v>165100</v>
      </c>
      <c r="K208" s="8" t="e">
        <f>VLOOKUP(J208,[2]Sheet1!$D:$F,3,0)</f>
        <v>#N/A</v>
      </c>
      <c r="L208" s="63" t="e">
        <f t="shared" si="3"/>
        <v>#N/A</v>
      </c>
    </row>
    <row r="209" spans="1:12">
      <c r="A209" s="9">
        <v>185754</v>
      </c>
      <c r="E209" s="9">
        <v>24000238201</v>
      </c>
      <c r="F209" s="9" t="s">
        <v>258</v>
      </c>
      <c r="G209" s="29">
        <v>165101</v>
      </c>
      <c r="J209" s="8">
        <f>VLOOKUP(G209,[1]Sheet1!$B:$L,1,0)</f>
        <v>165101</v>
      </c>
      <c r="K209" s="8" t="e">
        <f>VLOOKUP(J209,[2]Sheet1!$D:$F,3,0)</f>
        <v>#N/A</v>
      </c>
      <c r="L209" s="63" t="e">
        <f t="shared" si="3"/>
        <v>#N/A</v>
      </c>
    </row>
    <row r="210" spans="1:12">
      <c r="A210" s="9">
        <v>215086</v>
      </c>
      <c r="E210" s="9">
        <v>8990800001814</v>
      </c>
      <c r="F210" s="9" t="s">
        <v>259</v>
      </c>
      <c r="G210" s="29">
        <v>176175</v>
      </c>
      <c r="J210" s="8">
        <f>VLOOKUP(G210,[1]Sheet1!$B:$L,1,0)</f>
        <v>176175</v>
      </c>
      <c r="K210" s="8" t="e">
        <f>VLOOKUP(J210,[2]Sheet1!$D:$F,3,0)</f>
        <v>#N/A</v>
      </c>
      <c r="L210" s="63" t="e">
        <f t="shared" si="3"/>
        <v>#N/A</v>
      </c>
    </row>
    <row r="211" spans="1:12">
      <c r="A211" s="9">
        <v>215087</v>
      </c>
      <c r="E211" s="9">
        <v>8990800001807</v>
      </c>
      <c r="F211" s="9" t="s">
        <v>260</v>
      </c>
      <c r="G211" s="29">
        <v>176174</v>
      </c>
      <c r="J211" s="8">
        <f>VLOOKUP(G211,[1]Sheet1!$B:$L,1,0)</f>
        <v>176174</v>
      </c>
      <c r="K211" s="8" t="e">
        <f>VLOOKUP(J211,[2]Sheet1!$D:$F,3,0)</f>
        <v>#N/A</v>
      </c>
      <c r="L211" s="63" t="e">
        <f t="shared" si="3"/>
        <v>#N/A</v>
      </c>
    </row>
    <row r="212" spans="1:12">
      <c r="A212" s="9">
        <v>215308</v>
      </c>
      <c r="E212" s="9">
        <v>8429671350085</v>
      </c>
      <c r="F212" s="9" t="s">
        <v>261</v>
      </c>
      <c r="G212" s="29">
        <v>106959</v>
      </c>
      <c r="J212" s="8">
        <f>VLOOKUP(G212,[1]Sheet1!$B:$L,1,0)</f>
        <v>106959</v>
      </c>
      <c r="K212" s="8" t="e">
        <f>VLOOKUP(J212,[2]Sheet1!$D:$F,3,0)</f>
        <v>#N/A</v>
      </c>
      <c r="L212" s="63" t="e">
        <f t="shared" si="3"/>
        <v>#N/A</v>
      </c>
    </row>
    <row r="213" spans="1:12">
      <c r="A213" s="9">
        <v>229635</v>
      </c>
      <c r="E213" s="9">
        <v>8410031945737</v>
      </c>
      <c r="F213" s="9" t="s">
        <v>262</v>
      </c>
      <c r="G213" s="88" t="s">
        <v>471</v>
      </c>
      <c r="J213" s="8" t="e">
        <f>VLOOKUP(G213,[1]Sheet1!$B:$L,1,0)</f>
        <v>#N/A</v>
      </c>
      <c r="K213" s="8" t="e">
        <f>VLOOKUP(J213,[2]Sheet1!$D:$F,3,0)</f>
        <v>#N/A</v>
      </c>
      <c r="L213" s="63" t="e">
        <f t="shared" si="3"/>
        <v>#N/A</v>
      </c>
    </row>
    <row r="214" spans="1:12">
      <c r="A214" s="9">
        <v>229638</v>
      </c>
      <c r="E214" s="9">
        <v>8410031948745</v>
      </c>
      <c r="F214" s="9" t="s">
        <v>263</v>
      </c>
      <c r="G214" s="88" t="s">
        <v>471</v>
      </c>
      <c r="J214" s="8" t="e">
        <f>VLOOKUP(G214,[1]Sheet1!$B:$L,1,0)</f>
        <v>#N/A</v>
      </c>
      <c r="K214" s="8" t="e">
        <f>VLOOKUP(J214,[2]Sheet1!$D:$F,3,0)</f>
        <v>#N/A</v>
      </c>
      <c r="L214" s="63" t="e">
        <f t="shared" si="3"/>
        <v>#N/A</v>
      </c>
    </row>
    <row r="215" spans="1:12">
      <c r="A215" s="9">
        <v>243847</v>
      </c>
      <c r="E215" s="9">
        <v>736211763730</v>
      </c>
      <c r="F215" s="9" t="s">
        <v>264</v>
      </c>
      <c r="G215" s="29">
        <v>159579</v>
      </c>
      <c r="J215" s="8">
        <f>VLOOKUP(G215,[1]Sheet1!$B:$L,1,0)</f>
        <v>159579</v>
      </c>
      <c r="K215" s="8" t="e">
        <f>VLOOKUP(J215,[2]Sheet1!$D:$F,3,0)</f>
        <v>#N/A</v>
      </c>
      <c r="L215" s="63" t="e">
        <f t="shared" si="3"/>
        <v>#N/A</v>
      </c>
    </row>
    <row r="216" spans="1:12">
      <c r="A216" s="9">
        <v>243848</v>
      </c>
      <c r="E216" s="9">
        <v>736211763631</v>
      </c>
      <c r="F216" s="9" t="s">
        <v>265</v>
      </c>
      <c r="G216" s="29">
        <v>159580</v>
      </c>
      <c r="J216" s="8">
        <f>VLOOKUP(G216,[1]Sheet1!$B:$L,1,0)</f>
        <v>159580</v>
      </c>
      <c r="K216" s="8" t="e">
        <f>VLOOKUP(J216,[2]Sheet1!$D:$F,3,0)</f>
        <v>#N/A</v>
      </c>
      <c r="L216" s="63" t="e">
        <f t="shared" si="3"/>
        <v>#N/A</v>
      </c>
    </row>
    <row r="217" spans="1:12">
      <c r="A217" s="9">
        <v>243849</v>
      </c>
      <c r="E217" s="9">
        <v>736211763938</v>
      </c>
      <c r="F217" s="9" t="s">
        <v>266</v>
      </c>
      <c r="G217" s="29">
        <v>159661</v>
      </c>
      <c r="J217" s="8">
        <f>VLOOKUP(G217,[1]Sheet1!$B:$L,1,0)</f>
        <v>159661</v>
      </c>
      <c r="K217" s="8" t="e">
        <f>VLOOKUP(J217,[2]Sheet1!$D:$F,3,0)</f>
        <v>#N/A</v>
      </c>
      <c r="L217" s="63" t="e">
        <f t="shared" si="3"/>
        <v>#N/A</v>
      </c>
    </row>
    <row r="218" spans="1:12">
      <c r="A218" s="9">
        <v>243850</v>
      </c>
      <c r="E218" s="9">
        <v>736211763839</v>
      </c>
      <c r="F218" s="9" t="s">
        <v>267</v>
      </c>
      <c r="G218" s="29">
        <v>159662</v>
      </c>
      <c r="J218" s="8">
        <f>VLOOKUP(G218,[1]Sheet1!$B:$L,1,0)</f>
        <v>159662</v>
      </c>
      <c r="K218" s="8" t="e">
        <f>VLOOKUP(J218,[2]Sheet1!$D:$F,3,0)</f>
        <v>#N/A</v>
      </c>
      <c r="L218" s="63" t="e">
        <f t="shared" si="3"/>
        <v>#N/A</v>
      </c>
    </row>
    <row r="219" spans="1:12">
      <c r="A219" s="9">
        <v>253440</v>
      </c>
      <c r="E219" s="9">
        <v>8935001721505</v>
      </c>
      <c r="F219" s="9" t="s">
        <v>268</v>
      </c>
      <c r="G219" s="88" t="s">
        <v>471</v>
      </c>
      <c r="J219" s="8" t="e">
        <f>VLOOKUP(G219,[1]Sheet1!$B:$L,1,0)</f>
        <v>#N/A</v>
      </c>
      <c r="K219" s="8" t="e">
        <f>VLOOKUP(J219,[2]Sheet1!$D:$F,3,0)</f>
        <v>#N/A</v>
      </c>
      <c r="L219" s="63" t="e">
        <f t="shared" si="3"/>
        <v>#N/A</v>
      </c>
    </row>
    <row r="220" spans="1:12">
      <c r="A220" s="9">
        <v>253441</v>
      </c>
      <c r="E220" s="9">
        <v>8935001721529</v>
      </c>
      <c r="F220" s="9" t="s">
        <v>269</v>
      </c>
      <c r="G220" s="88" t="s">
        <v>471</v>
      </c>
      <c r="J220" s="8" t="e">
        <f>VLOOKUP(G220,[1]Sheet1!$B:$L,1,0)</f>
        <v>#N/A</v>
      </c>
      <c r="K220" s="8" t="e">
        <f>VLOOKUP(J220,[2]Sheet1!$D:$F,3,0)</f>
        <v>#N/A</v>
      </c>
      <c r="L220" s="63" t="e">
        <f t="shared" si="3"/>
        <v>#N/A</v>
      </c>
    </row>
    <row r="221" spans="1:12">
      <c r="A221" s="9">
        <v>253442</v>
      </c>
      <c r="E221" s="9">
        <v>8990800014906</v>
      </c>
      <c r="F221" s="9" t="s">
        <v>270</v>
      </c>
      <c r="G221" s="88" t="s">
        <v>471</v>
      </c>
      <c r="J221" s="8" t="e">
        <f>VLOOKUP(G221,[1]Sheet1!$B:$L,1,0)</f>
        <v>#N/A</v>
      </c>
      <c r="K221" s="8" t="e">
        <f>VLOOKUP(J221,[2]Sheet1!$D:$F,3,0)</f>
        <v>#N/A</v>
      </c>
      <c r="L221" s="63" t="e">
        <f t="shared" si="3"/>
        <v>#N/A</v>
      </c>
    </row>
    <row r="222" spans="1:12">
      <c r="A222" s="9">
        <v>272119</v>
      </c>
      <c r="E222" s="9">
        <v>80983460</v>
      </c>
      <c r="F222" s="9" t="s">
        <v>271</v>
      </c>
      <c r="G222" s="88" t="s">
        <v>471</v>
      </c>
      <c r="J222" s="8" t="e">
        <f>VLOOKUP(G222,[1]Sheet1!$B:$L,1,0)</f>
        <v>#N/A</v>
      </c>
      <c r="K222" s="8" t="e">
        <f>VLOOKUP(J222,[2]Sheet1!$D:$F,3,0)</f>
        <v>#N/A</v>
      </c>
      <c r="L222" s="63" t="e">
        <f t="shared" si="3"/>
        <v>#N/A</v>
      </c>
    </row>
    <row r="223" spans="1:12">
      <c r="A223" s="9">
        <v>298917</v>
      </c>
      <c r="E223" s="9">
        <v>80889427</v>
      </c>
      <c r="F223" s="9" t="s">
        <v>272</v>
      </c>
      <c r="G223" s="88" t="s">
        <v>471</v>
      </c>
      <c r="J223" s="8" t="e">
        <f>VLOOKUP(G223,[1]Sheet1!$B:$L,1,0)</f>
        <v>#N/A</v>
      </c>
      <c r="K223" s="8" t="e">
        <f>VLOOKUP(J223,[2]Sheet1!$D:$F,3,0)</f>
        <v>#N/A</v>
      </c>
      <c r="L223" s="63" t="e">
        <f t="shared" si="3"/>
        <v>#N/A</v>
      </c>
    </row>
    <row r="224" spans="1:12">
      <c r="A224" s="9">
        <v>298918</v>
      </c>
      <c r="E224" s="9">
        <v>8935001722496</v>
      </c>
      <c r="F224" s="9" t="s">
        <v>273</v>
      </c>
      <c r="G224" s="88" t="s">
        <v>471</v>
      </c>
      <c r="J224" s="8" t="e">
        <f>VLOOKUP(G224,[1]Sheet1!$B:$L,1,0)</f>
        <v>#N/A</v>
      </c>
      <c r="K224" s="8" t="e">
        <f>VLOOKUP(J224,[2]Sheet1!$D:$F,3,0)</f>
        <v>#N/A</v>
      </c>
      <c r="L224" s="63" t="e">
        <f t="shared" si="3"/>
        <v>#N/A</v>
      </c>
    </row>
    <row r="225" spans="1:12">
      <c r="A225" s="9">
        <v>298919</v>
      </c>
      <c r="E225" s="9">
        <v>8935001722472</v>
      </c>
      <c r="F225" s="9" t="s">
        <v>274</v>
      </c>
      <c r="G225" s="88" t="s">
        <v>471</v>
      </c>
      <c r="J225" s="8" t="e">
        <f>VLOOKUP(G225,[1]Sheet1!$B:$L,1,0)</f>
        <v>#N/A</v>
      </c>
      <c r="K225" s="8" t="e">
        <f>VLOOKUP(J225,[2]Sheet1!$D:$F,3,0)</f>
        <v>#N/A</v>
      </c>
      <c r="L225" s="63" t="e">
        <f t="shared" si="3"/>
        <v>#N/A</v>
      </c>
    </row>
    <row r="226" spans="1:12">
      <c r="A226" s="9">
        <v>301541</v>
      </c>
      <c r="E226" s="9">
        <v>6925425474448</v>
      </c>
      <c r="F226" s="9" t="s">
        <v>275</v>
      </c>
      <c r="G226" s="88" t="s">
        <v>471</v>
      </c>
      <c r="J226" s="8" t="e">
        <f>VLOOKUP(G226,[1]Sheet1!$B:$L,1,0)</f>
        <v>#N/A</v>
      </c>
      <c r="K226" s="8" t="e">
        <f>VLOOKUP(J226,[2]Sheet1!$D:$F,3,0)</f>
        <v>#N/A</v>
      </c>
      <c r="L226" s="63" t="e">
        <f t="shared" si="3"/>
        <v>#N/A</v>
      </c>
    </row>
    <row r="227" spans="1:12">
      <c r="A227" s="9">
        <v>301542</v>
      </c>
      <c r="E227" s="9">
        <v>6925425474363</v>
      </c>
      <c r="F227" s="9" t="s">
        <v>276</v>
      </c>
      <c r="G227" s="29">
        <v>181554</v>
      </c>
      <c r="J227" s="8">
        <f>VLOOKUP(G227,[1]Sheet1!$B:$L,1,0)</f>
        <v>181554</v>
      </c>
      <c r="K227" s="8" t="e">
        <f>VLOOKUP(J227,[2]Sheet1!$D:$F,3,0)</f>
        <v>#N/A</v>
      </c>
      <c r="L227" s="63" t="e">
        <f t="shared" si="3"/>
        <v>#N/A</v>
      </c>
    </row>
    <row r="228" spans="1:12">
      <c r="A228" s="9">
        <v>301543</v>
      </c>
      <c r="E228" s="9">
        <v>6925425474486</v>
      </c>
      <c r="F228" s="9" t="s">
        <v>277</v>
      </c>
      <c r="G228" s="88" t="s">
        <v>471</v>
      </c>
      <c r="J228" s="8" t="e">
        <f>VLOOKUP(G228,[1]Sheet1!$B:$L,1,0)</f>
        <v>#N/A</v>
      </c>
      <c r="K228" s="8" t="e">
        <f>VLOOKUP(J228,[2]Sheet1!$D:$F,3,0)</f>
        <v>#N/A</v>
      </c>
      <c r="L228" s="63" t="e">
        <f t="shared" si="3"/>
        <v>#N/A</v>
      </c>
    </row>
    <row r="229" spans="1:12">
      <c r="A229" s="9">
        <v>301544</v>
      </c>
      <c r="E229" s="9">
        <v>6925425474400</v>
      </c>
      <c r="F229" s="9" t="s">
        <v>278</v>
      </c>
      <c r="G229" s="88" t="s">
        <v>471</v>
      </c>
      <c r="J229" s="8" t="e">
        <f>VLOOKUP(G229,[1]Sheet1!$B:$L,1,0)</f>
        <v>#N/A</v>
      </c>
      <c r="K229" s="8" t="e">
        <f>VLOOKUP(J229,[2]Sheet1!$D:$F,3,0)</f>
        <v>#N/A</v>
      </c>
      <c r="L229" s="63" t="e">
        <f t="shared" si="3"/>
        <v>#N/A</v>
      </c>
    </row>
    <row r="230" spans="1:12">
      <c r="A230" s="9">
        <v>301545</v>
      </c>
      <c r="E230" s="9">
        <v>6925425474462</v>
      </c>
      <c r="F230" s="9" t="s">
        <v>279</v>
      </c>
      <c r="G230" s="29">
        <v>181558</v>
      </c>
      <c r="J230" s="8">
        <f>VLOOKUP(G230,[1]Sheet1!$B:$L,1,0)</f>
        <v>181558</v>
      </c>
      <c r="K230" s="8" t="e">
        <f>VLOOKUP(J230,[2]Sheet1!$D:$F,3,0)</f>
        <v>#N/A</v>
      </c>
      <c r="L230" s="63" t="e">
        <f t="shared" si="3"/>
        <v>#N/A</v>
      </c>
    </row>
    <row r="231" spans="1:12">
      <c r="A231" s="9">
        <v>301546</v>
      </c>
      <c r="E231" s="9">
        <v>6925425474387</v>
      </c>
      <c r="F231" s="9" t="s">
        <v>280</v>
      </c>
      <c r="G231" s="29">
        <v>181557</v>
      </c>
      <c r="J231" s="8">
        <f>VLOOKUP(G231,[1]Sheet1!$B:$L,1,0)</f>
        <v>181557</v>
      </c>
      <c r="K231" s="8" t="e">
        <f>VLOOKUP(J231,[2]Sheet1!$D:$F,3,0)</f>
        <v>#N/A</v>
      </c>
      <c r="L231" s="63" t="e">
        <f t="shared" si="3"/>
        <v>#N/A</v>
      </c>
    </row>
    <row r="232" spans="1:12">
      <c r="A232" s="9">
        <v>301547</v>
      </c>
      <c r="E232" s="9">
        <v>6925425474424</v>
      </c>
      <c r="F232" s="9" t="s">
        <v>281</v>
      </c>
      <c r="G232" s="29">
        <v>181559</v>
      </c>
      <c r="J232" s="8">
        <f>VLOOKUP(G232,[1]Sheet1!$B:$L,1,0)</f>
        <v>181559</v>
      </c>
      <c r="K232" s="8" t="e">
        <f>VLOOKUP(J232,[2]Sheet1!$D:$F,3,0)</f>
        <v>#N/A</v>
      </c>
      <c r="L232" s="63" t="e">
        <f t="shared" si="3"/>
        <v>#N/A</v>
      </c>
    </row>
    <row r="233" spans="1:12">
      <c r="A233" s="9">
        <v>306549</v>
      </c>
      <c r="E233" s="9">
        <v>8935001722519</v>
      </c>
      <c r="F233" s="9" t="s">
        <v>282</v>
      </c>
      <c r="G233" s="29">
        <v>183930</v>
      </c>
      <c r="J233" s="8">
        <f>VLOOKUP(G233,[1]Sheet1!$B:$L,1,0)</f>
        <v>183930</v>
      </c>
      <c r="K233" s="8" t="e">
        <f>VLOOKUP(J233,[2]Sheet1!$D:$F,3,0)</f>
        <v>#N/A</v>
      </c>
      <c r="L233" s="63" t="e">
        <f t="shared" si="3"/>
        <v>#N/A</v>
      </c>
    </row>
    <row r="234" spans="1:12">
      <c r="A234" s="9">
        <v>306550</v>
      </c>
      <c r="E234" s="9">
        <v>8935001722533</v>
      </c>
      <c r="F234" s="9" t="s">
        <v>283</v>
      </c>
      <c r="G234" s="29">
        <v>184051</v>
      </c>
      <c r="J234" s="8">
        <f>VLOOKUP(G234,[1]Sheet1!$B:$L,1,0)</f>
        <v>184051</v>
      </c>
      <c r="K234" s="8" t="e">
        <f>VLOOKUP(J234,[2]Sheet1!$D:$F,3,0)</f>
        <v>#N/A</v>
      </c>
      <c r="L234" s="63" t="e">
        <f t="shared" si="3"/>
        <v>#N/A</v>
      </c>
    </row>
    <row r="235" spans="1:12">
      <c r="A235" s="9">
        <v>316072</v>
      </c>
      <c r="E235" s="9">
        <v>8429671360343</v>
      </c>
      <c r="F235" s="9" t="s">
        <v>284</v>
      </c>
      <c r="G235" s="88" t="s">
        <v>471</v>
      </c>
      <c r="J235" s="8" t="e">
        <f>VLOOKUP(G235,[1]Sheet1!$B:$L,1,0)</f>
        <v>#N/A</v>
      </c>
      <c r="K235" s="8" t="e">
        <f>VLOOKUP(J235,[2]Sheet1!$D:$F,3,0)</f>
        <v>#N/A</v>
      </c>
      <c r="L235" s="63" t="e">
        <f t="shared" si="3"/>
        <v>#N/A</v>
      </c>
    </row>
    <row r="236" spans="1:12">
      <c r="A236" s="9">
        <v>316073</v>
      </c>
      <c r="E236" s="9">
        <v>8429671360336</v>
      </c>
      <c r="F236" s="9" t="s">
        <v>285</v>
      </c>
      <c r="G236" s="88" t="s">
        <v>471</v>
      </c>
      <c r="J236" s="8" t="e">
        <f>VLOOKUP(G236,[1]Sheet1!$B:$L,1,0)</f>
        <v>#N/A</v>
      </c>
      <c r="K236" s="8" t="e">
        <f>VLOOKUP(J236,[2]Sheet1!$D:$F,3,0)</f>
        <v>#N/A</v>
      </c>
      <c r="L236" s="63" t="e">
        <f t="shared" si="3"/>
        <v>#N/A</v>
      </c>
    </row>
    <row r="237" spans="1:12">
      <c r="A237" s="9">
        <v>316187</v>
      </c>
      <c r="E237" s="9">
        <v>24000025993</v>
      </c>
      <c r="F237" s="9" t="s">
        <v>286</v>
      </c>
      <c r="G237" s="29">
        <v>91555</v>
      </c>
      <c r="J237" s="8">
        <f>VLOOKUP(G237,[1]Sheet1!$B:$L,1,0)</f>
        <v>91555</v>
      </c>
      <c r="K237" s="8" t="e">
        <f>VLOOKUP(J237,[2]Sheet1!$D:$F,3,0)</f>
        <v>#N/A</v>
      </c>
      <c r="L237" s="63" t="e">
        <f t="shared" si="3"/>
        <v>#N/A</v>
      </c>
    </row>
    <row r="238" spans="1:12">
      <c r="A238" s="9">
        <v>316188</v>
      </c>
      <c r="E238" s="9">
        <v>24000015963</v>
      </c>
      <c r="F238" s="9" t="s">
        <v>287</v>
      </c>
      <c r="G238" s="29">
        <v>91560</v>
      </c>
      <c r="J238" s="8">
        <f>VLOOKUP(G238,[1]Sheet1!$B:$L,1,0)</f>
        <v>91560</v>
      </c>
      <c r="K238" s="8" t="e">
        <f>VLOOKUP(J238,[2]Sheet1!$D:$F,3,0)</f>
        <v>#N/A</v>
      </c>
      <c r="L238" s="63" t="e">
        <f t="shared" si="3"/>
        <v>#N/A</v>
      </c>
    </row>
    <row r="239" spans="1:12">
      <c r="A239" s="9">
        <v>316189</v>
      </c>
      <c r="E239" s="9">
        <v>24000015970</v>
      </c>
      <c r="F239" s="9" t="s">
        <v>288</v>
      </c>
      <c r="G239" s="29">
        <v>91572</v>
      </c>
      <c r="J239" s="8">
        <f>VLOOKUP(G239,[1]Sheet1!$B:$L,1,0)</f>
        <v>91572</v>
      </c>
      <c r="K239" s="8" t="e">
        <f>VLOOKUP(J239,[2]Sheet1!$D:$F,3,0)</f>
        <v>#N/A</v>
      </c>
      <c r="L239" s="63" t="e">
        <f t="shared" si="3"/>
        <v>#N/A</v>
      </c>
    </row>
    <row r="240" spans="1:12">
      <c r="A240" s="9">
        <v>316193</v>
      </c>
      <c r="E240" s="9">
        <v>24000243670</v>
      </c>
      <c r="F240" s="9" t="s">
        <v>289</v>
      </c>
      <c r="G240" s="29"/>
      <c r="J240" s="8" t="e">
        <f>VLOOKUP(G240,[1]Sheet1!$B:$L,1,0)</f>
        <v>#N/A</v>
      </c>
      <c r="K240" s="8" t="e">
        <f>VLOOKUP(J240,[2]Sheet1!$D:$F,3,0)</f>
        <v>#N/A</v>
      </c>
      <c r="L240" s="63" t="e">
        <f t="shared" si="3"/>
        <v>#N/A</v>
      </c>
    </row>
    <row r="241" spans="1:12">
      <c r="A241" s="9">
        <v>316203</v>
      </c>
      <c r="E241" s="9">
        <v>8429671350092</v>
      </c>
      <c r="F241" s="9" t="s">
        <v>290</v>
      </c>
      <c r="G241" s="29">
        <v>91284</v>
      </c>
      <c r="J241" s="8">
        <f>VLOOKUP(G241,[1]Sheet1!$B:$L,1,0)</f>
        <v>91284</v>
      </c>
      <c r="K241" s="8" t="e">
        <f>VLOOKUP(J241,[2]Sheet1!$D:$F,3,0)</f>
        <v>#N/A</v>
      </c>
      <c r="L241" s="63" t="e">
        <f t="shared" si="3"/>
        <v>#N/A</v>
      </c>
    </row>
    <row r="242" spans="1:12">
      <c r="A242" s="9">
        <v>320953</v>
      </c>
      <c r="E242" s="9">
        <v>24000244417</v>
      </c>
      <c r="F242" s="9" t="s">
        <v>291</v>
      </c>
      <c r="G242" s="29">
        <v>193127</v>
      </c>
      <c r="J242" s="8">
        <f>VLOOKUP(G242,[1]Sheet1!$B:$L,1,0)</f>
        <v>193127</v>
      </c>
      <c r="K242" s="8" t="e">
        <f>VLOOKUP(J242,[2]Sheet1!$D:$F,3,0)</f>
        <v>#N/A</v>
      </c>
      <c r="L242" s="63" t="e">
        <f t="shared" si="3"/>
        <v>#N/A</v>
      </c>
    </row>
    <row r="243" spans="1:12">
      <c r="A243" s="9">
        <v>321127</v>
      </c>
      <c r="E243" s="9">
        <v>8429671351235</v>
      </c>
      <c r="F243" s="9" t="s">
        <v>292</v>
      </c>
      <c r="G243" s="29">
        <v>107250</v>
      </c>
      <c r="J243" s="8">
        <f>VLOOKUP(G243,[1]Sheet1!$B:$L,1,0)</f>
        <v>107250</v>
      </c>
      <c r="K243" s="8" t="e">
        <f>VLOOKUP(J243,[2]Sheet1!$D:$F,3,0)</f>
        <v>#N/A</v>
      </c>
      <c r="L243" s="63" t="e">
        <f t="shared" si="3"/>
        <v>#N/A</v>
      </c>
    </row>
    <row r="244" spans="1:12">
      <c r="A244" s="9">
        <v>321128</v>
      </c>
      <c r="E244" s="9">
        <v>8429671350566</v>
      </c>
      <c r="F244" s="9" t="s">
        <v>293</v>
      </c>
      <c r="G244" s="88" t="s">
        <v>471</v>
      </c>
      <c r="J244" s="8" t="e">
        <f>VLOOKUP(G244,[1]Sheet1!$B:$L,1,0)</f>
        <v>#N/A</v>
      </c>
      <c r="K244" s="8" t="e">
        <f>VLOOKUP(J244,[2]Sheet1!$D:$F,3,0)</f>
        <v>#N/A</v>
      </c>
      <c r="L244" s="63" t="e">
        <f t="shared" si="3"/>
        <v>#N/A</v>
      </c>
    </row>
    <row r="245" spans="1:12">
      <c r="A245" s="9">
        <v>321129</v>
      </c>
      <c r="E245" s="9">
        <v>8429671350399</v>
      </c>
      <c r="F245" s="9" t="s">
        <v>294</v>
      </c>
      <c r="G245" s="88" t="s">
        <v>471</v>
      </c>
      <c r="J245" s="8" t="e">
        <f>VLOOKUP(G245,[1]Sheet1!$B:$L,1,0)</f>
        <v>#N/A</v>
      </c>
      <c r="K245" s="8" t="e">
        <f>VLOOKUP(J245,[2]Sheet1!$D:$F,3,0)</f>
        <v>#N/A</v>
      </c>
      <c r="L245" s="63" t="e">
        <f t="shared" si="3"/>
        <v>#N/A</v>
      </c>
    </row>
    <row r="246" spans="1:12">
      <c r="A246" s="9">
        <v>334167</v>
      </c>
      <c r="E246" s="9">
        <v>8990800017204</v>
      </c>
      <c r="F246" s="9" t="s">
        <v>295</v>
      </c>
      <c r="G246" s="88" t="s">
        <v>471</v>
      </c>
      <c r="J246" s="8" t="e">
        <f>VLOOKUP(G246,[1]Sheet1!$B:$L,1,0)</f>
        <v>#N/A</v>
      </c>
      <c r="K246" s="8" t="e">
        <f>VLOOKUP(J246,[2]Sheet1!$D:$F,3,0)</f>
        <v>#N/A</v>
      </c>
      <c r="L246" s="63" t="e">
        <f t="shared" si="3"/>
        <v>#N/A</v>
      </c>
    </row>
    <row r="247" spans="1:12">
      <c r="A247" s="9">
        <v>336643</v>
      </c>
      <c r="E247" s="9">
        <v>6291106770506</v>
      </c>
      <c r="F247" s="9" t="s">
        <v>296</v>
      </c>
      <c r="G247" s="29"/>
      <c r="J247" s="8" t="e">
        <f>VLOOKUP(G247,[1]Sheet1!$B:$L,1,0)</f>
        <v>#N/A</v>
      </c>
      <c r="K247" s="8" t="e">
        <f>VLOOKUP(J247,[2]Sheet1!$D:$F,3,0)</f>
        <v>#N/A</v>
      </c>
      <c r="L247" s="63" t="e">
        <f t="shared" si="3"/>
        <v>#N/A</v>
      </c>
    </row>
    <row r="248" spans="1:12">
      <c r="A248" s="9">
        <v>336644</v>
      </c>
      <c r="E248" s="9">
        <v>6291106770513</v>
      </c>
      <c r="F248" s="9" t="s">
        <v>297</v>
      </c>
      <c r="G248" s="29"/>
      <c r="J248" s="8" t="e">
        <f>VLOOKUP(G248,[1]Sheet1!$B:$L,1,0)</f>
        <v>#N/A</v>
      </c>
      <c r="K248" s="8" t="e">
        <f>VLOOKUP(J248,[2]Sheet1!$D:$F,3,0)</f>
        <v>#N/A</v>
      </c>
      <c r="L248" s="63" t="e">
        <f t="shared" si="3"/>
        <v>#N/A</v>
      </c>
    </row>
    <row r="249" spans="1:12">
      <c r="A249" s="9">
        <v>338511</v>
      </c>
      <c r="E249" s="9">
        <v>6291106770520</v>
      </c>
      <c r="F249" s="9" t="s">
        <v>298</v>
      </c>
      <c r="G249" s="29"/>
      <c r="J249" s="8" t="e">
        <f>VLOOKUP(G249,[1]Sheet1!$B:$L,1,0)</f>
        <v>#N/A</v>
      </c>
      <c r="K249" s="8" t="e">
        <f>VLOOKUP(J249,[2]Sheet1!$D:$F,3,0)</f>
        <v>#N/A</v>
      </c>
      <c r="L249" s="63" t="e">
        <f t="shared" si="3"/>
        <v>#N/A</v>
      </c>
    </row>
    <row r="250" spans="1:12">
      <c r="A250" s="9">
        <v>338516</v>
      </c>
      <c r="E250" s="9">
        <v>6291106770490</v>
      </c>
      <c r="F250" s="9" t="s">
        <v>299</v>
      </c>
      <c r="G250" s="29"/>
      <c r="J250" s="8" t="e">
        <f>VLOOKUP(G250,[1]Sheet1!$B:$L,1,0)</f>
        <v>#N/A</v>
      </c>
      <c r="K250" s="8" t="e">
        <f>VLOOKUP(J250,[2]Sheet1!$D:$F,3,0)</f>
        <v>#N/A</v>
      </c>
      <c r="L250" s="63" t="e">
        <f t="shared" si="3"/>
        <v>#N/A</v>
      </c>
    </row>
    <row r="251" spans="1:12">
      <c r="A251" s="9">
        <v>341037</v>
      </c>
      <c r="E251" s="9">
        <v>6291106770322</v>
      </c>
      <c r="F251" s="9" t="s">
        <v>300</v>
      </c>
      <c r="G251" s="29"/>
      <c r="J251" s="8" t="e">
        <f>VLOOKUP(G251,[1]Sheet1!$B:$L,1,0)</f>
        <v>#N/A</v>
      </c>
      <c r="K251" s="8" t="e">
        <f>VLOOKUP(J251,[2]Sheet1!$D:$F,3,0)</f>
        <v>#N/A</v>
      </c>
      <c r="L251" s="63" t="e">
        <f t="shared" si="3"/>
        <v>#N/A</v>
      </c>
    </row>
    <row r="252" spans="1:12">
      <c r="A252" s="9">
        <v>347400</v>
      </c>
      <c r="E252" s="9">
        <v>8990800012452</v>
      </c>
      <c r="F252" s="9" t="s">
        <v>301</v>
      </c>
      <c r="G252" s="88" t="s">
        <v>471</v>
      </c>
      <c r="J252" s="8" t="e">
        <f>VLOOKUP(G252,[1]Sheet1!$B:$L,1,0)</f>
        <v>#N/A</v>
      </c>
      <c r="K252" s="8" t="e">
        <f>VLOOKUP(J252,[2]Sheet1!$D:$F,3,0)</f>
        <v>#N/A</v>
      </c>
      <c r="L252" s="63" t="e">
        <f t="shared" si="3"/>
        <v>#N/A</v>
      </c>
    </row>
    <row r="253" spans="1:12" ht="15.75">
      <c r="A253" s="9">
        <v>347401</v>
      </c>
      <c r="E253" s="9">
        <v>1800000007431</v>
      </c>
      <c r="F253" s="9" t="s">
        <v>302</v>
      </c>
      <c r="G253" s="51">
        <v>399396</v>
      </c>
      <c r="J253" s="8" t="e">
        <f>VLOOKUP(G253,[1]Sheet1!$B:$L,1,0)</f>
        <v>#N/A</v>
      </c>
      <c r="K253" s="8" t="e">
        <f>VLOOKUP(J253,[2]Sheet1!$D:$F,3,0)</f>
        <v>#N/A</v>
      </c>
      <c r="L253" s="63" t="e">
        <f t="shared" si="3"/>
        <v>#N/A</v>
      </c>
    </row>
    <row r="254" spans="1:12">
      <c r="A254" s="9">
        <v>347402</v>
      </c>
      <c r="E254" s="9">
        <v>84198013</v>
      </c>
      <c r="F254" s="9" t="s">
        <v>303</v>
      </c>
      <c r="G254" s="29">
        <v>176188</v>
      </c>
      <c r="J254" s="8">
        <f>VLOOKUP(G254,[1]Sheet1!$B:$L,1,0)</f>
        <v>176188</v>
      </c>
      <c r="K254" s="8" t="e">
        <f>VLOOKUP(J254,[2]Sheet1!$D:$F,3,0)</f>
        <v>#N/A</v>
      </c>
      <c r="L254" s="63" t="e">
        <f t="shared" si="3"/>
        <v>#N/A</v>
      </c>
    </row>
    <row r="255" spans="1:12">
      <c r="A255" s="9">
        <v>347403</v>
      </c>
      <c r="E255" s="9">
        <v>84198020</v>
      </c>
      <c r="F255" s="9" t="s">
        <v>304</v>
      </c>
      <c r="G255" s="88" t="s">
        <v>471</v>
      </c>
      <c r="J255" s="8" t="e">
        <f>VLOOKUP(G255,[1]Sheet1!$B:$L,1,0)</f>
        <v>#N/A</v>
      </c>
      <c r="K255" s="8" t="e">
        <f>VLOOKUP(J255,[2]Sheet1!$D:$F,3,0)</f>
        <v>#N/A</v>
      </c>
      <c r="L255" s="63" t="e">
        <f t="shared" si="3"/>
        <v>#N/A</v>
      </c>
    </row>
    <row r="256" spans="1:12">
      <c r="A256" s="9">
        <v>347404</v>
      </c>
      <c r="E256" s="9">
        <v>84198006</v>
      </c>
      <c r="F256" s="9" t="s">
        <v>305</v>
      </c>
      <c r="G256" s="88" t="s">
        <v>471</v>
      </c>
      <c r="J256" s="8" t="e">
        <f>VLOOKUP(G256,[1]Sheet1!$B:$L,1,0)</f>
        <v>#N/A</v>
      </c>
      <c r="K256" s="8" t="e">
        <f>VLOOKUP(J256,[2]Sheet1!$D:$F,3,0)</f>
        <v>#N/A</v>
      </c>
      <c r="L256" s="63" t="e">
        <f t="shared" si="3"/>
        <v>#N/A</v>
      </c>
    </row>
    <row r="257" spans="1:12">
      <c r="A257" s="9">
        <v>347405</v>
      </c>
      <c r="E257" s="9">
        <v>8410031957754</v>
      </c>
      <c r="F257" s="9" t="s">
        <v>306</v>
      </c>
      <c r="G257" s="88" t="s">
        <v>471</v>
      </c>
      <c r="J257" s="8" t="e">
        <f>VLOOKUP(G257,[1]Sheet1!$B:$L,1,0)</f>
        <v>#N/A</v>
      </c>
      <c r="K257" s="8" t="e">
        <f>VLOOKUP(J257,[2]Sheet1!$D:$F,3,0)</f>
        <v>#N/A</v>
      </c>
      <c r="L257" s="63" t="e">
        <f t="shared" si="3"/>
        <v>#N/A</v>
      </c>
    </row>
    <row r="258" spans="1:12">
      <c r="A258" s="9">
        <v>347406</v>
      </c>
      <c r="E258" s="9">
        <v>1800000006939</v>
      </c>
      <c r="F258" s="9" t="s">
        <v>307</v>
      </c>
      <c r="G258" s="29">
        <v>177501</v>
      </c>
      <c r="J258" s="8">
        <f>VLOOKUP(G258,[1]Sheet1!$B:$L,1,0)</f>
        <v>177501</v>
      </c>
      <c r="K258" s="8" t="e">
        <f>VLOOKUP(J258,[2]Sheet1!$D:$F,3,0)</f>
        <v>#N/A</v>
      </c>
      <c r="L258" s="63" t="e">
        <f t="shared" si="3"/>
        <v>#N/A</v>
      </c>
    </row>
    <row r="259" spans="1:12">
      <c r="A259" s="9">
        <v>347407</v>
      </c>
      <c r="E259" s="9">
        <v>4601798006302</v>
      </c>
      <c r="F259" s="9" t="s">
        <v>308</v>
      </c>
      <c r="G259" s="88" t="s">
        <v>471</v>
      </c>
      <c r="J259" s="8" t="e">
        <f>VLOOKUP(G259,[1]Sheet1!$B:$L,1,0)</f>
        <v>#N/A</v>
      </c>
      <c r="K259" s="8" t="e">
        <f>VLOOKUP(J259,[2]Sheet1!$D:$F,3,0)</f>
        <v>#N/A</v>
      </c>
      <c r="L259" s="63" t="e">
        <f t="shared" ref="L259:L322" si="4">K259-A259</f>
        <v>#N/A</v>
      </c>
    </row>
    <row r="260" spans="1:12">
      <c r="A260" s="9">
        <v>347418</v>
      </c>
      <c r="E260" s="9">
        <v>1800000007424</v>
      </c>
      <c r="F260" s="9" t="s">
        <v>309</v>
      </c>
      <c r="G260" s="88" t="s">
        <v>471</v>
      </c>
      <c r="J260" s="8" t="e">
        <f>VLOOKUP(G260,[1]Sheet1!$B:$L,1,0)</f>
        <v>#N/A</v>
      </c>
      <c r="K260" s="8" t="e">
        <f>VLOOKUP(J260,[2]Sheet1!$D:$F,3,0)</f>
        <v>#N/A</v>
      </c>
      <c r="L260" s="63" t="e">
        <f t="shared" si="4"/>
        <v>#N/A</v>
      </c>
    </row>
    <row r="261" spans="1:12">
      <c r="A261" s="9">
        <v>353886</v>
      </c>
      <c r="E261" s="9">
        <v>6291106772029</v>
      </c>
      <c r="F261" s="9" t="s">
        <v>310</v>
      </c>
      <c r="G261" s="29">
        <v>198563</v>
      </c>
      <c r="J261" s="8">
        <f>VLOOKUP(G261,[1]Sheet1!$B:$L,1,0)</f>
        <v>198563</v>
      </c>
      <c r="K261" s="8" t="e">
        <f>VLOOKUP(J261,[2]Sheet1!$D:$F,3,0)</f>
        <v>#N/A</v>
      </c>
      <c r="L261" s="63" t="e">
        <f t="shared" si="4"/>
        <v>#N/A</v>
      </c>
    </row>
    <row r="262" spans="1:12">
      <c r="A262" s="9">
        <v>363323</v>
      </c>
      <c r="E262" s="9">
        <v>89304488</v>
      </c>
      <c r="F262" s="9" t="s">
        <v>311</v>
      </c>
      <c r="G262" s="88" t="s">
        <v>471</v>
      </c>
      <c r="J262" s="8" t="e">
        <f>VLOOKUP(G262,[1]Sheet1!$B:$L,1,0)</f>
        <v>#N/A</v>
      </c>
      <c r="K262" s="8" t="e">
        <f>VLOOKUP(J262,[2]Sheet1!$D:$F,3,0)</f>
        <v>#N/A</v>
      </c>
      <c r="L262" s="63" t="e">
        <f t="shared" si="4"/>
        <v>#N/A</v>
      </c>
    </row>
    <row r="263" spans="1:12">
      <c r="A263" s="9">
        <v>369854</v>
      </c>
      <c r="E263" s="9">
        <v>753212223346</v>
      </c>
      <c r="F263" s="9" t="s">
        <v>312</v>
      </c>
      <c r="G263" s="29"/>
      <c r="J263" s="8" t="e">
        <f>VLOOKUP(G263,[1]Sheet1!$B:$L,1,0)</f>
        <v>#N/A</v>
      </c>
      <c r="K263" s="8" t="e">
        <f>VLOOKUP(J263,[2]Sheet1!$D:$F,3,0)</f>
        <v>#N/A</v>
      </c>
      <c r="L263" s="63" t="e">
        <f t="shared" si="4"/>
        <v>#N/A</v>
      </c>
    </row>
    <row r="264" spans="1:12">
      <c r="A264" s="9">
        <v>369855</v>
      </c>
      <c r="E264" s="9">
        <v>6291106770308</v>
      </c>
      <c r="F264" s="9" t="s">
        <v>313</v>
      </c>
      <c r="G264" s="29"/>
      <c r="J264" s="8" t="e">
        <f>VLOOKUP(G264,[1]Sheet1!$B:$L,1,0)</f>
        <v>#N/A</v>
      </c>
      <c r="K264" s="8" t="e">
        <f>VLOOKUP(J264,[2]Sheet1!$D:$F,3,0)</f>
        <v>#N/A</v>
      </c>
      <c r="L264" s="63" t="e">
        <f t="shared" si="4"/>
        <v>#N/A</v>
      </c>
    </row>
    <row r="265" spans="1:12">
      <c r="A265" s="9">
        <v>394259</v>
      </c>
      <c r="E265" s="9">
        <v>6291106771343</v>
      </c>
      <c r="F265" s="9" t="s">
        <v>314</v>
      </c>
      <c r="G265" s="29"/>
      <c r="J265" s="8" t="e">
        <f>VLOOKUP(G265,[1]Sheet1!$B:$L,1,0)</f>
        <v>#N/A</v>
      </c>
      <c r="K265" s="8" t="e">
        <f>VLOOKUP(J265,[2]Sheet1!$D:$F,3,0)</f>
        <v>#N/A</v>
      </c>
      <c r="L265" s="63" t="e">
        <f t="shared" si="4"/>
        <v>#N/A</v>
      </c>
    </row>
    <row r="266" spans="1:12">
      <c r="A266" s="9">
        <v>395788</v>
      </c>
      <c r="E266" s="9">
        <v>6921211112068</v>
      </c>
      <c r="F266" s="9" t="s">
        <v>315</v>
      </c>
      <c r="G266" s="29">
        <v>229189</v>
      </c>
      <c r="J266" s="8">
        <f>VLOOKUP(G266,[1]Sheet1!$B:$L,1,0)</f>
        <v>229189</v>
      </c>
      <c r="K266" s="8" t="e">
        <f>VLOOKUP(J266,[2]Sheet1!$D:$F,3,0)</f>
        <v>#N/A</v>
      </c>
      <c r="L266" s="63" t="e">
        <f t="shared" si="4"/>
        <v>#N/A</v>
      </c>
    </row>
    <row r="267" spans="1:12">
      <c r="A267" s="9">
        <v>395789</v>
      </c>
      <c r="E267" s="9">
        <v>6921211112006</v>
      </c>
      <c r="F267" s="9" t="s">
        <v>316</v>
      </c>
      <c r="G267" s="88" t="s">
        <v>471</v>
      </c>
      <c r="J267" s="8" t="e">
        <f>VLOOKUP(G267,[1]Sheet1!$B:$L,1,0)</f>
        <v>#N/A</v>
      </c>
      <c r="K267" s="8" t="e">
        <f>VLOOKUP(J267,[2]Sheet1!$D:$F,3,0)</f>
        <v>#N/A</v>
      </c>
      <c r="L267" s="63" t="e">
        <f t="shared" si="4"/>
        <v>#N/A</v>
      </c>
    </row>
    <row r="268" spans="1:12">
      <c r="A268" s="9">
        <v>397180</v>
      </c>
      <c r="E268" s="9">
        <v>6921211111467</v>
      </c>
      <c r="F268" s="9" t="s">
        <v>317</v>
      </c>
      <c r="G268" s="29">
        <v>229187</v>
      </c>
      <c r="J268" s="8">
        <f>VLOOKUP(G268,[1]Sheet1!$B:$L,1,0)</f>
        <v>229187</v>
      </c>
      <c r="K268" s="8" t="e">
        <f>VLOOKUP(J268,[2]Sheet1!$D:$F,3,0)</f>
        <v>#N/A</v>
      </c>
      <c r="L268" s="63" t="e">
        <f t="shared" si="4"/>
        <v>#N/A</v>
      </c>
    </row>
    <row r="269" spans="1:12">
      <c r="A269" s="9">
        <v>410855</v>
      </c>
      <c r="E269" s="9">
        <v>6921211112396</v>
      </c>
      <c r="F269" s="9" t="s">
        <v>318</v>
      </c>
      <c r="G269" s="88" t="s">
        <v>471</v>
      </c>
      <c r="J269" s="8" t="e">
        <f>VLOOKUP(G269,[1]Sheet1!$B:$L,1,0)</f>
        <v>#N/A</v>
      </c>
      <c r="K269" s="8" t="e">
        <f>VLOOKUP(J269,[2]Sheet1!$D:$F,3,0)</f>
        <v>#N/A</v>
      </c>
      <c r="L269" s="63" t="e">
        <f t="shared" si="4"/>
        <v>#N/A</v>
      </c>
    </row>
    <row r="270" spans="1:12">
      <c r="A270" s="9">
        <v>415608</v>
      </c>
      <c r="E270" s="9">
        <v>8901393017106</v>
      </c>
      <c r="F270" s="9" t="s">
        <v>319</v>
      </c>
      <c r="G270" s="29">
        <v>255466</v>
      </c>
      <c r="J270" s="8">
        <f>VLOOKUP(G270,[1]Sheet1!$B:$L,1,0)</f>
        <v>255466</v>
      </c>
      <c r="K270" s="8" t="e">
        <f>VLOOKUP(J270,[2]Sheet1!$D:$F,3,0)</f>
        <v>#N/A</v>
      </c>
      <c r="L270" s="63" t="e">
        <f t="shared" si="4"/>
        <v>#N/A</v>
      </c>
    </row>
    <row r="271" spans="1:12">
      <c r="A271" s="9">
        <v>415609</v>
      </c>
      <c r="E271" s="9">
        <v>8901393017137</v>
      </c>
      <c r="F271" s="9" t="s">
        <v>320</v>
      </c>
      <c r="G271" s="29">
        <v>255467</v>
      </c>
      <c r="J271" s="8">
        <f>VLOOKUP(G271,[1]Sheet1!$B:$L,1,0)</f>
        <v>255467</v>
      </c>
      <c r="K271" s="8" t="e">
        <f>VLOOKUP(J271,[2]Sheet1!$D:$F,3,0)</f>
        <v>#N/A</v>
      </c>
      <c r="L271" s="63" t="e">
        <f t="shared" si="4"/>
        <v>#N/A</v>
      </c>
    </row>
    <row r="272" spans="1:12">
      <c r="A272" s="9">
        <v>426850</v>
      </c>
      <c r="E272" s="9">
        <v>8901393017076</v>
      </c>
      <c r="F272" s="9" t="s">
        <v>321</v>
      </c>
      <c r="G272" s="29">
        <v>234075</v>
      </c>
      <c r="J272" s="8">
        <f>VLOOKUP(G272,[1]Sheet1!$B:$L,1,0)</f>
        <v>234075</v>
      </c>
      <c r="K272" s="8" t="e">
        <f>VLOOKUP(J272,[2]Sheet1!$D:$F,3,0)</f>
        <v>#N/A</v>
      </c>
      <c r="L272" s="63" t="e">
        <f t="shared" si="4"/>
        <v>#N/A</v>
      </c>
    </row>
    <row r="273" spans="1:12">
      <c r="A273" s="9">
        <v>445076</v>
      </c>
      <c r="E273" s="9">
        <v>8935001724087</v>
      </c>
      <c r="F273" s="9" t="s">
        <v>322</v>
      </c>
      <c r="G273" s="29">
        <v>252583</v>
      </c>
      <c r="J273" s="8">
        <f>VLOOKUP(G273,[1]Sheet1!$B:$L,1,0)</f>
        <v>252583</v>
      </c>
      <c r="K273" s="8" t="e">
        <f>VLOOKUP(J273,[2]Sheet1!$D:$F,3,0)</f>
        <v>#N/A</v>
      </c>
      <c r="L273" s="63" t="e">
        <f t="shared" si="4"/>
        <v>#N/A</v>
      </c>
    </row>
    <row r="274" spans="1:12">
      <c r="A274" s="9">
        <v>445077</v>
      </c>
      <c r="E274" s="9">
        <v>8935001724063</v>
      </c>
      <c r="F274" s="9" t="s">
        <v>323</v>
      </c>
      <c r="G274" s="29">
        <v>252584</v>
      </c>
      <c r="J274" s="8">
        <f>VLOOKUP(G274,[1]Sheet1!$B:$L,1,0)</f>
        <v>252584</v>
      </c>
      <c r="K274" s="8" t="e">
        <f>VLOOKUP(J274,[2]Sheet1!$D:$F,3,0)</f>
        <v>#N/A</v>
      </c>
      <c r="L274" s="63" t="e">
        <f t="shared" si="4"/>
        <v>#N/A</v>
      </c>
    </row>
    <row r="275" spans="1:12">
      <c r="A275" s="9">
        <v>453003</v>
      </c>
      <c r="E275" s="9">
        <v>8429671351259</v>
      </c>
      <c r="F275" s="9" t="s">
        <v>324</v>
      </c>
      <c r="G275" s="88" t="s">
        <v>471</v>
      </c>
      <c r="J275" s="8" t="e">
        <f>VLOOKUP(G275,[1]Sheet1!$B:$L,1,0)</f>
        <v>#N/A</v>
      </c>
      <c r="K275" s="8" t="e">
        <f>VLOOKUP(J275,[2]Sheet1!$D:$F,3,0)</f>
        <v>#N/A</v>
      </c>
      <c r="L275" s="63" t="e">
        <f t="shared" si="4"/>
        <v>#N/A</v>
      </c>
    </row>
    <row r="276" spans="1:12">
      <c r="A276" s="9">
        <v>466377</v>
      </c>
      <c r="E276" s="9">
        <v>6921211114307</v>
      </c>
      <c r="F276" s="9" t="s">
        <v>325</v>
      </c>
      <c r="G276" s="29">
        <v>269088</v>
      </c>
      <c r="J276" s="8">
        <f>VLOOKUP(G276,[1]Sheet1!$B:$L,1,0)</f>
        <v>269088</v>
      </c>
      <c r="K276" s="8" t="e">
        <f>VLOOKUP(J276,[2]Sheet1!$D:$F,3,0)</f>
        <v>#N/A</v>
      </c>
      <c r="L276" s="63" t="e">
        <f t="shared" si="4"/>
        <v>#N/A</v>
      </c>
    </row>
    <row r="277" spans="1:12">
      <c r="A277" s="9">
        <v>466378</v>
      </c>
      <c r="E277" s="9">
        <v>6921211114338</v>
      </c>
      <c r="F277" s="9" t="s">
        <v>326</v>
      </c>
      <c r="G277" s="29">
        <v>269087</v>
      </c>
      <c r="J277" s="8">
        <f>VLOOKUP(G277,[1]Sheet1!$B:$L,1,0)</f>
        <v>269087</v>
      </c>
      <c r="K277" s="8" t="e">
        <f>VLOOKUP(J277,[2]Sheet1!$D:$F,3,0)</f>
        <v>#N/A</v>
      </c>
      <c r="L277" s="63" t="e">
        <f t="shared" si="4"/>
        <v>#N/A</v>
      </c>
    </row>
    <row r="278" spans="1:12">
      <c r="A278" s="9">
        <v>466380</v>
      </c>
      <c r="E278" s="9">
        <v>6921211114994</v>
      </c>
      <c r="F278" s="9" t="s">
        <v>327</v>
      </c>
      <c r="G278" s="29">
        <v>269086</v>
      </c>
      <c r="J278" s="8">
        <f>VLOOKUP(G278,[1]Sheet1!$B:$L,1,0)</f>
        <v>269086</v>
      </c>
      <c r="K278" s="8" t="e">
        <f>VLOOKUP(J278,[2]Sheet1!$D:$F,3,0)</f>
        <v>#N/A</v>
      </c>
      <c r="L278" s="63" t="e">
        <f t="shared" si="4"/>
        <v>#N/A</v>
      </c>
    </row>
    <row r="279" spans="1:12">
      <c r="A279" s="9">
        <v>471092</v>
      </c>
      <c r="E279" s="9">
        <v>1800000009428</v>
      </c>
      <c r="F279" s="9" t="s">
        <v>328</v>
      </c>
      <c r="G279" s="88" t="s">
        <v>471</v>
      </c>
      <c r="J279" s="8" t="e">
        <f>VLOOKUP(G279,[1]Sheet1!$B:$L,1,0)</f>
        <v>#N/A</v>
      </c>
      <c r="K279" s="8" t="e">
        <f>VLOOKUP(J279,[2]Sheet1!$D:$F,3,0)</f>
        <v>#N/A</v>
      </c>
      <c r="L279" s="63" t="e">
        <f t="shared" si="4"/>
        <v>#N/A</v>
      </c>
    </row>
    <row r="280" spans="1:12">
      <c r="A280" s="9">
        <v>471151</v>
      </c>
      <c r="E280" s="9">
        <v>1800000007417</v>
      </c>
      <c r="F280" s="9" t="s">
        <v>329</v>
      </c>
      <c r="G280" s="88" t="s">
        <v>471</v>
      </c>
      <c r="J280" s="8" t="e">
        <f>VLOOKUP(G280,[1]Sheet1!$B:$L,1,0)</f>
        <v>#N/A</v>
      </c>
      <c r="K280" s="8" t="e">
        <f>VLOOKUP(J280,[2]Sheet1!$D:$F,3,0)</f>
        <v>#N/A</v>
      </c>
      <c r="L280" s="63" t="e">
        <f t="shared" si="4"/>
        <v>#N/A</v>
      </c>
    </row>
    <row r="281" spans="1:12">
      <c r="A281" s="9">
        <v>471629</v>
      </c>
      <c r="E281" s="9">
        <v>8935001724544</v>
      </c>
      <c r="F281" s="9" t="s">
        <v>330</v>
      </c>
      <c r="G281" s="29">
        <v>271358</v>
      </c>
      <c r="J281" s="8">
        <f>VLOOKUP(G281,[1]Sheet1!$B:$L,1,0)</f>
        <v>271358</v>
      </c>
      <c r="K281" s="8" t="e">
        <f>VLOOKUP(J281,[2]Sheet1!$D:$F,3,0)</f>
        <v>#N/A</v>
      </c>
      <c r="L281" s="63" t="e">
        <f t="shared" si="4"/>
        <v>#N/A</v>
      </c>
    </row>
    <row r="282" spans="1:12">
      <c r="A282" s="9">
        <v>471630</v>
      </c>
      <c r="E282" s="9">
        <v>8935001724513</v>
      </c>
      <c r="F282" s="9" t="s">
        <v>331</v>
      </c>
      <c r="G282" s="29">
        <v>271359</v>
      </c>
      <c r="J282" s="8">
        <f>VLOOKUP(G282,[1]Sheet1!$B:$L,1,0)</f>
        <v>271359</v>
      </c>
      <c r="K282" s="8" t="e">
        <f>VLOOKUP(J282,[2]Sheet1!$D:$F,3,0)</f>
        <v>#N/A</v>
      </c>
      <c r="L282" s="63" t="e">
        <f t="shared" si="4"/>
        <v>#N/A</v>
      </c>
    </row>
    <row r="283" spans="1:12">
      <c r="A283" s="30">
        <v>185729</v>
      </c>
      <c r="E283" s="9">
        <v>24000175063</v>
      </c>
      <c r="F283" s="31" t="s">
        <v>332</v>
      </c>
      <c r="J283" s="8" t="e">
        <f>VLOOKUP(G283,[1]Sheet1!$B:$L,1,0)</f>
        <v>#N/A</v>
      </c>
      <c r="K283" s="8" t="e">
        <f>VLOOKUP(J283,[2]Sheet1!$D:$F,3,0)</f>
        <v>#N/A</v>
      </c>
      <c r="L283" s="63" t="e">
        <f t="shared" si="4"/>
        <v>#N/A</v>
      </c>
    </row>
    <row r="284" spans="1:12">
      <c r="A284" s="30">
        <v>185728</v>
      </c>
      <c r="E284" s="9">
        <v>24000175056</v>
      </c>
      <c r="F284" s="31" t="s">
        <v>251</v>
      </c>
      <c r="G284" s="29">
        <v>91597</v>
      </c>
      <c r="J284" s="8">
        <f>VLOOKUP(G284,[1]Sheet1!$B:$L,1,0)</f>
        <v>91597</v>
      </c>
      <c r="K284" s="8" t="e">
        <f>VLOOKUP(J284,[2]Sheet1!$D:$F,3,0)</f>
        <v>#N/A</v>
      </c>
      <c r="L284" s="63" t="e">
        <f t="shared" si="4"/>
        <v>#N/A</v>
      </c>
    </row>
    <row r="285" spans="1:12">
      <c r="A285" s="30">
        <v>185723</v>
      </c>
      <c r="E285" s="9">
        <v>24000102328</v>
      </c>
      <c r="F285" s="31" t="s">
        <v>249</v>
      </c>
      <c r="G285" s="29">
        <v>91579</v>
      </c>
      <c r="J285" s="8">
        <f>VLOOKUP(G285,[1]Sheet1!$B:$L,1,0)</f>
        <v>91579</v>
      </c>
      <c r="K285" s="8" t="e">
        <f>VLOOKUP(J285,[2]Sheet1!$D:$F,3,0)</f>
        <v>#N/A</v>
      </c>
      <c r="L285" s="63" t="e">
        <f t="shared" si="4"/>
        <v>#N/A</v>
      </c>
    </row>
    <row r="286" spans="1:12">
      <c r="A286" s="30">
        <v>394259</v>
      </c>
      <c r="E286" s="9">
        <v>6291106771343</v>
      </c>
      <c r="F286" s="31" t="s">
        <v>314</v>
      </c>
      <c r="J286" s="8" t="e">
        <f>VLOOKUP(G286,[1]Sheet1!$B:$L,1,0)</f>
        <v>#N/A</v>
      </c>
      <c r="K286" s="8" t="e">
        <f>VLOOKUP(J286,[2]Sheet1!$D:$F,3,0)</f>
        <v>#N/A</v>
      </c>
      <c r="L286" s="63" t="e">
        <f t="shared" si="4"/>
        <v>#N/A</v>
      </c>
    </row>
    <row r="287" spans="1:12">
      <c r="A287" s="30">
        <v>185738</v>
      </c>
      <c r="E287" s="9">
        <v>24000143635</v>
      </c>
      <c r="F287" s="31" t="s">
        <v>254</v>
      </c>
      <c r="J287" s="8" t="e">
        <f>VLOOKUP(G287,[1]Sheet1!$B:$L,1,0)</f>
        <v>#N/A</v>
      </c>
      <c r="K287" s="8" t="e">
        <f>VLOOKUP(J287,[2]Sheet1!$D:$F,3,0)</f>
        <v>#N/A</v>
      </c>
      <c r="L287" s="63" t="e">
        <f t="shared" si="4"/>
        <v>#N/A</v>
      </c>
    </row>
    <row r="288" spans="1:12">
      <c r="A288" s="30">
        <v>185755</v>
      </c>
      <c r="E288" s="9">
        <v>24000238195</v>
      </c>
      <c r="F288" s="31" t="s">
        <v>333</v>
      </c>
      <c r="J288" s="8" t="e">
        <f>VLOOKUP(G288,[1]Sheet1!$B:$L,1,0)</f>
        <v>#N/A</v>
      </c>
      <c r="K288" s="8" t="e">
        <f>VLOOKUP(J288,[2]Sheet1!$D:$F,3,0)</f>
        <v>#N/A</v>
      </c>
      <c r="L288" s="63" t="e">
        <f t="shared" si="4"/>
        <v>#N/A</v>
      </c>
    </row>
    <row r="289" spans="1:12">
      <c r="A289" s="30">
        <v>316190</v>
      </c>
      <c r="E289" s="9">
        <v>728028151510</v>
      </c>
      <c r="F289" s="31" t="s">
        <v>334</v>
      </c>
      <c r="J289" s="8" t="e">
        <f>VLOOKUP(G289,[1]Sheet1!$B:$L,1,0)</f>
        <v>#N/A</v>
      </c>
      <c r="K289" s="8" t="e">
        <f>VLOOKUP(J289,[2]Sheet1!$D:$F,3,0)</f>
        <v>#N/A</v>
      </c>
      <c r="L289" s="63" t="e">
        <f t="shared" si="4"/>
        <v>#N/A</v>
      </c>
    </row>
    <row r="290" spans="1:12">
      <c r="A290" s="30">
        <v>316191</v>
      </c>
      <c r="E290" s="9">
        <v>728028151527</v>
      </c>
      <c r="F290" s="31" t="s">
        <v>335</v>
      </c>
      <c r="J290" s="8" t="e">
        <f>VLOOKUP(G290,[1]Sheet1!$B:$L,1,0)</f>
        <v>#N/A</v>
      </c>
      <c r="K290" s="8" t="e">
        <f>VLOOKUP(J290,[2]Sheet1!$D:$F,3,0)</f>
        <v>#N/A</v>
      </c>
      <c r="L290" s="63" t="e">
        <f t="shared" si="4"/>
        <v>#N/A</v>
      </c>
    </row>
    <row r="291" spans="1:12">
      <c r="A291" s="30">
        <v>316192</v>
      </c>
      <c r="E291" s="9">
        <v>728028151534</v>
      </c>
      <c r="F291" s="31" t="s">
        <v>336</v>
      </c>
      <c r="J291" s="8" t="e">
        <f>VLOOKUP(G291,[1]Sheet1!$B:$L,1,0)</f>
        <v>#N/A</v>
      </c>
      <c r="K291" s="8" t="e">
        <f>VLOOKUP(J291,[2]Sheet1!$D:$F,3,0)</f>
        <v>#N/A</v>
      </c>
      <c r="L291" s="63" t="e">
        <f t="shared" si="4"/>
        <v>#N/A</v>
      </c>
    </row>
    <row r="292" spans="1:12">
      <c r="A292" s="30">
        <v>316199</v>
      </c>
      <c r="E292" s="9">
        <v>24000307082</v>
      </c>
      <c r="F292" s="31" t="s">
        <v>337</v>
      </c>
      <c r="J292" s="8" t="e">
        <f>VLOOKUP(G292,[1]Sheet1!$B:$L,1,0)</f>
        <v>#N/A</v>
      </c>
      <c r="K292" s="8" t="e">
        <f>VLOOKUP(J292,[2]Sheet1!$D:$F,3,0)</f>
        <v>#N/A</v>
      </c>
      <c r="L292" s="63" t="e">
        <f t="shared" si="4"/>
        <v>#N/A</v>
      </c>
    </row>
    <row r="293" spans="1:12">
      <c r="A293" s="30">
        <v>321125</v>
      </c>
      <c r="E293" s="9">
        <v>24000308270</v>
      </c>
      <c r="F293" s="31" t="s">
        <v>338</v>
      </c>
      <c r="J293" s="8" t="e">
        <f>VLOOKUP(G293,[1]Sheet1!$B:$L,1,0)</f>
        <v>#N/A</v>
      </c>
      <c r="K293" s="8" t="e">
        <f>VLOOKUP(J293,[2]Sheet1!$D:$F,3,0)</f>
        <v>#N/A</v>
      </c>
      <c r="L293" s="63" t="e">
        <f t="shared" si="4"/>
        <v>#N/A</v>
      </c>
    </row>
    <row r="294" spans="1:12">
      <c r="A294" s="30">
        <v>321126</v>
      </c>
      <c r="E294" s="9">
        <v>24000308263</v>
      </c>
      <c r="F294" s="31" t="s">
        <v>339</v>
      </c>
      <c r="J294" s="8" t="e">
        <f>VLOOKUP(G294,[1]Sheet1!$B:$L,1,0)</f>
        <v>#N/A</v>
      </c>
      <c r="K294" s="8" t="e">
        <f>VLOOKUP(J294,[2]Sheet1!$D:$F,3,0)</f>
        <v>#N/A</v>
      </c>
      <c r="L294" s="63" t="e">
        <f t="shared" si="4"/>
        <v>#N/A</v>
      </c>
    </row>
    <row r="295" spans="1:12">
      <c r="A295" s="30">
        <v>185722</v>
      </c>
      <c r="E295" s="9">
        <v>24000130123</v>
      </c>
      <c r="F295" s="31" t="s">
        <v>248</v>
      </c>
      <c r="G295" s="29">
        <v>91584</v>
      </c>
      <c r="J295" s="8">
        <f>VLOOKUP(G295,[1]Sheet1!$B:$L,1,0)</f>
        <v>91584</v>
      </c>
      <c r="K295" s="8" t="e">
        <f>VLOOKUP(J295,[2]Sheet1!$D:$F,3,0)</f>
        <v>#N/A</v>
      </c>
      <c r="L295" s="63" t="e">
        <f t="shared" si="4"/>
        <v>#N/A</v>
      </c>
    </row>
    <row r="296" spans="1:12">
      <c r="A296" s="30">
        <v>185725</v>
      </c>
      <c r="E296" s="9">
        <v>736211761033</v>
      </c>
      <c r="F296" s="31" t="s">
        <v>340</v>
      </c>
      <c r="J296" s="8" t="e">
        <f>VLOOKUP(G296,[1]Sheet1!$B:$L,1,0)</f>
        <v>#N/A</v>
      </c>
      <c r="K296" s="8" t="e">
        <f>VLOOKUP(J296,[2]Sheet1!$D:$F,3,0)</f>
        <v>#N/A</v>
      </c>
      <c r="L296" s="63" t="e">
        <f t="shared" si="4"/>
        <v>#N/A</v>
      </c>
    </row>
    <row r="297" spans="1:12">
      <c r="A297" s="30">
        <v>185724</v>
      </c>
      <c r="E297" s="9">
        <v>736211760937</v>
      </c>
      <c r="F297" s="31" t="s">
        <v>341</v>
      </c>
      <c r="J297" s="8" t="e">
        <f>VLOOKUP(G297,[1]Sheet1!$B:$L,1,0)</f>
        <v>#N/A</v>
      </c>
      <c r="K297" s="8" t="e">
        <f>VLOOKUP(J297,[2]Sheet1!$D:$F,3,0)</f>
        <v>#N/A</v>
      </c>
      <c r="L297" s="63" t="e">
        <f t="shared" si="4"/>
        <v>#N/A</v>
      </c>
    </row>
    <row r="298" spans="1:12">
      <c r="A298" s="30">
        <v>320954</v>
      </c>
      <c r="E298" s="9">
        <v>24000100171</v>
      </c>
      <c r="F298" s="31" t="s">
        <v>342</v>
      </c>
      <c r="J298" s="8" t="e">
        <f>VLOOKUP(G298,[1]Sheet1!$B:$L,1,0)</f>
        <v>#N/A</v>
      </c>
      <c r="K298" s="8" t="e">
        <f>VLOOKUP(J298,[2]Sheet1!$D:$F,3,0)</f>
        <v>#N/A</v>
      </c>
      <c r="L298" s="63" t="e">
        <f t="shared" si="4"/>
        <v>#N/A</v>
      </c>
    </row>
    <row r="299" spans="1:12">
      <c r="A299" s="30">
        <v>185713</v>
      </c>
      <c r="E299" s="9">
        <v>24000011477</v>
      </c>
      <c r="F299" s="31" t="s">
        <v>242</v>
      </c>
      <c r="G299" s="29">
        <v>91538</v>
      </c>
      <c r="J299" s="8">
        <f>VLOOKUP(G299,[1]Sheet1!$B:$L,1,0)</f>
        <v>91538</v>
      </c>
      <c r="K299" s="8" t="e">
        <f>VLOOKUP(J299,[2]Sheet1!$D:$F,3,0)</f>
        <v>#N/A</v>
      </c>
      <c r="L299" s="63" t="e">
        <f t="shared" si="4"/>
        <v>#N/A</v>
      </c>
    </row>
    <row r="300" spans="1:12">
      <c r="A300" s="30">
        <v>185714</v>
      </c>
      <c r="E300" s="9">
        <v>24000024675</v>
      </c>
      <c r="F300" s="31" t="s">
        <v>243</v>
      </c>
      <c r="G300" s="29">
        <v>91531</v>
      </c>
      <c r="J300" s="8">
        <f>VLOOKUP(G300,[1]Sheet1!$B:$L,1,0)</f>
        <v>91531</v>
      </c>
      <c r="K300" s="8" t="e">
        <f>VLOOKUP(J300,[2]Sheet1!$D:$F,3,0)</f>
        <v>#N/A</v>
      </c>
      <c r="L300" s="63" t="e">
        <f t="shared" si="4"/>
        <v>#N/A</v>
      </c>
    </row>
    <row r="301" spans="1:12">
      <c r="A301" s="30">
        <v>185715</v>
      </c>
      <c r="E301" s="9">
        <v>24000010920</v>
      </c>
      <c r="F301" s="31" t="s">
        <v>244</v>
      </c>
      <c r="G301" s="29">
        <v>91535</v>
      </c>
      <c r="J301" s="8">
        <f>VLOOKUP(G301,[1]Sheet1!$B:$L,1,0)</f>
        <v>91535</v>
      </c>
      <c r="K301" s="8" t="e">
        <f>VLOOKUP(J301,[2]Sheet1!$D:$F,3,0)</f>
        <v>#N/A</v>
      </c>
      <c r="L301" s="63" t="e">
        <f t="shared" si="4"/>
        <v>#N/A</v>
      </c>
    </row>
    <row r="302" spans="1:12">
      <c r="A302" s="30">
        <v>369855</v>
      </c>
      <c r="E302" s="9">
        <v>6291106770308</v>
      </c>
      <c r="F302" s="31" t="s">
        <v>313</v>
      </c>
      <c r="J302" s="8" t="e">
        <f>VLOOKUP(G302,[1]Sheet1!$B:$L,1,0)</f>
        <v>#N/A</v>
      </c>
      <c r="K302" s="8" t="e">
        <f>VLOOKUP(J302,[2]Sheet1!$D:$F,3,0)</f>
        <v>#N/A</v>
      </c>
      <c r="L302" s="63" t="e">
        <f t="shared" si="4"/>
        <v>#N/A</v>
      </c>
    </row>
    <row r="303" spans="1:12">
      <c r="A303" s="30">
        <v>316195</v>
      </c>
      <c r="E303" s="9">
        <v>24000243656</v>
      </c>
      <c r="F303" s="31" t="s">
        <v>343</v>
      </c>
      <c r="J303" s="8" t="e">
        <f>VLOOKUP(G303,[1]Sheet1!$B:$L,1,0)</f>
        <v>#N/A</v>
      </c>
      <c r="K303" s="8" t="e">
        <f>VLOOKUP(J303,[2]Sheet1!$D:$F,3,0)</f>
        <v>#N/A</v>
      </c>
      <c r="L303" s="63" t="e">
        <f t="shared" si="4"/>
        <v>#N/A</v>
      </c>
    </row>
    <row r="304" spans="1:12">
      <c r="A304" s="30">
        <v>316198</v>
      </c>
      <c r="E304" s="9">
        <v>24000307075</v>
      </c>
      <c r="F304" s="31" t="s">
        <v>344</v>
      </c>
      <c r="J304" s="8" t="e">
        <f>VLOOKUP(G304,[1]Sheet1!$B:$L,1,0)</f>
        <v>#N/A</v>
      </c>
      <c r="K304" s="8" t="e">
        <f>VLOOKUP(J304,[2]Sheet1!$D:$F,3,0)</f>
        <v>#N/A</v>
      </c>
      <c r="L304" s="63" t="e">
        <f t="shared" si="4"/>
        <v>#N/A</v>
      </c>
    </row>
    <row r="305" spans="1:12">
      <c r="A305" s="30">
        <v>185753</v>
      </c>
      <c r="E305" s="9">
        <v>24000238188</v>
      </c>
      <c r="F305" s="31" t="s">
        <v>257</v>
      </c>
      <c r="G305" s="29">
        <v>165100</v>
      </c>
      <c r="J305" s="8">
        <f>VLOOKUP(G305,[1]Sheet1!$B:$L,1,0)</f>
        <v>165100</v>
      </c>
      <c r="K305" s="8" t="e">
        <f>VLOOKUP(J305,[2]Sheet1!$D:$F,3,0)</f>
        <v>#N/A</v>
      </c>
      <c r="L305" s="63" t="e">
        <f t="shared" si="4"/>
        <v>#N/A</v>
      </c>
    </row>
    <row r="306" spans="1:12">
      <c r="A306" s="30">
        <v>185720</v>
      </c>
      <c r="E306" s="9">
        <v>24000104582</v>
      </c>
      <c r="F306" s="31" t="s">
        <v>345</v>
      </c>
      <c r="G306" s="29">
        <v>91599</v>
      </c>
      <c r="J306" s="8">
        <f>VLOOKUP(G306,[1]Sheet1!$B:$L,1,0)</f>
        <v>91599</v>
      </c>
      <c r="K306" s="8" t="e">
        <f>VLOOKUP(J306,[2]Sheet1!$D:$F,3,0)</f>
        <v>#N/A</v>
      </c>
      <c r="L306" s="63" t="e">
        <f t="shared" si="4"/>
        <v>#N/A</v>
      </c>
    </row>
    <row r="307" spans="1:12">
      <c r="A307" s="30">
        <v>353886</v>
      </c>
      <c r="E307" s="9">
        <v>6291106772029</v>
      </c>
      <c r="F307" s="31" t="s">
        <v>310</v>
      </c>
      <c r="G307" s="29">
        <v>198563</v>
      </c>
      <c r="J307" s="8">
        <f>VLOOKUP(G307,[1]Sheet1!$B:$L,1,0)</f>
        <v>198563</v>
      </c>
      <c r="K307" s="8" t="e">
        <f>VLOOKUP(J307,[2]Sheet1!$D:$F,3,0)</f>
        <v>#N/A</v>
      </c>
      <c r="L307" s="63" t="e">
        <f t="shared" si="4"/>
        <v>#N/A</v>
      </c>
    </row>
    <row r="308" spans="1:12">
      <c r="A308" s="30">
        <v>320953</v>
      </c>
      <c r="E308" s="9">
        <v>24000244417</v>
      </c>
      <c r="F308" s="31" t="s">
        <v>291</v>
      </c>
      <c r="G308" s="29">
        <v>193127</v>
      </c>
      <c r="J308" s="8">
        <f>VLOOKUP(G308,[1]Sheet1!$B:$L,1,0)</f>
        <v>193127</v>
      </c>
      <c r="K308" s="8" t="e">
        <f>VLOOKUP(J308,[2]Sheet1!$D:$F,3,0)</f>
        <v>#N/A</v>
      </c>
      <c r="L308" s="63" t="e">
        <f t="shared" si="4"/>
        <v>#N/A</v>
      </c>
    </row>
    <row r="309" spans="1:12">
      <c r="A309" s="30">
        <v>1092119</v>
      </c>
      <c r="E309" s="9">
        <v>6291106770339</v>
      </c>
      <c r="F309" s="31" t="s">
        <v>195</v>
      </c>
      <c r="J309" s="8" t="e">
        <f>VLOOKUP(G309,[1]Sheet1!$B:$L,1,0)</f>
        <v>#N/A</v>
      </c>
      <c r="K309" s="8" t="e">
        <f>VLOOKUP(J309,[2]Sheet1!$D:$F,3,0)</f>
        <v>#N/A</v>
      </c>
      <c r="L309" s="63" t="e">
        <f t="shared" si="4"/>
        <v>#N/A</v>
      </c>
    </row>
    <row r="310" spans="1:12">
      <c r="A310" s="30">
        <v>185721</v>
      </c>
      <c r="E310" s="9">
        <v>24000156123</v>
      </c>
      <c r="F310" s="31" t="s">
        <v>247</v>
      </c>
      <c r="G310" s="29">
        <v>91589</v>
      </c>
      <c r="H310" s="45" t="s">
        <v>422</v>
      </c>
      <c r="J310" s="8">
        <f>VLOOKUP(G310,[1]Sheet1!$B:$L,1,0)</f>
        <v>91589</v>
      </c>
      <c r="K310" s="8" t="e">
        <f>VLOOKUP(J310,[2]Sheet1!$D:$F,3,0)</f>
        <v>#N/A</v>
      </c>
      <c r="L310" s="63" t="e">
        <f t="shared" si="4"/>
        <v>#N/A</v>
      </c>
    </row>
    <row r="311" spans="1:12">
      <c r="A311" s="30">
        <v>316197</v>
      </c>
      <c r="E311" s="9">
        <v>24000307068</v>
      </c>
      <c r="F311" s="31" t="s">
        <v>346</v>
      </c>
      <c r="J311" s="8" t="e">
        <f>VLOOKUP(G311,[1]Sheet1!$B:$L,1,0)</f>
        <v>#N/A</v>
      </c>
      <c r="K311" s="8" t="e">
        <f>VLOOKUP(J311,[2]Sheet1!$D:$F,3,0)</f>
        <v>#N/A</v>
      </c>
      <c r="L311" s="63" t="e">
        <f t="shared" si="4"/>
        <v>#N/A</v>
      </c>
    </row>
    <row r="312" spans="1:12">
      <c r="A312" s="30">
        <v>1107322</v>
      </c>
      <c r="E312" s="9">
        <v>6291107147789</v>
      </c>
      <c r="F312" s="31" t="s">
        <v>205</v>
      </c>
      <c r="J312" s="8" t="e">
        <f>VLOOKUP(G312,[1]Sheet1!$B:$L,1,0)</f>
        <v>#N/A</v>
      </c>
      <c r="K312" s="8" t="e">
        <f>VLOOKUP(J312,[2]Sheet1!$D:$F,3,0)</f>
        <v>#N/A</v>
      </c>
      <c r="L312" s="63" t="e">
        <f t="shared" si="4"/>
        <v>#N/A</v>
      </c>
    </row>
    <row r="313" spans="1:12">
      <c r="A313" s="30">
        <v>316196</v>
      </c>
      <c r="E313" s="9">
        <v>24000243663</v>
      </c>
      <c r="F313" s="31" t="s">
        <v>347</v>
      </c>
      <c r="J313" s="8" t="e">
        <f>VLOOKUP(G313,[1]Sheet1!$B:$L,1,0)</f>
        <v>#N/A</v>
      </c>
      <c r="K313" s="8" t="e">
        <f>VLOOKUP(J313,[2]Sheet1!$D:$F,3,0)</f>
        <v>#N/A</v>
      </c>
      <c r="L313" s="63" t="e">
        <f t="shared" si="4"/>
        <v>#N/A</v>
      </c>
    </row>
    <row r="314" spans="1:12">
      <c r="A314" s="30">
        <v>1107323</v>
      </c>
      <c r="E314" s="9">
        <v>6291107147772</v>
      </c>
      <c r="F314" s="31" t="s">
        <v>206</v>
      </c>
      <c r="J314" s="8" t="e">
        <f>VLOOKUP(G314,[1]Sheet1!$B:$L,1,0)</f>
        <v>#N/A</v>
      </c>
      <c r="K314" s="8" t="e">
        <f>VLOOKUP(J314,[2]Sheet1!$D:$F,3,0)</f>
        <v>#N/A</v>
      </c>
      <c r="L314" s="63" t="e">
        <f t="shared" si="4"/>
        <v>#N/A</v>
      </c>
    </row>
    <row r="315" spans="1:12">
      <c r="A315" s="30">
        <v>1033540</v>
      </c>
      <c r="E315" s="9">
        <v>24000106470</v>
      </c>
      <c r="F315" s="31" t="s">
        <v>154</v>
      </c>
      <c r="G315" s="29">
        <v>296891</v>
      </c>
      <c r="J315" s="8">
        <f>VLOOKUP(G315,[1]Sheet1!$B:$L,1,0)</f>
        <v>296891</v>
      </c>
      <c r="K315" s="8" t="e">
        <f>VLOOKUP(J315,[2]Sheet1!$D:$F,3,0)</f>
        <v>#N/A</v>
      </c>
      <c r="L315" s="63" t="e">
        <f t="shared" si="4"/>
        <v>#N/A</v>
      </c>
    </row>
    <row r="316" spans="1:12">
      <c r="A316" s="30">
        <v>185752</v>
      </c>
      <c r="E316" s="9">
        <v>24000238171</v>
      </c>
      <c r="F316" s="31" t="s">
        <v>256</v>
      </c>
      <c r="G316" s="29">
        <v>165099</v>
      </c>
      <c r="J316" s="8">
        <f>VLOOKUP(G316,[1]Sheet1!$B:$L,1,0)</f>
        <v>165099</v>
      </c>
      <c r="K316" s="8" t="e">
        <f>VLOOKUP(J316,[2]Sheet1!$D:$F,3,0)</f>
        <v>#N/A</v>
      </c>
      <c r="L316" s="63" t="e">
        <f t="shared" si="4"/>
        <v>#N/A</v>
      </c>
    </row>
    <row r="317" spans="1:12">
      <c r="A317" s="30">
        <v>344229</v>
      </c>
      <c r="E317" s="9">
        <v>6291106772296</v>
      </c>
      <c r="F317" s="31" t="s">
        <v>348</v>
      </c>
      <c r="J317" s="8" t="e">
        <f>VLOOKUP(G317,[1]Sheet1!$B:$L,1,0)</f>
        <v>#N/A</v>
      </c>
      <c r="K317" s="8" t="e">
        <f>VLOOKUP(J317,[2]Sheet1!$D:$F,3,0)</f>
        <v>#N/A</v>
      </c>
      <c r="L317" s="63" t="e">
        <f t="shared" si="4"/>
        <v>#N/A</v>
      </c>
    </row>
    <row r="318" spans="1:12">
      <c r="A318" s="30">
        <v>1107321</v>
      </c>
      <c r="E318" s="9">
        <v>6291106770414</v>
      </c>
      <c r="F318" s="31" t="s">
        <v>204</v>
      </c>
      <c r="J318" s="8" t="e">
        <f>VLOOKUP(G318,[1]Sheet1!$B:$L,1,0)</f>
        <v>#N/A</v>
      </c>
      <c r="K318" s="8" t="e">
        <f>VLOOKUP(J318,[2]Sheet1!$D:$F,3,0)</f>
        <v>#N/A</v>
      </c>
      <c r="L318" s="63" t="e">
        <f t="shared" si="4"/>
        <v>#N/A</v>
      </c>
    </row>
    <row r="319" spans="1:12">
      <c r="A319" s="30">
        <v>185719</v>
      </c>
      <c r="E319" s="9">
        <v>24000025528</v>
      </c>
      <c r="F319" s="31" t="s">
        <v>245</v>
      </c>
      <c r="G319" s="29">
        <v>91552</v>
      </c>
      <c r="J319" s="8">
        <f>VLOOKUP(G319,[1]Sheet1!$B:$L,1,0)</f>
        <v>91552</v>
      </c>
      <c r="K319" s="8" t="e">
        <f>VLOOKUP(J319,[2]Sheet1!$D:$F,3,0)</f>
        <v>#N/A</v>
      </c>
      <c r="L319" s="63" t="e">
        <f t="shared" si="4"/>
        <v>#N/A</v>
      </c>
    </row>
    <row r="320" spans="1:12">
      <c r="A320" s="30">
        <v>185718</v>
      </c>
      <c r="E320" s="9">
        <v>24000010418</v>
      </c>
      <c r="F320" s="31" t="s">
        <v>349</v>
      </c>
      <c r="G320" s="29">
        <v>91554</v>
      </c>
      <c r="J320" s="8">
        <f>VLOOKUP(G320,[1]Sheet1!$B:$L,1,0)</f>
        <v>91554</v>
      </c>
      <c r="K320" s="8" t="e">
        <f>VLOOKUP(J320,[2]Sheet1!$D:$F,3,0)</f>
        <v>#N/A</v>
      </c>
      <c r="L320" s="63" t="e">
        <f t="shared" si="4"/>
        <v>#N/A</v>
      </c>
    </row>
    <row r="321" spans="1:12">
      <c r="A321" s="30">
        <v>316187</v>
      </c>
      <c r="E321" s="9">
        <v>24000025993</v>
      </c>
      <c r="F321" s="31" t="s">
        <v>286</v>
      </c>
      <c r="G321" s="29">
        <v>91555</v>
      </c>
      <c r="J321" s="8">
        <f>VLOOKUP(G321,[1]Sheet1!$B:$L,1,0)</f>
        <v>91555</v>
      </c>
      <c r="K321" s="8" t="e">
        <f>VLOOKUP(J321,[2]Sheet1!$D:$F,3,0)</f>
        <v>#N/A</v>
      </c>
      <c r="L321" s="63" t="e">
        <f t="shared" si="4"/>
        <v>#N/A</v>
      </c>
    </row>
    <row r="322" spans="1:12">
      <c r="A322" s="30">
        <v>185754</v>
      </c>
      <c r="E322" s="9">
        <v>24000238201</v>
      </c>
      <c r="F322" s="31" t="s">
        <v>258</v>
      </c>
      <c r="G322" s="29">
        <v>165101</v>
      </c>
      <c r="J322" s="8">
        <f>VLOOKUP(G322,[1]Sheet1!$B:$L,1,0)</f>
        <v>165101</v>
      </c>
      <c r="K322" s="8" t="e">
        <f>VLOOKUP(J322,[2]Sheet1!$D:$F,3,0)</f>
        <v>#N/A</v>
      </c>
      <c r="L322" s="63" t="e">
        <f t="shared" si="4"/>
        <v>#N/A</v>
      </c>
    </row>
    <row r="323" spans="1:12">
      <c r="A323" s="30">
        <v>185739</v>
      </c>
      <c r="E323" s="9">
        <v>24000067931</v>
      </c>
      <c r="F323" s="31" t="s">
        <v>255</v>
      </c>
      <c r="J323" s="8" t="e">
        <f>VLOOKUP(G323,[1]Sheet1!$B:$L,1,0)</f>
        <v>#N/A</v>
      </c>
      <c r="K323" s="8" t="e">
        <f>VLOOKUP(J323,[2]Sheet1!$D:$F,3,0)</f>
        <v>#N/A</v>
      </c>
      <c r="L323" s="63" t="e">
        <f t="shared" ref="L323:L386" si="5">K323-A323</f>
        <v>#N/A</v>
      </c>
    </row>
    <row r="324" spans="1:12">
      <c r="A324" s="30">
        <v>316194</v>
      </c>
      <c r="E324" s="9">
        <v>24000243649</v>
      </c>
      <c r="F324" s="31" t="s">
        <v>350</v>
      </c>
      <c r="J324" s="8" t="e">
        <f>VLOOKUP(G324,[1]Sheet1!$B:$L,1,0)</f>
        <v>#N/A</v>
      </c>
      <c r="K324" s="8" t="e">
        <f>VLOOKUP(J324,[2]Sheet1!$D:$F,3,0)</f>
        <v>#N/A</v>
      </c>
      <c r="L324" s="63" t="e">
        <f t="shared" si="5"/>
        <v>#N/A</v>
      </c>
    </row>
    <row r="325" spans="1:12">
      <c r="A325" s="30">
        <v>344228</v>
      </c>
      <c r="E325" s="9">
        <v>6291106772258</v>
      </c>
      <c r="F325" s="31" t="s">
        <v>351</v>
      </c>
      <c r="J325" s="8" t="e">
        <f>VLOOKUP(G325,[1]Sheet1!$B:$L,1,0)</f>
        <v>#N/A</v>
      </c>
      <c r="K325" s="8" t="e">
        <f>VLOOKUP(J325,[2]Sheet1!$D:$F,3,0)</f>
        <v>#N/A</v>
      </c>
      <c r="L325" s="63" t="e">
        <f t="shared" si="5"/>
        <v>#N/A</v>
      </c>
    </row>
    <row r="326" spans="1:12">
      <c r="A326" s="30">
        <v>1092121</v>
      </c>
      <c r="E326" s="9">
        <v>6291106770476</v>
      </c>
      <c r="F326" s="31" t="s">
        <v>197</v>
      </c>
      <c r="J326" s="8" t="e">
        <f>VLOOKUP(G326,[1]Sheet1!$B:$L,1,0)</f>
        <v>#N/A</v>
      </c>
      <c r="K326" s="8" t="e">
        <f>VLOOKUP(J326,[2]Sheet1!$D:$F,3,0)</f>
        <v>#N/A</v>
      </c>
      <c r="L326" s="63" t="e">
        <f t="shared" si="5"/>
        <v>#N/A</v>
      </c>
    </row>
    <row r="327" spans="1:12">
      <c r="A327" s="30">
        <v>185709</v>
      </c>
      <c r="E327" s="9">
        <v>24000012306</v>
      </c>
      <c r="F327" s="31" t="s">
        <v>241</v>
      </c>
      <c r="G327" s="29">
        <v>91568</v>
      </c>
      <c r="J327" s="8">
        <f>VLOOKUP(G327,[1]Sheet1!$B:$L,1,0)</f>
        <v>91568</v>
      </c>
      <c r="K327" s="8" t="e">
        <f>VLOOKUP(J327,[2]Sheet1!$D:$F,3,0)</f>
        <v>#N/A</v>
      </c>
      <c r="L327" s="63" t="e">
        <f t="shared" si="5"/>
        <v>#N/A</v>
      </c>
    </row>
    <row r="328" spans="1:12">
      <c r="A328" s="30">
        <v>168720</v>
      </c>
      <c r="E328" s="9">
        <v>24000008934</v>
      </c>
      <c r="F328" s="31" t="s">
        <v>240</v>
      </c>
      <c r="G328" s="29">
        <v>91570</v>
      </c>
      <c r="J328" s="8">
        <f>VLOOKUP(G328,[1]Sheet1!$B:$L,1,0)</f>
        <v>91570</v>
      </c>
      <c r="K328" s="8" t="e">
        <f>VLOOKUP(J328,[2]Sheet1!$D:$F,3,0)</f>
        <v>#N/A</v>
      </c>
      <c r="L328" s="63" t="e">
        <f t="shared" si="5"/>
        <v>#N/A</v>
      </c>
    </row>
    <row r="329" spans="1:12">
      <c r="A329" s="30">
        <v>1092120</v>
      </c>
      <c r="E329" s="9">
        <v>6291106770421</v>
      </c>
      <c r="F329" s="31" t="s">
        <v>196</v>
      </c>
      <c r="J329" s="8" t="e">
        <f>VLOOKUP(G329,[1]Sheet1!$B:$L,1,0)</f>
        <v>#N/A</v>
      </c>
      <c r="K329" s="8" t="e">
        <f>VLOOKUP(J329,[2]Sheet1!$D:$F,3,0)</f>
        <v>#N/A</v>
      </c>
      <c r="L329" s="63" t="e">
        <f t="shared" si="5"/>
        <v>#N/A</v>
      </c>
    </row>
    <row r="330" spans="1:12">
      <c r="A330" s="30">
        <v>316189</v>
      </c>
      <c r="E330" s="9">
        <v>24000015970</v>
      </c>
      <c r="F330" s="31" t="s">
        <v>288</v>
      </c>
      <c r="G330" s="29">
        <v>91572</v>
      </c>
      <c r="J330" s="8">
        <f>VLOOKUP(G330,[1]Sheet1!$B:$L,1,0)</f>
        <v>91572</v>
      </c>
      <c r="K330" s="8" t="e">
        <f>VLOOKUP(J330,[2]Sheet1!$D:$F,3,0)</f>
        <v>#N/A</v>
      </c>
      <c r="L330" s="63" t="e">
        <f t="shared" si="5"/>
        <v>#N/A</v>
      </c>
    </row>
    <row r="331" spans="1:12">
      <c r="A331" s="30">
        <v>369854</v>
      </c>
      <c r="E331" s="9">
        <v>753212223346</v>
      </c>
      <c r="F331" s="31" t="s">
        <v>312</v>
      </c>
      <c r="J331" s="8" t="e">
        <f>VLOOKUP(G331,[1]Sheet1!$B:$L,1,0)</f>
        <v>#N/A</v>
      </c>
      <c r="K331" s="8" t="e">
        <f>VLOOKUP(J331,[2]Sheet1!$D:$F,3,0)</f>
        <v>#N/A</v>
      </c>
      <c r="L331" s="63" t="e">
        <f t="shared" si="5"/>
        <v>#N/A</v>
      </c>
    </row>
    <row r="332" spans="1:12">
      <c r="A332" s="30">
        <v>102261</v>
      </c>
      <c r="E332" s="9">
        <v>24000012412</v>
      </c>
      <c r="F332" s="31" t="s">
        <v>352</v>
      </c>
      <c r="G332" s="29">
        <v>91575</v>
      </c>
      <c r="J332" s="8">
        <f>VLOOKUP(G332,[1]Sheet1!$B:$L,1,0)</f>
        <v>91575</v>
      </c>
      <c r="K332" s="8" t="e">
        <f>VLOOKUP(J332,[2]Sheet1!$D:$F,3,0)</f>
        <v>#N/A</v>
      </c>
      <c r="L332" s="63" t="e">
        <f t="shared" si="5"/>
        <v>#N/A</v>
      </c>
    </row>
    <row r="333" spans="1:12">
      <c r="A333" s="30">
        <v>102262</v>
      </c>
      <c r="E333" s="9">
        <v>4800024550057</v>
      </c>
      <c r="F333" s="31" t="s">
        <v>115</v>
      </c>
      <c r="G333" s="29">
        <v>91607</v>
      </c>
      <c r="J333" s="8">
        <f>VLOOKUP(G333,[1]Sheet1!$B:$L,1,0)</f>
        <v>91607</v>
      </c>
      <c r="K333" s="8" t="e">
        <f>VLOOKUP(J333,[2]Sheet1!$D:$F,3,0)</f>
        <v>#N/A</v>
      </c>
      <c r="L333" s="63" t="e">
        <f t="shared" si="5"/>
        <v>#N/A</v>
      </c>
    </row>
    <row r="334" spans="1:12">
      <c r="A334" s="30">
        <v>102263</v>
      </c>
      <c r="E334" s="9">
        <v>4800024562692</v>
      </c>
      <c r="F334" s="31" t="s">
        <v>145</v>
      </c>
      <c r="G334" s="29">
        <v>91604</v>
      </c>
      <c r="J334" s="8">
        <f>VLOOKUP(G334,[1]Sheet1!$B:$L,1,0)</f>
        <v>91604</v>
      </c>
      <c r="K334" s="8" t="e">
        <f>VLOOKUP(J334,[2]Sheet1!$D:$F,3,0)</f>
        <v>#N/A</v>
      </c>
      <c r="L334" s="63" t="e">
        <f t="shared" si="5"/>
        <v>#N/A</v>
      </c>
    </row>
    <row r="335" spans="1:12">
      <c r="A335" s="30">
        <v>102265</v>
      </c>
      <c r="E335" s="9">
        <v>4800024550088</v>
      </c>
      <c r="F335" s="31" t="s">
        <v>116</v>
      </c>
      <c r="G335" s="29">
        <v>91608</v>
      </c>
      <c r="J335" s="8">
        <f>VLOOKUP(G335,[1]Sheet1!$B:$L,1,0)</f>
        <v>91608</v>
      </c>
      <c r="K335" s="8" t="e">
        <f>VLOOKUP(J335,[2]Sheet1!$D:$F,3,0)</f>
        <v>#N/A</v>
      </c>
      <c r="L335" s="63" t="e">
        <f t="shared" si="5"/>
        <v>#N/A</v>
      </c>
    </row>
    <row r="336" spans="1:12">
      <c r="A336" s="30">
        <v>1107310</v>
      </c>
      <c r="E336" s="9">
        <v>6291106770452</v>
      </c>
      <c r="F336" s="31" t="s">
        <v>353</v>
      </c>
      <c r="J336" s="8" t="e">
        <f>VLOOKUP(G336,[1]Sheet1!$B:$L,1,0)</f>
        <v>#N/A</v>
      </c>
      <c r="K336" s="8" t="e">
        <f>VLOOKUP(J336,[2]Sheet1!$D:$F,3,0)</f>
        <v>#N/A</v>
      </c>
      <c r="L336" s="63" t="e">
        <f t="shared" si="5"/>
        <v>#N/A</v>
      </c>
    </row>
    <row r="337" spans="1:12">
      <c r="A337" s="30">
        <v>102266</v>
      </c>
      <c r="E337" s="9">
        <v>24000012313</v>
      </c>
      <c r="F337" s="31" t="s">
        <v>354</v>
      </c>
      <c r="G337" s="29">
        <v>91566</v>
      </c>
      <c r="J337" s="8">
        <f>VLOOKUP(G337,[1]Sheet1!$B:$L,1,0)</f>
        <v>91566</v>
      </c>
      <c r="K337" s="8" t="e">
        <f>VLOOKUP(J337,[2]Sheet1!$D:$F,3,0)</f>
        <v>#N/A</v>
      </c>
      <c r="L337" s="63" t="e">
        <f t="shared" si="5"/>
        <v>#N/A</v>
      </c>
    </row>
    <row r="338" spans="1:12">
      <c r="A338" s="30">
        <v>316188</v>
      </c>
      <c r="E338" s="9">
        <v>24000015963</v>
      </c>
      <c r="F338" s="31" t="s">
        <v>287</v>
      </c>
      <c r="G338" s="29">
        <v>91560</v>
      </c>
      <c r="J338" s="8">
        <f>VLOOKUP(G338,[1]Sheet1!$B:$L,1,0)</f>
        <v>91560</v>
      </c>
      <c r="K338" s="8" t="e">
        <f>VLOOKUP(J338,[2]Sheet1!$D:$F,3,0)</f>
        <v>#N/A</v>
      </c>
      <c r="L338" s="63" t="e">
        <f t="shared" si="5"/>
        <v>#N/A</v>
      </c>
    </row>
    <row r="339" spans="1:12">
      <c r="A339" s="30">
        <v>185726</v>
      </c>
      <c r="E339" s="9">
        <v>24000074342</v>
      </c>
      <c r="F339" s="31" t="s">
        <v>250</v>
      </c>
      <c r="G339" s="29">
        <v>91592</v>
      </c>
      <c r="J339" s="8">
        <f>VLOOKUP(G339,[1]Sheet1!$B:$L,1,0)</f>
        <v>91592</v>
      </c>
      <c r="K339" s="8" t="e">
        <f>VLOOKUP(J339,[2]Sheet1!$D:$F,3,0)</f>
        <v>#N/A</v>
      </c>
      <c r="L339" s="63" t="e">
        <f t="shared" si="5"/>
        <v>#N/A</v>
      </c>
    </row>
    <row r="340" spans="1:12">
      <c r="A340" s="30">
        <v>185756</v>
      </c>
      <c r="E340" s="9">
        <v>24000238164</v>
      </c>
      <c r="F340" s="31" t="s">
        <v>355</v>
      </c>
      <c r="J340" s="8" t="e">
        <f>VLOOKUP(G340,[1]Sheet1!$B:$L,1,0)</f>
        <v>#N/A</v>
      </c>
      <c r="K340" s="8" t="e">
        <f>VLOOKUP(J340,[2]Sheet1!$D:$F,3,0)</f>
        <v>#N/A</v>
      </c>
      <c r="L340" s="63" t="e">
        <f t="shared" si="5"/>
        <v>#N/A</v>
      </c>
    </row>
    <row r="341" spans="1:12">
      <c r="A341" s="30">
        <v>102267</v>
      </c>
      <c r="E341" s="9">
        <v>24000003649</v>
      </c>
      <c r="F341" s="31" t="s">
        <v>147</v>
      </c>
      <c r="G341" s="29">
        <v>91558</v>
      </c>
      <c r="J341" s="8">
        <f>VLOOKUP(G341,[1]Sheet1!$B:$L,1,0)</f>
        <v>91558</v>
      </c>
      <c r="K341" s="8" t="e">
        <f>VLOOKUP(J341,[2]Sheet1!$D:$F,3,0)</f>
        <v>#N/A</v>
      </c>
      <c r="L341" s="63" t="e">
        <f t="shared" si="5"/>
        <v>#N/A</v>
      </c>
    </row>
    <row r="342" spans="1:12">
      <c r="A342" s="30">
        <v>316193</v>
      </c>
      <c r="E342" s="9">
        <v>24000243670</v>
      </c>
      <c r="F342" s="31" t="s">
        <v>289</v>
      </c>
      <c r="J342" s="8" t="e">
        <f>VLOOKUP(G342,[1]Sheet1!$B:$L,1,0)</f>
        <v>#N/A</v>
      </c>
      <c r="K342" s="8" t="e">
        <f>VLOOKUP(J342,[2]Sheet1!$D:$F,3,0)</f>
        <v>#N/A</v>
      </c>
      <c r="L342" s="63" t="e">
        <f t="shared" si="5"/>
        <v>#N/A</v>
      </c>
    </row>
    <row r="343" spans="1:12">
      <c r="A343" s="30">
        <v>344227</v>
      </c>
      <c r="E343" s="9">
        <v>6291106772265</v>
      </c>
      <c r="F343" s="31" t="s">
        <v>356</v>
      </c>
      <c r="J343" s="8" t="e">
        <f>VLOOKUP(G343,[1]Sheet1!$B:$L,1,0)</f>
        <v>#N/A</v>
      </c>
      <c r="K343" s="8" t="e">
        <f>VLOOKUP(J343,[2]Sheet1!$D:$F,3,0)</f>
        <v>#N/A</v>
      </c>
      <c r="L343" s="63" t="e">
        <f t="shared" si="5"/>
        <v>#N/A</v>
      </c>
    </row>
    <row r="344" spans="1:12">
      <c r="A344" s="30">
        <v>1033541</v>
      </c>
      <c r="E344" s="9">
        <v>24000105237</v>
      </c>
      <c r="F344" s="31" t="s">
        <v>357</v>
      </c>
      <c r="J344" s="8" t="e">
        <f>VLOOKUP(G344,[1]Sheet1!$B:$L,1,0)</f>
        <v>#N/A</v>
      </c>
      <c r="K344" s="8" t="e">
        <f>VLOOKUP(J344,[2]Sheet1!$D:$F,3,0)</f>
        <v>#N/A</v>
      </c>
      <c r="L344" s="63" t="e">
        <f t="shared" si="5"/>
        <v>#N/A</v>
      </c>
    </row>
    <row r="345" spans="1:12">
      <c r="A345" s="30">
        <v>341037</v>
      </c>
      <c r="E345" s="9">
        <v>6291106770322</v>
      </c>
      <c r="F345" s="31" t="s">
        <v>300</v>
      </c>
      <c r="J345" s="8" t="e">
        <f>VLOOKUP(G345,[1]Sheet1!$B:$L,1,0)</f>
        <v>#N/A</v>
      </c>
      <c r="K345" s="8" t="e">
        <f>VLOOKUP(J345,[2]Sheet1!$D:$F,3,0)</f>
        <v>#N/A</v>
      </c>
      <c r="L345" s="63" t="e">
        <f t="shared" si="5"/>
        <v>#N/A</v>
      </c>
    </row>
    <row r="346" spans="1:12">
      <c r="A346" s="30">
        <v>168711</v>
      </c>
      <c r="E346" s="9">
        <v>4800024550927</v>
      </c>
      <c r="F346" s="31" t="s">
        <v>117</v>
      </c>
      <c r="G346" s="29">
        <v>91606</v>
      </c>
      <c r="J346" s="8">
        <f>VLOOKUP(G346,[1]Sheet1!$B:$L,1,0)</f>
        <v>91606</v>
      </c>
      <c r="K346" s="8" t="e">
        <f>VLOOKUP(J346,[2]Sheet1!$D:$F,3,0)</f>
        <v>#N/A</v>
      </c>
      <c r="L346" s="63" t="e">
        <f t="shared" si="5"/>
        <v>#N/A</v>
      </c>
    </row>
    <row r="347" spans="1:12">
      <c r="A347" s="30">
        <v>336643</v>
      </c>
      <c r="E347" s="9">
        <v>6291106770506</v>
      </c>
      <c r="F347" s="31" t="s">
        <v>296</v>
      </c>
      <c r="J347" s="8" t="e">
        <f>VLOOKUP(G347,[1]Sheet1!$B:$L,1,0)</f>
        <v>#N/A</v>
      </c>
      <c r="K347" s="8" t="e">
        <f>VLOOKUP(J347,[2]Sheet1!$D:$F,3,0)</f>
        <v>#N/A</v>
      </c>
      <c r="L347" s="63" t="e">
        <f t="shared" si="5"/>
        <v>#N/A</v>
      </c>
    </row>
    <row r="348" spans="1:12">
      <c r="A348" s="30">
        <v>185736</v>
      </c>
      <c r="E348" s="9">
        <v>24000156000</v>
      </c>
      <c r="F348" s="31" t="s">
        <v>252</v>
      </c>
      <c r="G348" s="29">
        <v>159750</v>
      </c>
      <c r="J348" s="8">
        <f>VLOOKUP(G348,[1]Sheet1!$B:$L,1,0)</f>
        <v>159750</v>
      </c>
      <c r="K348" s="8" t="e">
        <f>VLOOKUP(J348,[2]Sheet1!$D:$F,3,0)</f>
        <v>#N/A</v>
      </c>
      <c r="L348" s="63" t="e">
        <f t="shared" si="5"/>
        <v>#N/A</v>
      </c>
    </row>
    <row r="349" spans="1:12">
      <c r="A349" s="30">
        <v>185737</v>
      </c>
      <c r="E349" s="9">
        <v>24000155997</v>
      </c>
      <c r="F349" s="31" t="s">
        <v>253</v>
      </c>
      <c r="G349" s="29">
        <v>159749</v>
      </c>
      <c r="J349" s="8">
        <f>VLOOKUP(G349,[1]Sheet1!$B:$L,1,0)</f>
        <v>159749</v>
      </c>
      <c r="K349" s="8" t="e">
        <f>VLOOKUP(J349,[2]Sheet1!$D:$F,3,0)</f>
        <v>#N/A</v>
      </c>
      <c r="L349" s="63" t="e">
        <f t="shared" si="5"/>
        <v>#N/A</v>
      </c>
    </row>
    <row r="350" spans="1:12">
      <c r="A350" s="30">
        <v>338516</v>
      </c>
      <c r="E350" s="9">
        <v>6291106770490</v>
      </c>
      <c r="F350" s="31" t="s">
        <v>299</v>
      </c>
      <c r="J350" s="8" t="e">
        <f>VLOOKUP(G350,[1]Sheet1!$B:$L,1,0)</f>
        <v>#N/A</v>
      </c>
      <c r="K350" s="8" t="e">
        <f>VLOOKUP(J350,[2]Sheet1!$D:$F,3,0)</f>
        <v>#N/A</v>
      </c>
      <c r="L350" s="63" t="e">
        <f t="shared" si="5"/>
        <v>#N/A</v>
      </c>
    </row>
    <row r="351" spans="1:12">
      <c r="A351" s="30">
        <v>1033542</v>
      </c>
      <c r="E351" s="9">
        <v>24000105404</v>
      </c>
      <c r="F351" s="31" t="s">
        <v>358</v>
      </c>
      <c r="J351" s="8" t="e">
        <f>VLOOKUP(G351,[1]Sheet1!$B:$L,1,0)</f>
        <v>#N/A</v>
      </c>
      <c r="K351" s="8" t="e">
        <f>VLOOKUP(J351,[2]Sheet1!$D:$F,3,0)</f>
        <v>#N/A</v>
      </c>
      <c r="L351" s="63" t="e">
        <f t="shared" si="5"/>
        <v>#N/A</v>
      </c>
    </row>
    <row r="352" spans="1:12">
      <c r="A352" s="30">
        <v>336644</v>
      </c>
      <c r="E352" s="9">
        <v>6291106770513</v>
      </c>
      <c r="F352" s="31" t="s">
        <v>297</v>
      </c>
      <c r="J352" s="8" t="e">
        <f>VLOOKUP(G352,[1]Sheet1!$B:$L,1,0)</f>
        <v>#N/A</v>
      </c>
      <c r="K352" s="8" t="e">
        <f>VLOOKUP(J352,[2]Sheet1!$D:$F,3,0)</f>
        <v>#N/A</v>
      </c>
      <c r="L352" s="63" t="e">
        <f t="shared" si="5"/>
        <v>#N/A</v>
      </c>
    </row>
    <row r="353" spans="1:12">
      <c r="A353" s="30">
        <v>338515</v>
      </c>
      <c r="E353" s="9">
        <v>6291106770353</v>
      </c>
      <c r="F353" s="31" t="s">
        <v>359</v>
      </c>
      <c r="J353" s="8" t="e">
        <f>VLOOKUP(G353,[1]Sheet1!$B:$L,1,0)</f>
        <v>#N/A</v>
      </c>
      <c r="K353" s="8" t="e">
        <f>VLOOKUP(J353,[2]Sheet1!$D:$F,3,0)</f>
        <v>#N/A</v>
      </c>
      <c r="L353" s="63" t="e">
        <f t="shared" si="5"/>
        <v>#N/A</v>
      </c>
    </row>
    <row r="354" spans="1:12">
      <c r="A354" s="30">
        <v>243847</v>
      </c>
      <c r="E354" s="9">
        <v>736211763730</v>
      </c>
      <c r="F354" s="31" t="s">
        <v>264</v>
      </c>
      <c r="G354" s="29">
        <v>159579</v>
      </c>
      <c r="J354" s="8">
        <f>VLOOKUP(G354,[1]Sheet1!$B:$L,1,0)</f>
        <v>159579</v>
      </c>
      <c r="K354" s="8" t="e">
        <f>VLOOKUP(J354,[2]Sheet1!$D:$F,3,0)</f>
        <v>#N/A</v>
      </c>
      <c r="L354" s="63" t="e">
        <f t="shared" si="5"/>
        <v>#N/A</v>
      </c>
    </row>
    <row r="355" spans="1:12">
      <c r="A355" s="30">
        <v>243848</v>
      </c>
      <c r="E355" s="9">
        <v>736211763631</v>
      </c>
      <c r="F355" s="31" t="s">
        <v>265</v>
      </c>
      <c r="G355" s="29">
        <v>159580</v>
      </c>
      <c r="J355" s="8">
        <f>VLOOKUP(G355,[1]Sheet1!$B:$L,1,0)</f>
        <v>159580</v>
      </c>
      <c r="K355" s="8" t="e">
        <f>VLOOKUP(J355,[2]Sheet1!$D:$F,3,0)</f>
        <v>#N/A</v>
      </c>
      <c r="L355" s="63" t="e">
        <f t="shared" si="5"/>
        <v>#N/A</v>
      </c>
    </row>
    <row r="356" spans="1:12">
      <c r="A356" s="30">
        <v>336642</v>
      </c>
      <c r="E356" s="9">
        <v>6291106770360</v>
      </c>
      <c r="F356" s="31" t="s">
        <v>360</v>
      </c>
      <c r="J356" s="8" t="e">
        <f>VLOOKUP(G356,[1]Sheet1!$B:$L,1,0)</f>
        <v>#N/A</v>
      </c>
      <c r="K356" s="8" t="e">
        <f>VLOOKUP(J356,[2]Sheet1!$D:$F,3,0)</f>
        <v>#N/A</v>
      </c>
      <c r="L356" s="63" t="e">
        <f t="shared" si="5"/>
        <v>#N/A</v>
      </c>
    </row>
    <row r="357" spans="1:12">
      <c r="A357" s="30">
        <v>1103444</v>
      </c>
      <c r="E357" s="9">
        <v>24000102342</v>
      </c>
      <c r="F357" s="31" t="s">
        <v>199</v>
      </c>
      <c r="J357" s="8" t="e">
        <f>VLOOKUP(G357,[1]Sheet1!$B:$L,1,0)</f>
        <v>#N/A</v>
      </c>
      <c r="K357" s="8" t="e">
        <f>VLOOKUP(J357,[2]Sheet1!$D:$F,3,0)</f>
        <v>#N/A</v>
      </c>
      <c r="L357" s="63" t="e">
        <f t="shared" si="5"/>
        <v>#N/A</v>
      </c>
    </row>
    <row r="358" spans="1:12">
      <c r="A358" s="30">
        <v>1103445</v>
      </c>
      <c r="E358" s="9">
        <v>24000214267</v>
      </c>
      <c r="F358" s="31" t="s">
        <v>200</v>
      </c>
      <c r="J358" s="8" t="e">
        <f>VLOOKUP(G358,[1]Sheet1!$B:$L,1,0)</f>
        <v>#N/A</v>
      </c>
      <c r="K358" s="8" t="e">
        <f>VLOOKUP(J358,[2]Sheet1!$D:$F,3,0)</f>
        <v>#N/A</v>
      </c>
      <c r="L358" s="63" t="e">
        <f t="shared" si="5"/>
        <v>#N/A</v>
      </c>
    </row>
    <row r="359" spans="1:12">
      <c r="A359" s="30">
        <v>1103447</v>
      </c>
      <c r="E359" s="9">
        <v>24000102311</v>
      </c>
      <c r="F359" s="31" t="s">
        <v>202</v>
      </c>
      <c r="J359" s="8" t="e">
        <f>VLOOKUP(G359,[1]Sheet1!$B:$L,1,0)</f>
        <v>#N/A</v>
      </c>
      <c r="K359" s="8" t="e">
        <f>VLOOKUP(J359,[2]Sheet1!$D:$F,3,0)</f>
        <v>#N/A</v>
      </c>
      <c r="L359" s="63" t="e">
        <f t="shared" si="5"/>
        <v>#N/A</v>
      </c>
    </row>
    <row r="360" spans="1:12">
      <c r="A360" s="30">
        <v>1103446</v>
      </c>
      <c r="E360" s="9">
        <v>24000238119</v>
      </c>
      <c r="F360" s="31" t="s">
        <v>201</v>
      </c>
      <c r="J360" s="8" t="e">
        <f>VLOOKUP(G360,[1]Sheet1!$B:$L,1,0)</f>
        <v>#N/A</v>
      </c>
      <c r="K360" s="8" t="e">
        <f>VLOOKUP(J360,[2]Sheet1!$D:$F,3,0)</f>
        <v>#N/A</v>
      </c>
      <c r="L360" s="63" t="e">
        <f t="shared" si="5"/>
        <v>#N/A</v>
      </c>
    </row>
    <row r="361" spans="1:12">
      <c r="A361" s="30">
        <v>344230</v>
      </c>
      <c r="E361" s="9">
        <v>6291106772241</v>
      </c>
      <c r="F361" s="31" t="s">
        <v>361</v>
      </c>
      <c r="J361" s="8" t="e">
        <f>VLOOKUP(G361,[1]Sheet1!$B:$L,1,0)</f>
        <v>#N/A</v>
      </c>
      <c r="K361" s="8" t="e">
        <f>VLOOKUP(J361,[2]Sheet1!$D:$F,3,0)</f>
        <v>#N/A</v>
      </c>
      <c r="L361" s="63" t="e">
        <f t="shared" si="5"/>
        <v>#N/A</v>
      </c>
    </row>
    <row r="362" spans="1:12">
      <c r="A362" s="30">
        <v>254503</v>
      </c>
      <c r="E362" s="9">
        <v>718122872145</v>
      </c>
      <c r="F362" s="31" t="s">
        <v>362</v>
      </c>
      <c r="J362" s="8" t="e">
        <f>VLOOKUP(G362,[1]Sheet1!$B:$L,1,0)</f>
        <v>#N/A</v>
      </c>
      <c r="K362" s="8" t="e">
        <f>VLOOKUP(J362,[2]Sheet1!$D:$F,3,0)</f>
        <v>#N/A</v>
      </c>
      <c r="L362" s="63" t="e">
        <f t="shared" si="5"/>
        <v>#N/A</v>
      </c>
    </row>
    <row r="363" spans="1:12">
      <c r="A363" s="30">
        <v>243849</v>
      </c>
      <c r="E363" s="9">
        <v>736211763938</v>
      </c>
      <c r="F363" s="31" t="s">
        <v>266</v>
      </c>
      <c r="G363" s="29">
        <v>159661</v>
      </c>
      <c r="J363" s="8">
        <f>VLOOKUP(G363,[1]Sheet1!$B:$L,1,0)</f>
        <v>159661</v>
      </c>
      <c r="K363" s="8" t="e">
        <f>VLOOKUP(J363,[2]Sheet1!$D:$F,3,0)</f>
        <v>#N/A</v>
      </c>
      <c r="L363" s="63" t="e">
        <f t="shared" si="5"/>
        <v>#N/A</v>
      </c>
    </row>
    <row r="364" spans="1:12">
      <c r="A364" s="30">
        <v>243850</v>
      </c>
      <c r="E364" s="9">
        <v>736211763839</v>
      </c>
      <c r="F364" s="31" t="s">
        <v>267</v>
      </c>
      <c r="G364" s="29">
        <v>159662</v>
      </c>
      <c r="J364" s="8">
        <f>VLOOKUP(G364,[1]Sheet1!$B:$L,1,0)</f>
        <v>159662</v>
      </c>
      <c r="K364" s="8" t="e">
        <f>VLOOKUP(J364,[2]Sheet1!$D:$F,3,0)</f>
        <v>#N/A</v>
      </c>
      <c r="L364" s="63" t="e">
        <f t="shared" si="5"/>
        <v>#N/A</v>
      </c>
    </row>
    <row r="365" spans="1:12">
      <c r="A365" s="30">
        <v>338511</v>
      </c>
      <c r="E365" s="9">
        <v>6291106770520</v>
      </c>
      <c r="F365" s="31" t="s">
        <v>298</v>
      </c>
      <c r="J365" s="8" t="e">
        <f>VLOOKUP(G365,[1]Sheet1!$B:$L,1,0)</f>
        <v>#N/A</v>
      </c>
      <c r="K365" s="8" t="e">
        <f>VLOOKUP(J365,[2]Sheet1!$D:$F,3,0)</f>
        <v>#N/A</v>
      </c>
      <c r="L365" s="63" t="e">
        <f t="shared" si="5"/>
        <v>#N/A</v>
      </c>
    </row>
    <row r="366" spans="1:12">
      <c r="A366" s="30">
        <v>1097224</v>
      </c>
      <c r="E366" s="9">
        <v>24000106883</v>
      </c>
      <c r="F366" s="31" t="s">
        <v>363</v>
      </c>
      <c r="J366" s="8" t="e">
        <f>VLOOKUP(G366,[1]Sheet1!$B:$L,1,0)</f>
        <v>#N/A</v>
      </c>
      <c r="K366" s="8" t="e">
        <f>VLOOKUP(J366,[2]Sheet1!$D:$F,3,0)</f>
        <v>#N/A</v>
      </c>
      <c r="L366" s="63" t="e">
        <f t="shared" si="5"/>
        <v>#N/A</v>
      </c>
    </row>
    <row r="367" spans="1:12">
      <c r="A367" s="30">
        <v>1020334</v>
      </c>
      <c r="E367" s="9">
        <v>24000101895</v>
      </c>
      <c r="F367" s="31" t="s">
        <v>364</v>
      </c>
      <c r="G367" s="29">
        <v>302679</v>
      </c>
      <c r="J367" s="8">
        <f>VLOOKUP(G367,[1]Sheet1!$B:$L,1,0)</f>
        <v>302679</v>
      </c>
      <c r="K367" s="8" t="e">
        <f>VLOOKUP(J367,[2]Sheet1!$D:$F,3,0)</f>
        <v>#N/A</v>
      </c>
      <c r="L367" s="63" t="e">
        <f t="shared" si="5"/>
        <v>#N/A</v>
      </c>
    </row>
    <row r="368" spans="1:12">
      <c r="A368" s="30">
        <v>1009879</v>
      </c>
      <c r="E368" s="9">
        <v>24000308317</v>
      </c>
      <c r="F368" s="31" t="s">
        <v>122</v>
      </c>
      <c r="J368" s="8" t="e">
        <f>VLOOKUP(G368,[1]Sheet1!$B:$L,1,0)</f>
        <v>#N/A</v>
      </c>
      <c r="K368" s="8" t="e">
        <f>VLOOKUP(J368,[2]Sheet1!$D:$F,3,0)</f>
        <v>#N/A</v>
      </c>
      <c r="L368" s="63" t="e">
        <f t="shared" si="5"/>
        <v>#N/A</v>
      </c>
    </row>
    <row r="369" spans="1:12">
      <c r="A369" s="30">
        <v>1009878</v>
      </c>
      <c r="E369" s="9">
        <v>24000308324</v>
      </c>
      <c r="F369" s="31" t="s">
        <v>121</v>
      </c>
      <c r="J369" s="8" t="e">
        <f>VLOOKUP(G369,[1]Sheet1!$B:$L,1,0)</f>
        <v>#N/A</v>
      </c>
      <c r="K369" s="8" t="e">
        <f>VLOOKUP(J369,[2]Sheet1!$D:$F,3,0)</f>
        <v>#N/A</v>
      </c>
      <c r="L369" s="63" t="e">
        <f t="shared" si="5"/>
        <v>#N/A</v>
      </c>
    </row>
    <row r="370" spans="1:12">
      <c r="A370" s="30">
        <v>478076</v>
      </c>
      <c r="E370" s="9">
        <v>6291106770766</v>
      </c>
      <c r="F370" s="31" t="s">
        <v>365</v>
      </c>
      <c r="J370" s="8" t="e">
        <f>VLOOKUP(G370,[1]Sheet1!$B:$L,1,0)</f>
        <v>#N/A</v>
      </c>
      <c r="K370" s="8" t="e">
        <f>VLOOKUP(J370,[2]Sheet1!$D:$F,3,0)</f>
        <v>#N/A</v>
      </c>
      <c r="L370" s="63" t="e">
        <f t="shared" si="5"/>
        <v>#N/A</v>
      </c>
    </row>
    <row r="371" spans="1:12">
      <c r="A371" s="30">
        <v>321127</v>
      </c>
      <c r="E371" s="9">
        <v>8429671351235</v>
      </c>
      <c r="F371" s="31" t="s">
        <v>292</v>
      </c>
      <c r="G371" s="29">
        <v>107250</v>
      </c>
      <c r="J371" s="8">
        <f>VLOOKUP(G371,[1]Sheet1!$B:$L,1,0)</f>
        <v>107250</v>
      </c>
      <c r="K371" s="8" t="e">
        <f>VLOOKUP(J371,[2]Sheet1!$D:$F,3,0)</f>
        <v>#N/A</v>
      </c>
      <c r="L371" s="63" t="e">
        <f t="shared" si="5"/>
        <v>#N/A</v>
      </c>
    </row>
    <row r="372" spans="1:12">
      <c r="A372" s="30">
        <v>152080</v>
      </c>
      <c r="E372" s="9">
        <v>8429671350054</v>
      </c>
      <c r="F372" s="31" t="s">
        <v>238</v>
      </c>
      <c r="G372" s="29">
        <v>106958</v>
      </c>
      <c r="J372" s="8">
        <f>VLOOKUP(G372,[1]Sheet1!$B:$L,1,0)</f>
        <v>106958</v>
      </c>
      <c r="K372" s="8" t="e">
        <f>VLOOKUP(J372,[2]Sheet1!$D:$F,3,0)</f>
        <v>#N/A</v>
      </c>
      <c r="L372" s="63" t="e">
        <f t="shared" si="5"/>
        <v>#N/A</v>
      </c>
    </row>
    <row r="373" spans="1:12">
      <c r="A373" s="30">
        <v>152081</v>
      </c>
      <c r="E373" s="9">
        <v>8429671350061</v>
      </c>
      <c r="F373" s="31" t="s">
        <v>239</v>
      </c>
      <c r="G373" s="29">
        <v>91275</v>
      </c>
      <c r="J373" s="8">
        <f>VLOOKUP(G373,[1]Sheet1!$B:$L,1,0)</f>
        <v>91275</v>
      </c>
      <c r="K373" s="8" t="e">
        <f>VLOOKUP(J373,[2]Sheet1!$D:$F,3,0)</f>
        <v>#N/A</v>
      </c>
      <c r="L373" s="63" t="e">
        <f t="shared" si="5"/>
        <v>#N/A</v>
      </c>
    </row>
    <row r="374" spans="1:12">
      <c r="A374" s="30">
        <v>152082</v>
      </c>
      <c r="E374" s="9">
        <v>8429671350078</v>
      </c>
      <c r="F374" s="31" t="s">
        <v>366</v>
      </c>
      <c r="J374" s="8" t="e">
        <f>VLOOKUP(G374,[1]Sheet1!$B:$L,1,0)</f>
        <v>#N/A</v>
      </c>
      <c r="K374" s="8" t="e">
        <f>VLOOKUP(J374,[2]Sheet1!$D:$F,3,0)</f>
        <v>#N/A</v>
      </c>
      <c r="L374" s="63" t="e">
        <f t="shared" si="5"/>
        <v>#N/A</v>
      </c>
    </row>
    <row r="375" spans="1:12">
      <c r="A375" s="30">
        <v>453003</v>
      </c>
      <c r="E375" s="9">
        <v>8429671351259</v>
      </c>
      <c r="F375" s="31" t="s">
        <v>324</v>
      </c>
      <c r="J375" s="8" t="e">
        <f>VLOOKUP(G375,[1]Sheet1!$B:$L,1,0)</f>
        <v>#N/A</v>
      </c>
      <c r="K375" s="8" t="e">
        <f>VLOOKUP(J375,[2]Sheet1!$D:$F,3,0)</f>
        <v>#N/A</v>
      </c>
      <c r="L375" s="63" t="e">
        <f t="shared" si="5"/>
        <v>#N/A</v>
      </c>
    </row>
    <row r="376" spans="1:12">
      <c r="A376" s="30">
        <v>453004</v>
      </c>
      <c r="E376" s="9">
        <v>6291106773835</v>
      </c>
      <c r="F376" s="31" t="s">
        <v>367</v>
      </c>
      <c r="J376" s="8" t="e">
        <f>VLOOKUP(G376,[1]Sheet1!$B:$L,1,0)</f>
        <v>#N/A</v>
      </c>
      <c r="K376" s="8" t="e">
        <f>VLOOKUP(J376,[2]Sheet1!$D:$F,3,0)</f>
        <v>#N/A</v>
      </c>
      <c r="L376" s="63" t="e">
        <f t="shared" si="5"/>
        <v>#N/A</v>
      </c>
    </row>
    <row r="377" spans="1:12">
      <c r="A377" s="30">
        <v>215308</v>
      </c>
      <c r="E377" s="9">
        <v>8429671350085</v>
      </c>
      <c r="F377" s="31" t="s">
        <v>261</v>
      </c>
      <c r="G377" s="29">
        <v>106959</v>
      </c>
      <c r="J377" s="8">
        <f>VLOOKUP(G377,[1]Sheet1!$B:$L,1,0)</f>
        <v>106959</v>
      </c>
      <c r="K377" s="8" t="e">
        <f>VLOOKUP(J377,[2]Sheet1!$D:$F,3,0)</f>
        <v>#N/A</v>
      </c>
      <c r="L377" s="63" t="e">
        <f t="shared" si="5"/>
        <v>#N/A</v>
      </c>
    </row>
    <row r="378" spans="1:12">
      <c r="A378" s="30">
        <v>1014904</v>
      </c>
      <c r="E378" s="9">
        <v>6291108211663</v>
      </c>
      <c r="F378" s="31" t="s">
        <v>368</v>
      </c>
      <c r="J378" s="8" t="e">
        <f>VLOOKUP(G378,[1]Sheet1!$B:$L,1,0)</f>
        <v>#N/A</v>
      </c>
      <c r="K378" s="8" t="e">
        <f>VLOOKUP(J378,[2]Sheet1!$D:$F,3,0)</f>
        <v>#N/A</v>
      </c>
      <c r="L378" s="63" t="e">
        <f t="shared" si="5"/>
        <v>#N/A</v>
      </c>
    </row>
    <row r="379" spans="1:12">
      <c r="A379" s="30">
        <v>1014903</v>
      </c>
      <c r="E379" s="9">
        <v>8429671351266</v>
      </c>
      <c r="F379" s="31" t="s">
        <v>127</v>
      </c>
      <c r="G379" s="29">
        <v>282412</v>
      </c>
      <c r="J379" s="8">
        <f>VLOOKUP(G379,[1]Sheet1!$B:$L,1,0)</f>
        <v>282412</v>
      </c>
      <c r="K379" s="8" t="e">
        <f>VLOOKUP(J379,[2]Sheet1!$D:$F,3,0)</f>
        <v>#N/A</v>
      </c>
      <c r="L379" s="63" t="e">
        <f t="shared" si="5"/>
        <v>#N/A</v>
      </c>
    </row>
    <row r="380" spans="1:12">
      <c r="A380" s="30">
        <v>321136</v>
      </c>
      <c r="E380" s="9">
        <v>8429671360497</v>
      </c>
      <c r="F380" s="31" t="s">
        <v>369</v>
      </c>
      <c r="J380" s="8" t="e">
        <f>VLOOKUP(G380,[1]Sheet1!$B:$L,1,0)</f>
        <v>#N/A</v>
      </c>
      <c r="K380" s="8" t="e">
        <f>VLOOKUP(J380,[2]Sheet1!$D:$F,3,0)</f>
        <v>#N/A</v>
      </c>
      <c r="L380" s="63" t="e">
        <f t="shared" si="5"/>
        <v>#N/A</v>
      </c>
    </row>
    <row r="381" spans="1:12">
      <c r="A381" s="30">
        <v>316071</v>
      </c>
      <c r="E381" s="9">
        <v>8429671360350</v>
      </c>
      <c r="F381" s="31" t="s">
        <v>370</v>
      </c>
      <c r="J381" s="8" t="e">
        <f>VLOOKUP(G381,[1]Sheet1!$B:$L,1,0)</f>
        <v>#N/A</v>
      </c>
      <c r="K381" s="8" t="e">
        <f>VLOOKUP(J381,[2]Sheet1!$D:$F,3,0)</f>
        <v>#N/A</v>
      </c>
      <c r="L381" s="63" t="e">
        <f t="shared" si="5"/>
        <v>#N/A</v>
      </c>
    </row>
    <row r="382" spans="1:12">
      <c r="A382" s="30">
        <v>316073</v>
      </c>
      <c r="E382" s="9">
        <v>8429671360336</v>
      </c>
      <c r="F382" s="31" t="s">
        <v>285</v>
      </c>
      <c r="J382" s="8" t="e">
        <f>VLOOKUP(G382,[1]Sheet1!$B:$L,1,0)</f>
        <v>#N/A</v>
      </c>
      <c r="K382" s="8" t="e">
        <f>VLOOKUP(J382,[2]Sheet1!$D:$F,3,0)</f>
        <v>#N/A</v>
      </c>
      <c r="L382" s="63" t="e">
        <f t="shared" si="5"/>
        <v>#N/A</v>
      </c>
    </row>
    <row r="383" spans="1:12">
      <c r="A383" s="30">
        <v>321129</v>
      </c>
      <c r="E383" s="9">
        <v>8429671350399</v>
      </c>
      <c r="F383" s="31" t="s">
        <v>294</v>
      </c>
      <c r="J383" s="8" t="e">
        <f>VLOOKUP(G383,[1]Sheet1!$B:$L,1,0)</f>
        <v>#N/A</v>
      </c>
      <c r="K383" s="8" t="e">
        <f>VLOOKUP(J383,[2]Sheet1!$D:$F,3,0)</f>
        <v>#N/A</v>
      </c>
      <c r="L383" s="63" t="e">
        <f t="shared" si="5"/>
        <v>#N/A</v>
      </c>
    </row>
    <row r="384" spans="1:12">
      <c r="A384" s="30">
        <v>340974</v>
      </c>
      <c r="E384" s="9">
        <v>6291106770803</v>
      </c>
      <c r="F384" s="31" t="s">
        <v>371</v>
      </c>
      <c r="J384" s="8" t="e">
        <f>VLOOKUP(G384,[1]Sheet1!$B:$L,1,0)</f>
        <v>#N/A</v>
      </c>
      <c r="K384" s="8" t="e">
        <f>VLOOKUP(J384,[2]Sheet1!$D:$F,3,0)</f>
        <v>#N/A</v>
      </c>
      <c r="L384" s="63" t="e">
        <f t="shared" si="5"/>
        <v>#N/A</v>
      </c>
    </row>
    <row r="385" spans="1:12">
      <c r="A385" s="30">
        <v>377623</v>
      </c>
      <c r="E385" s="9">
        <v>6291106770797</v>
      </c>
      <c r="F385" s="31" t="s">
        <v>372</v>
      </c>
      <c r="J385" s="8" t="e">
        <f>VLOOKUP(G385,[1]Sheet1!$B:$L,1,0)</f>
        <v>#N/A</v>
      </c>
      <c r="K385" s="8" t="e">
        <f>VLOOKUP(J385,[2]Sheet1!$D:$F,3,0)</f>
        <v>#N/A</v>
      </c>
      <c r="L385" s="63" t="e">
        <f t="shared" si="5"/>
        <v>#N/A</v>
      </c>
    </row>
    <row r="386" spans="1:12">
      <c r="A386" s="30">
        <v>316072</v>
      </c>
      <c r="E386" s="9">
        <v>8429671360343</v>
      </c>
      <c r="F386" s="31" t="s">
        <v>284</v>
      </c>
      <c r="J386" s="8" t="e">
        <f>VLOOKUP(G386,[1]Sheet1!$B:$L,1,0)</f>
        <v>#N/A</v>
      </c>
      <c r="K386" s="8" t="e">
        <f>VLOOKUP(J386,[2]Sheet1!$D:$F,3,0)</f>
        <v>#N/A</v>
      </c>
      <c r="L386" s="63" t="e">
        <f t="shared" si="5"/>
        <v>#N/A</v>
      </c>
    </row>
    <row r="387" spans="1:12">
      <c r="A387" s="30">
        <v>321128</v>
      </c>
      <c r="E387" s="9">
        <v>8429671350566</v>
      </c>
      <c r="F387" s="31" t="s">
        <v>293</v>
      </c>
      <c r="J387" s="8" t="e">
        <f>VLOOKUP(G387,[1]Sheet1!$B:$L,1,0)</f>
        <v>#N/A</v>
      </c>
      <c r="K387" s="8" t="e">
        <f>VLOOKUP(J387,[2]Sheet1!$D:$F,3,0)</f>
        <v>#N/A</v>
      </c>
      <c r="L387" s="63" t="e">
        <f t="shared" ref="L387:L420" si="6">K387-A387</f>
        <v>#N/A</v>
      </c>
    </row>
    <row r="388" spans="1:12">
      <c r="A388" s="30">
        <v>316204</v>
      </c>
      <c r="E388" s="9">
        <v>8429671350122</v>
      </c>
      <c r="F388" s="31" t="s">
        <v>373</v>
      </c>
      <c r="J388" s="8" t="e">
        <f>VLOOKUP(G388,[1]Sheet1!$B:$L,1,0)</f>
        <v>#N/A</v>
      </c>
      <c r="K388" s="8" t="e">
        <f>VLOOKUP(J388,[2]Sheet1!$D:$F,3,0)</f>
        <v>#N/A</v>
      </c>
      <c r="L388" s="63" t="e">
        <f t="shared" si="6"/>
        <v>#N/A</v>
      </c>
    </row>
    <row r="389" spans="1:12">
      <c r="A389" s="30">
        <v>316203</v>
      </c>
      <c r="E389" s="9">
        <v>8429671350092</v>
      </c>
      <c r="F389" s="31" t="s">
        <v>290</v>
      </c>
      <c r="G389" s="29">
        <v>91284</v>
      </c>
      <c r="J389" s="8">
        <f>VLOOKUP(G389,[1]Sheet1!$B:$L,1,0)</f>
        <v>91284</v>
      </c>
      <c r="K389" s="8" t="e">
        <f>VLOOKUP(J389,[2]Sheet1!$D:$F,3,0)</f>
        <v>#N/A</v>
      </c>
      <c r="L389" s="63" t="e">
        <f t="shared" si="6"/>
        <v>#N/A</v>
      </c>
    </row>
    <row r="390" spans="1:12" ht="15.75">
      <c r="E390" s="42">
        <v>8429671350115</v>
      </c>
      <c r="F390" s="41" t="s">
        <v>374</v>
      </c>
      <c r="G390" s="40">
        <v>91277</v>
      </c>
      <c r="J390" s="8">
        <f>VLOOKUP(G390,[1]Sheet1!$B:$L,1,0)</f>
        <v>91277</v>
      </c>
      <c r="K390" s="8" t="e">
        <f>VLOOKUP(J390,[2]Sheet1!$D:$F,3,0)</f>
        <v>#N/A</v>
      </c>
      <c r="L390" s="63" t="e">
        <f t="shared" si="6"/>
        <v>#N/A</v>
      </c>
    </row>
    <row r="391" spans="1:12" ht="15.75">
      <c r="E391" s="42">
        <v>8990800015224</v>
      </c>
      <c r="F391" s="41" t="s">
        <v>375</v>
      </c>
      <c r="G391" s="40">
        <v>176167</v>
      </c>
      <c r="J391" s="8">
        <f>VLOOKUP(G391,[1]Sheet1!$B:$L,1,0)</f>
        <v>176167</v>
      </c>
      <c r="K391" s="8" t="e">
        <f>VLOOKUP(J391,[2]Sheet1!$D:$F,3,0)</f>
        <v>#N/A</v>
      </c>
      <c r="L391" s="63" t="e">
        <f t="shared" si="6"/>
        <v>#N/A</v>
      </c>
    </row>
    <row r="392" spans="1:12" ht="15.75">
      <c r="E392" s="42">
        <v>8990800015255</v>
      </c>
      <c r="F392" s="41" t="s">
        <v>376</v>
      </c>
      <c r="G392" s="40">
        <v>176168</v>
      </c>
      <c r="J392" s="8">
        <f>VLOOKUP(G392,[1]Sheet1!$B:$L,1,0)</f>
        <v>176168</v>
      </c>
      <c r="K392" s="8" t="e">
        <f>VLOOKUP(J392,[2]Sheet1!$D:$F,3,0)</f>
        <v>#N/A</v>
      </c>
      <c r="L392" s="63" t="e">
        <f t="shared" si="6"/>
        <v>#N/A</v>
      </c>
    </row>
    <row r="393" spans="1:12" ht="15.75">
      <c r="E393" s="42">
        <v>8990800015286</v>
      </c>
      <c r="F393" s="41" t="s">
        <v>377</v>
      </c>
      <c r="G393" s="40">
        <v>176169</v>
      </c>
      <c r="J393" s="8">
        <f>VLOOKUP(G393,[1]Sheet1!$B:$L,1,0)</f>
        <v>176169</v>
      </c>
      <c r="K393" s="8" t="e">
        <f>VLOOKUP(J393,[2]Sheet1!$D:$F,3,0)</f>
        <v>#N/A</v>
      </c>
      <c r="L393" s="63" t="e">
        <f t="shared" si="6"/>
        <v>#N/A</v>
      </c>
    </row>
    <row r="394" spans="1:12" ht="15.75">
      <c r="E394" s="42">
        <v>8990800015316</v>
      </c>
      <c r="F394" s="41" t="s">
        <v>378</v>
      </c>
      <c r="G394" s="40">
        <v>176170</v>
      </c>
      <c r="J394" s="8">
        <f>VLOOKUP(G394,[1]Sheet1!$B:$L,1,0)</f>
        <v>176170</v>
      </c>
      <c r="K394" s="8" t="e">
        <f>VLOOKUP(J394,[2]Sheet1!$D:$F,3,0)</f>
        <v>#N/A</v>
      </c>
      <c r="L394" s="63" t="e">
        <f t="shared" si="6"/>
        <v>#N/A</v>
      </c>
    </row>
    <row r="395" spans="1:12" ht="15.75">
      <c r="E395" s="42">
        <v>8990800015347</v>
      </c>
      <c r="F395" s="41" t="s">
        <v>379</v>
      </c>
      <c r="G395" s="40">
        <v>176171</v>
      </c>
      <c r="J395" s="8">
        <f>VLOOKUP(G395,[1]Sheet1!$B:$L,1,0)</f>
        <v>176171</v>
      </c>
      <c r="K395" s="8" t="e">
        <f>VLOOKUP(J395,[2]Sheet1!$D:$F,3,0)</f>
        <v>#N/A</v>
      </c>
      <c r="L395" s="63" t="e">
        <f t="shared" si="6"/>
        <v>#N/A</v>
      </c>
    </row>
    <row r="396" spans="1:12" ht="15.75">
      <c r="E396" s="42">
        <v>8990800023908</v>
      </c>
      <c r="F396" s="41" t="s">
        <v>380</v>
      </c>
      <c r="G396" s="40">
        <v>352469</v>
      </c>
      <c r="J396" s="8">
        <f>VLOOKUP(G396,[1]Sheet1!$B:$L,1,0)</f>
        <v>352469</v>
      </c>
      <c r="K396" s="8" t="e">
        <f>VLOOKUP(J396,[2]Sheet1!$D:$F,3,0)</f>
        <v>#N/A</v>
      </c>
      <c r="L396" s="63" t="e">
        <f t="shared" si="6"/>
        <v>#N/A</v>
      </c>
    </row>
    <row r="397" spans="1:12" ht="15.75">
      <c r="E397" s="42">
        <v>8990800013244</v>
      </c>
      <c r="F397" s="41" t="s">
        <v>381</v>
      </c>
      <c r="G397" s="40">
        <v>351379</v>
      </c>
      <c r="J397" s="8">
        <f>VLOOKUP(G397,[1]Sheet1!$B:$L,1,0)</f>
        <v>351379</v>
      </c>
      <c r="K397" s="8" t="e">
        <f>VLOOKUP(J397,[2]Sheet1!$D:$F,3,0)</f>
        <v>#N/A</v>
      </c>
      <c r="L397" s="63" t="e">
        <f t="shared" si="6"/>
        <v>#N/A</v>
      </c>
    </row>
    <row r="398" spans="1:12" ht="15.75">
      <c r="E398" s="42">
        <v>8990800014500</v>
      </c>
      <c r="F398" s="41" t="s">
        <v>382</v>
      </c>
      <c r="G398" s="40">
        <v>351381</v>
      </c>
      <c r="J398" s="8">
        <f>VLOOKUP(G398,[1]Sheet1!$B:$L,1,0)</f>
        <v>351381</v>
      </c>
      <c r="K398" s="8" t="e">
        <f>VLOOKUP(J398,[2]Sheet1!$D:$F,3,0)</f>
        <v>#N/A</v>
      </c>
      <c r="L398" s="63" t="e">
        <f t="shared" si="6"/>
        <v>#N/A</v>
      </c>
    </row>
    <row r="399" spans="1:12" ht="15.75">
      <c r="E399" s="42">
        <v>87108781</v>
      </c>
      <c r="F399" s="41" t="s">
        <v>383</v>
      </c>
      <c r="G399" s="40">
        <v>229394</v>
      </c>
      <c r="J399" s="8">
        <f>VLOOKUP(G399,[1]Sheet1!$B:$L,1,0)</f>
        <v>229394</v>
      </c>
      <c r="K399" s="8" t="e">
        <f>VLOOKUP(J399,[2]Sheet1!$D:$F,3,0)</f>
        <v>#N/A</v>
      </c>
      <c r="L399" s="63" t="e">
        <f t="shared" si="6"/>
        <v>#N/A</v>
      </c>
    </row>
    <row r="400" spans="1:12" ht="15.75">
      <c r="E400" s="42">
        <v>6921211111559</v>
      </c>
      <c r="F400" s="41" t="s">
        <v>384</v>
      </c>
      <c r="G400" s="40">
        <v>229186</v>
      </c>
      <c r="J400" s="8">
        <f>VLOOKUP(G400,[1]Sheet1!$B:$L,1,0)</f>
        <v>229186</v>
      </c>
      <c r="K400" s="8" t="e">
        <f>VLOOKUP(J400,[2]Sheet1!$D:$F,3,0)</f>
        <v>#N/A</v>
      </c>
      <c r="L400" s="63" t="e">
        <f t="shared" si="6"/>
        <v>#N/A</v>
      </c>
    </row>
    <row r="401" spans="5:12" ht="15.75">
      <c r="E401" s="42">
        <v>8410031977240</v>
      </c>
      <c r="F401" s="41" t="s">
        <v>385</v>
      </c>
      <c r="G401" s="40">
        <v>374046</v>
      </c>
      <c r="J401" s="8">
        <f>VLOOKUP(G401,[1]Sheet1!$B:$L,1,0)</f>
        <v>374046</v>
      </c>
      <c r="K401" s="8" t="e">
        <f>VLOOKUP(J401,[2]Sheet1!$D:$F,3,0)</f>
        <v>#N/A</v>
      </c>
      <c r="L401" s="63" t="e">
        <f t="shared" si="6"/>
        <v>#N/A</v>
      </c>
    </row>
    <row r="402" spans="5:12" ht="15.75">
      <c r="E402" s="42">
        <v>8410031923605</v>
      </c>
      <c r="F402" s="41" t="s">
        <v>386</v>
      </c>
      <c r="G402" s="40">
        <v>176204</v>
      </c>
      <c r="J402" s="8">
        <f>VLOOKUP(G402,[1]Sheet1!$B:$L,1,0)</f>
        <v>176204</v>
      </c>
      <c r="K402" s="8" t="e">
        <f>VLOOKUP(J402,[2]Sheet1!$D:$F,3,0)</f>
        <v>#N/A</v>
      </c>
      <c r="L402" s="63" t="e">
        <f t="shared" si="6"/>
        <v>#N/A</v>
      </c>
    </row>
    <row r="403" spans="5:12" ht="15.75">
      <c r="E403" s="42" t="s">
        <v>420</v>
      </c>
      <c r="F403" s="41" t="s">
        <v>387</v>
      </c>
      <c r="G403" s="40">
        <v>247102</v>
      </c>
      <c r="J403" s="8">
        <f>VLOOKUP(G403,[1]Sheet1!$B:$L,1,0)</f>
        <v>247102</v>
      </c>
      <c r="K403" s="8" t="e">
        <f>VLOOKUP(J403,[2]Sheet1!$D:$F,3,0)</f>
        <v>#N/A</v>
      </c>
      <c r="L403" s="63" t="e">
        <f t="shared" si="6"/>
        <v>#N/A</v>
      </c>
    </row>
    <row r="404" spans="5:12" ht="15.75">
      <c r="E404" s="42"/>
      <c r="F404" s="41" t="s">
        <v>388</v>
      </c>
      <c r="G404" s="40">
        <v>363700</v>
      </c>
      <c r="J404" s="8">
        <f>VLOOKUP(G404,[1]Sheet1!$B:$L,1,0)</f>
        <v>363700</v>
      </c>
      <c r="K404" s="8" t="e">
        <f>VLOOKUP(J404,[2]Sheet1!$D:$F,3,0)</f>
        <v>#N/A</v>
      </c>
      <c r="L404" s="63" t="e">
        <f t="shared" si="6"/>
        <v>#N/A</v>
      </c>
    </row>
    <row r="405" spans="5:12" ht="31.5">
      <c r="E405" s="42">
        <v>8901393020564</v>
      </c>
      <c r="F405" s="41" t="s">
        <v>389</v>
      </c>
      <c r="G405" s="40">
        <v>324335</v>
      </c>
      <c r="J405" s="8">
        <f>VLOOKUP(G405,[1]Sheet1!$B:$L,1,0)</f>
        <v>324335</v>
      </c>
      <c r="K405" s="8" t="e">
        <f>VLOOKUP(J405,[2]Sheet1!$D:$F,3,0)</f>
        <v>#N/A</v>
      </c>
      <c r="L405" s="63" t="e">
        <f t="shared" si="6"/>
        <v>#N/A</v>
      </c>
    </row>
    <row r="406" spans="5:12" ht="15.75">
      <c r="E406" s="42">
        <v>8901393017045</v>
      </c>
      <c r="F406" s="41" t="s">
        <v>390</v>
      </c>
      <c r="G406" s="40">
        <v>234074</v>
      </c>
      <c r="J406" s="8">
        <f>VLOOKUP(G406,[1]Sheet1!$B:$L,1,0)</f>
        <v>234074</v>
      </c>
      <c r="K406" s="8" t="e">
        <f>VLOOKUP(J406,[2]Sheet1!$D:$F,3,0)</f>
        <v>#N/A</v>
      </c>
      <c r="L406" s="63" t="e">
        <f t="shared" si="6"/>
        <v>#N/A</v>
      </c>
    </row>
    <row r="407" spans="5:12" ht="15.75">
      <c r="E407" s="42">
        <v>8901393017045</v>
      </c>
      <c r="F407" s="41" t="s">
        <v>391</v>
      </c>
      <c r="G407" s="40">
        <v>371252</v>
      </c>
      <c r="J407" s="8">
        <f>VLOOKUP(G407,[1]Sheet1!$B:$L,1,0)</f>
        <v>371252</v>
      </c>
      <c r="K407" s="8" t="e">
        <f>VLOOKUP(J407,[2]Sheet1!$D:$F,3,0)</f>
        <v>#N/A</v>
      </c>
      <c r="L407" s="63" t="e">
        <f t="shared" si="6"/>
        <v>#N/A</v>
      </c>
    </row>
    <row r="408" spans="5:12" ht="15.75">
      <c r="E408" s="42">
        <v>8935001726470</v>
      </c>
      <c r="F408" s="41" t="s">
        <v>392</v>
      </c>
      <c r="G408" s="40">
        <v>345781</v>
      </c>
      <c r="J408" s="8">
        <f>VLOOKUP(G408,[1]Sheet1!$B:$L,1,0)</f>
        <v>345781</v>
      </c>
      <c r="K408" s="8" t="e">
        <f>VLOOKUP(J408,[2]Sheet1!$D:$F,3,0)</f>
        <v>#N/A</v>
      </c>
      <c r="L408" s="63" t="e">
        <f t="shared" si="6"/>
        <v>#N/A</v>
      </c>
    </row>
    <row r="409" spans="5:12" ht="15.75">
      <c r="E409" s="42">
        <v>8935001726487</v>
      </c>
      <c r="F409" s="41" t="s">
        <v>393</v>
      </c>
      <c r="G409" s="40">
        <v>345782</v>
      </c>
      <c r="J409" s="8">
        <f>VLOOKUP(G409,[1]Sheet1!$B:$L,1,0)</f>
        <v>345782</v>
      </c>
      <c r="K409" s="8" t="e">
        <f>VLOOKUP(J409,[2]Sheet1!$D:$F,3,0)</f>
        <v>#N/A</v>
      </c>
      <c r="L409" s="63" t="e">
        <f t="shared" si="6"/>
        <v>#N/A</v>
      </c>
    </row>
    <row r="410" spans="5:12" ht="15.75">
      <c r="E410" s="42">
        <v>1800000017904</v>
      </c>
      <c r="F410" s="41" t="s">
        <v>394</v>
      </c>
      <c r="G410" s="40">
        <v>370080</v>
      </c>
      <c r="J410" s="8">
        <f>VLOOKUP(G410,[1]Sheet1!$B:$L,1,0)</f>
        <v>370080</v>
      </c>
      <c r="K410" s="8" t="e">
        <f>VLOOKUP(J410,[2]Sheet1!$D:$F,3,0)</f>
        <v>#N/A</v>
      </c>
      <c r="L410" s="63" t="e">
        <f t="shared" si="6"/>
        <v>#N/A</v>
      </c>
    </row>
    <row r="411" spans="5:12" ht="15.75">
      <c r="E411" s="42">
        <v>1800000015603</v>
      </c>
      <c r="F411" s="41" t="s">
        <v>395</v>
      </c>
      <c r="G411" s="40">
        <v>356746</v>
      </c>
      <c r="J411" s="8">
        <f>VLOOKUP(G411,[1]Sheet1!$B:$L,1,0)</f>
        <v>356746</v>
      </c>
      <c r="K411" s="8" t="e">
        <f>VLOOKUP(J411,[2]Sheet1!$D:$F,3,0)</f>
        <v>#N/A</v>
      </c>
      <c r="L411" s="63" t="e">
        <f t="shared" si="6"/>
        <v>#N/A</v>
      </c>
    </row>
    <row r="412" spans="5:12" ht="15.75">
      <c r="E412" s="42">
        <v>1800000015702</v>
      </c>
      <c r="F412" s="41" t="s">
        <v>396</v>
      </c>
      <c r="G412" s="40">
        <v>356747</v>
      </c>
      <c r="J412" s="8">
        <f>VLOOKUP(G412,[1]Sheet1!$B:$L,1,0)</f>
        <v>356747</v>
      </c>
      <c r="K412" s="8" t="e">
        <f>VLOOKUP(J412,[2]Sheet1!$D:$F,3,0)</f>
        <v>#N/A</v>
      </c>
      <c r="L412" s="63" t="e">
        <f t="shared" si="6"/>
        <v>#N/A</v>
      </c>
    </row>
    <row r="413" spans="5:12" ht="15.75">
      <c r="E413" s="42">
        <v>1800000016013</v>
      </c>
      <c r="F413" s="41" t="s">
        <v>397</v>
      </c>
      <c r="G413" s="40">
        <v>356744</v>
      </c>
      <c r="J413" s="8">
        <f>VLOOKUP(G413,[1]Sheet1!$B:$L,1,0)</f>
        <v>356744</v>
      </c>
      <c r="K413" s="8" t="e">
        <f>VLOOKUP(J413,[2]Sheet1!$D:$F,3,0)</f>
        <v>#N/A</v>
      </c>
      <c r="L413" s="63" t="e">
        <f t="shared" si="6"/>
        <v>#N/A</v>
      </c>
    </row>
    <row r="414" spans="5:12" ht="15.75">
      <c r="E414" s="42">
        <v>1800000015108</v>
      </c>
      <c r="F414" s="41" t="s">
        <v>398</v>
      </c>
      <c r="G414" s="40">
        <v>356740</v>
      </c>
      <c r="J414" s="8">
        <f>VLOOKUP(G414,[1]Sheet1!$B:$L,1,0)</f>
        <v>356740</v>
      </c>
      <c r="K414" s="8" t="e">
        <f>VLOOKUP(J414,[2]Sheet1!$D:$F,3,0)</f>
        <v>#N/A</v>
      </c>
      <c r="L414" s="63" t="e">
        <f t="shared" si="6"/>
        <v>#N/A</v>
      </c>
    </row>
    <row r="415" spans="5:12" ht="15.75">
      <c r="E415" s="42">
        <v>1800000015207</v>
      </c>
      <c r="F415" s="41" t="s">
        <v>399</v>
      </c>
      <c r="G415" s="40">
        <v>356741</v>
      </c>
      <c r="J415" s="8">
        <f>VLOOKUP(G415,[1]Sheet1!$B:$L,1,0)</f>
        <v>356741</v>
      </c>
      <c r="K415" s="8" t="e">
        <f>VLOOKUP(J415,[2]Sheet1!$D:$F,3,0)</f>
        <v>#N/A</v>
      </c>
      <c r="L415" s="63" t="e">
        <f t="shared" si="6"/>
        <v>#N/A</v>
      </c>
    </row>
    <row r="416" spans="5:12" ht="15.75">
      <c r="E416" s="42">
        <v>6291106770292</v>
      </c>
      <c r="F416" s="41" t="s">
        <v>400</v>
      </c>
      <c r="G416" s="40">
        <v>91586</v>
      </c>
      <c r="J416" s="8">
        <f>VLOOKUP(G416,[1]Sheet1!$B:$L,1,0)</f>
        <v>91586</v>
      </c>
      <c r="K416" s="8" t="e">
        <f>VLOOKUP(J416,[2]Sheet1!$D:$F,3,0)</f>
        <v>#N/A</v>
      </c>
      <c r="L416" s="63" t="e">
        <f t="shared" si="6"/>
        <v>#N/A</v>
      </c>
    </row>
    <row r="417" spans="1:12" ht="15.75">
      <c r="E417" s="42">
        <v>1800000014903</v>
      </c>
      <c r="F417" s="41" t="s">
        <v>401</v>
      </c>
      <c r="G417" s="40">
        <v>356738</v>
      </c>
      <c r="J417" s="8">
        <f>VLOOKUP(G417,[1]Sheet1!$B:$L,1,0)</f>
        <v>356738</v>
      </c>
      <c r="K417" s="8" t="e">
        <f>VLOOKUP(J417,[2]Sheet1!$D:$F,3,0)</f>
        <v>#N/A</v>
      </c>
      <c r="L417" s="63" t="e">
        <f t="shared" si="6"/>
        <v>#N/A</v>
      </c>
    </row>
    <row r="418" spans="1:12" ht="15.75">
      <c r="E418" s="42">
        <v>6291106771619</v>
      </c>
      <c r="F418" s="41" t="s">
        <v>402</v>
      </c>
      <c r="G418" s="40">
        <v>165189</v>
      </c>
      <c r="J418" s="8">
        <f>VLOOKUP(G418,[1]Sheet1!$B:$L,1,0)</f>
        <v>165189</v>
      </c>
      <c r="K418" s="8" t="e">
        <f>VLOOKUP(J418,[2]Sheet1!$D:$F,3,0)</f>
        <v>#N/A</v>
      </c>
      <c r="L418" s="63" t="e">
        <f t="shared" si="6"/>
        <v>#N/A</v>
      </c>
    </row>
    <row r="419" spans="1:12" ht="15.75">
      <c r="E419" s="42">
        <v>24000104209</v>
      </c>
      <c r="F419" s="41" t="s">
        <v>403</v>
      </c>
      <c r="G419" s="40">
        <v>255031</v>
      </c>
      <c r="J419" s="8">
        <f>VLOOKUP(G419,[1]Sheet1!$B:$L,1,0)</f>
        <v>255031</v>
      </c>
      <c r="K419" s="8" t="e">
        <f>VLOOKUP(J419,[2]Sheet1!$D:$F,3,0)</f>
        <v>#N/A</v>
      </c>
      <c r="L419" s="63" t="e">
        <f t="shared" si="6"/>
        <v>#N/A</v>
      </c>
    </row>
    <row r="420" spans="1:12" ht="15.75">
      <c r="E420" s="42">
        <v>6291106770223</v>
      </c>
      <c r="F420" s="41" t="s">
        <v>404</v>
      </c>
      <c r="G420" s="40">
        <v>91614</v>
      </c>
      <c r="J420" s="8">
        <f>VLOOKUP(G420,[1]Sheet1!$B:$L,1,0)</f>
        <v>91614</v>
      </c>
      <c r="K420" s="8" t="e">
        <f>VLOOKUP(J420,[2]Sheet1!$D:$F,3,0)</f>
        <v>#N/A</v>
      </c>
      <c r="L420" s="63" t="e">
        <f t="shared" si="6"/>
        <v>#N/A</v>
      </c>
    </row>
    <row r="421" spans="1:12" ht="15.75">
      <c r="E421" s="49">
        <v>8935001726265</v>
      </c>
      <c r="F421" s="58" t="s">
        <v>434</v>
      </c>
      <c r="G421" s="51">
        <v>377892</v>
      </c>
      <c r="K421" s="8" t="e">
        <f>VLOOKUP(J421,[2]Sheet1!$D:$F,3,0)</f>
        <v>#N/A</v>
      </c>
      <c r="L421" s="44"/>
    </row>
    <row r="422" spans="1:12" ht="15.75">
      <c r="E422" s="49">
        <v>8935001726289</v>
      </c>
      <c r="F422" s="58" t="s">
        <v>435</v>
      </c>
      <c r="G422" s="51">
        <v>378596</v>
      </c>
      <c r="K422" s="8" t="e">
        <f>VLOOKUP(J422,[2]Sheet1!$D:$F,3,0)</f>
        <v>#N/A</v>
      </c>
      <c r="L422" s="44"/>
    </row>
    <row r="423" spans="1:12" ht="15.75">
      <c r="E423" s="49">
        <v>8935001726326</v>
      </c>
      <c r="F423" s="58" t="s">
        <v>436</v>
      </c>
      <c r="G423" s="51">
        <v>378597</v>
      </c>
      <c r="K423" s="8" t="e">
        <f>VLOOKUP(J423,[2]Sheet1!$D:$F,3,0)</f>
        <v>#N/A</v>
      </c>
      <c r="L423" s="44"/>
    </row>
    <row r="424" spans="1:12">
      <c r="A424" s="65">
        <v>185723</v>
      </c>
      <c r="E424" s="9">
        <v>24000111078</v>
      </c>
      <c r="F424" s="31" t="s">
        <v>249</v>
      </c>
      <c r="G424" s="29">
        <v>91579</v>
      </c>
      <c r="L424" s="44"/>
    </row>
    <row r="425" spans="1:12" ht="15.75">
      <c r="E425" s="42"/>
      <c r="F425" s="41"/>
      <c r="G425" s="40"/>
      <c r="L425" s="44"/>
    </row>
    <row r="426" spans="1:12" ht="15.75">
      <c r="E426" s="42"/>
      <c r="F426" s="41"/>
      <c r="G426" s="40"/>
      <c r="L426" s="44"/>
    </row>
    <row r="427" spans="1:12" ht="31.5">
      <c r="E427" s="42">
        <v>4800024562739</v>
      </c>
      <c r="F427" s="41" t="s">
        <v>405</v>
      </c>
      <c r="G427" s="40">
        <v>91616</v>
      </c>
      <c r="J427" s="8">
        <f>VLOOKUP(G427,[1]Sheet1!$B:$L,1,0)</f>
        <v>91616</v>
      </c>
      <c r="K427" s="8" t="e">
        <f>VLOOKUP(E427,[1]Sheet1!$N:$P,3,0)</f>
        <v>#N/A</v>
      </c>
      <c r="L427" s="44" t="str">
        <f>IFERROR(VLOOKUP(K427,[3]Sheet1!$B:$F,5,0),"")</f>
        <v/>
      </c>
    </row>
    <row r="428" spans="1:12" ht="15.75">
      <c r="E428" s="42">
        <v>6291108214817</v>
      </c>
      <c r="F428" s="41" t="s">
        <v>406</v>
      </c>
      <c r="G428" s="40">
        <v>304053</v>
      </c>
      <c r="J428" s="8">
        <f>VLOOKUP(G428,[1]Sheet1!$B:$L,1,0)</f>
        <v>304053</v>
      </c>
      <c r="K428" s="8" t="e">
        <f>VLOOKUP(E428,[1]Sheet1!$N:$P,3,0)</f>
        <v>#N/A</v>
      </c>
      <c r="L428" s="44" t="str">
        <f>IFERROR(VLOOKUP(K428,[3]Sheet1!$B:$F,5,0),"")</f>
        <v/>
      </c>
    </row>
    <row r="429" spans="1:12" ht="16.5" thickBot="1">
      <c r="E429" s="49">
        <v>8410031945744</v>
      </c>
      <c r="F429" s="52" t="s">
        <v>424</v>
      </c>
      <c r="G429" s="50">
        <v>384689</v>
      </c>
      <c r="L429" s="44"/>
    </row>
    <row r="430" spans="1:12" ht="16.5" thickBot="1">
      <c r="E430" s="49">
        <v>8723400827771</v>
      </c>
      <c r="F430" s="52" t="s">
        <v>425</v>
      </c>
      <c r="G430" s="50">
        <v>387686</v>
      </c>
      <c r="L430" s="44"/>
    </row>
    <row r="431" spans="1:12" ht="16.5" thickBot="1">
      <c r="E431" s="49">
        <v>6291109790310</v>
      </c>
      <c r="F431" s="52" t="s">
        <v>426</v>
      </c>
      <c r="G431" s="51">
        <v>386805</v>
      </c>
      <c r="L431" s="44"/>
    </row>
    <row r="432" spans="1:12" ht="16.5" thickBot="1">
      <c r="E432" s="49">
        <v>6291109790303</v>
      </c>
      <c r="F432" s="52" t="s">
        <v>427</v>
      </c>
      <c r="G432" s="51">
        <v>386804</v>
      </c>
      <c r="L432" s="44"/>
    </row>
    <row r="433" spans="5:12" ht="16.5" thickBot="1">
      <c r="E433" s="49">
        <v>6291109790297</v>
      </c>
      <c r="F433" s="52" t="s">
        <v>428</v>
      </c>
      <c r="G433" s="51">
        <v>386803</v>
      </c>
      <c r="L433" s="44"/>
    </row>
    <row r="434" spans="5:12" ht="16.5" thickBot="1">
      <c r="E434" s="49">
        <v>6291109790280</v>
      </c>
      <c r="F434" s="52" t="s">
        <v>429</v>
      </c>
      <c r="G434" s="51">
        <v>386802</v>
      </c>
      <c r="L434" s="44"/>
    </row>
    <row r="435" spans="5:12" ht="16.5" thickBot="1">
      <c r="E435" s="49">
        <v>80849469</v>
      </c>
      <c r="F435" s="52" t="s">
        <v>430</v>
      </c>
      <c r="G435" s="51">
        <v>387687</v>
      </c>
      <c r="L435" s="44"/>
    </row>
    <row r="436" spans="5:12" ht="16.5" thickBot="1">
      <c r="E436" s="49">
        <v>8935001727309</v>
      </c>
      <c r="F436" s="52" t="s">
        <v>431</v>
      </c>
      <c r="G436" s="50">
        <v>384691</v>
      </c>
      <c r="L436" s="44"/>
    </row>
    <row r="437" spans="5:12" ht="16.5" thickBot="1">
      <c r="E437" s="49">
        <v>8935001727293</v>
      </c>
      <c r="F437" s="52" t="s">
        <v>432</v>
      </c>
      <c r="G437" s="50">
        <v>384692</v>
      </c>
      <c r="L437" s="44"/>
    </row>
    <row r="438" spans="5:12" ht="16.5" thickBot="1">
      <c r="E438" s="49">
        <v>8935001727392</v>
      </c>
      <c r="F438" s="52" t="s">
        <v>433</v>
      </c>
      <c r="G438" s="51">
        <v>384690</v>
      </c>
      <c r="L438" s="44"/>
    </row>
    <row r="439" spans="5:12" ht="15.75">
      <c r="E439" s="42">
        <v>24000105619</v>
      </c>
      <c r="F439" s="41" t="s">
        <v>407</v>
      </c>
      <c r="G439" s="40">
        <v>293042</v>
      </c>
      <c r="J439" s="8">
        <f>VLOOKUP(G439,[1]Sheet1!$B:$L,1,0)</f>
        <v>293042</v>
      </c>
      <c r="K439" s="8" t="e">
        <f>VLOOKUP(E439,[1]Sheet1!$N:$P,3,0)</f>
        <v>#N/A</v>
      </c>
      <c r="L439" s="44" t="str">
        <f>IFERROR(VLOOKUP(K439,[3]Sheet1!$B:$F,5,0),"")</f>
        <v/>
      </c>
    </row>
    <row r="440" spans="5:12" ht="15.75">
      <c r="E440" s="42">
        <v>24000105626</v>
      </c>
      <c r="F440" s="41" t="s">
        <v>408</v>
      </c>
      <c r="G440" s="40">
        <v>293043</v>
      </c>
      <c r="J440" s="8">
        <f>VLOOKUP(G440,[1]Sheet1!$B:$L,1,0)</f>
        <v>293043</v>
      </c>
      <c r="K440" s="8" t="e">
        <f>VLOOKUP(E440,[1]Sheet1!$N:$P,3,0)</f>
        <v>#N/A</v>
      </c>
      <c r="L440" s="44" t="str">
        <f>IFERROR(VLOOKUP(K440,[3]Sheet1!$B:$F,5,0),"")</f>
        <v/>
      </c>
    </row>
    <row r="441" spans="5:12" ht="15.75">
      <c r="E441" s="42">
        <v>87208651905517</v>
      </c>
      <c r="F441" s="41" t="s">
        <v>409</v>
      </c>
      <c r="G441" s="40">
        <v>372600</v>
      </c>
      <c r="J441" s="8">
        <f>VLOOKUP(G441,[1]Sheet1!$B:$L,1,0)</f>
        <v>372600</v>
      </c>
      <c r="K441" s="8" t="e">
        <f>VLOOKUP(E441,[1]Sheet1!$N:$P,3,0)</f>
        <v>#N/A</v>
      </c>
      <c r="L441" s="44" t="str">
        <f>IFERROR(VLOOKUP(K441,[3]Sheet1!$B:$F,5,0),"")</f>
        <v/>
      </c>
    </row>
    <row r="442" spans="5:12" ht="15.75">
      <c r="E442" s="42">
        <v>87208651906316</v>
      </c>
      <c r="F442" s="41" t="s">
        <v>410</v>
      </c>
      <c r="G442" s="40">
        <v>372601</v>
      </c>
      <c r="J442" s="8">
        <f>VLOOKUP(G442,[1]Sheet1!$B:$L,1,0)</f>
        <v>372601</v>
      </c>
      <c r="K442" s="8" t="e">
        <f>VLOOKUP(E442,[1]Sheet1!$N:$P,3,0)</f>
        <v>#N/A</v>
      </c>
      <c r="L442" s="44" t="str">
        <f>IFERROR(VLOOKUP(K442,[3]Sheet1!$B:$F,5,0),"")</f>
        <v/>
      </c>
    </row>
    <row r="443" spans="5:12" ht="15.75">
      <c r="E443" s="42">
        <v>87208651905319</v>
      </c>
      <c r="F443" s="41" t="s">
        <v>411</v>
      </c>
      <c r="G443" s="40">
        <v>372602</v>
      </c>
      <c r="J443" s="8">
        <f>VLOOKUP(G443,[1]Sheet1!$B:$L,1,0)</f>
        <v>372602</v>
      </c>
      <c r="K443" s="8" t="e">
        <f>VLOOKUP(E443,[1]Sheet1!$N:$P,3,0)</f>
        <v>#N/A</v>
      </c>
      <c r="L443" s="44" t="str">
        <f>IFERROR(VLOOKUP(K443,[3]Sheet1!$B:$F,5,0),"")</f>
        <v/>
      </c>
    </row>
    <row r="444" spans="5:12" ht="15.75">
      <c r="E444" s="42">
        <v>87208651906118</v>
      </c>
      <c r="F444" s="41" t="s">
        <v>412</v>
      </c>
      <c r="G444" s="40">
        <v>372603</v>
      </c>
      <c r="J444" s="8">
        <f>VLOOKUP(G444,[1]Sheet1!$B:$L,1,0)</f>
        <v>372603</v>
      </c>
      <c r="K444" s="8" t="e">
        <f>VLOOKUP(E444,[1]Sheet1!$N:$P,3,0)</f>
        <v>#N/A</v>
      </c>
      <c r="L444" s="44" t="str">
        <f>IFERROR(VLOOKUP(K444,[3]Sheet1!$B:$F,5,0),"")</f>
        <v/>
      </c>
    </row>
    <row r="445" spans="5:12" ht="15.75">
      <c r="E445" s="42">
        <v>87208651906514</v>
      </c>
      <c r="F445" s="41" t="s">
        <v>413</v>
      </c>
      <c r="G445" s="40">
        <v>372604</v>
      </c>
      <c r="J445" s="8">
        <f>VLOOKUP(G445,[1]Sheet1!$B:$L,1,0)</f>
        <v>372604</v>
      </c>
      <c r="K445" s="8" t="e">
        <f>VLOOKUP(E445,[1]Sheet1!$N:$P,3,0)</f>
        <v>#N/A</v>
      </c>
      <c r="L445" s="44" t="str">
        <f>IFERROR(VLOOKUP(K445,[3]Sheet1!$B:$F,5,0),"")</f>
        <v/>
      </c>
    </row>
    <row r="446" spans="5:12" ht="15.75">
      <c r="E446" s="42">
        <v>87208651905913</v>
      </c>
      <c r="F446" s="41" t="s">
        <v>414</v>
      </c>
      <c r="G446" s="40">
        <v>372605</v>
      </c>
      <c r="J446" s="8">
        <f>VLOOKUP(G446,[1]Sheet1!$B:$L,1,0)</f>
        <v>372605</v>
      </c>
      <c r="K446" s="8" t="e">
        <f>VLOOKUP(E446,[1]Sheet1!$N:$P,3,0)</f>
        <v>#N/A</v>
      </c>
      <c r="L446" s="44" t="str">
        <f>IFERROR(VLOOKUP(K446,[3]Sheet1!$B:$F,5,0),"")</f>
        <v/>
      </c>
    </row>
    <row r="447" spans="5:12" ht="15.75">
      <c r="E447" s="42">
        <v>1800000016037</v>
      </c>
      <c r="F447" s="41" t="s">
        <v>415</v>
      </c>
      <c r="G447" s="40">
        <v>357352</v>
      </c>
      <c r="J447" s="8">
        <f>VLOOKUP(G447,[1]Sheet1!$B:$L,1,0)</f>
        <v>357352</v>
      </c>
      <c r="K447" s="8" t="e">
        <f>VLOOKUP(E447,[1]Sheet1!$N:$P,3,0)</f>
        <v>#N/A</v>
      </c>
      <c r="L447" s="44" t="str">
        <f>IFERROR(VLOOKUP(K447,[3]Sheet1!$B:$F,5,0),"")</f>
        <v/>
      </c>
    </row>
    <row r="448" spans="5:12" ht="31.5">
      <c r="E448" s="42">
        <v>1800000016044</v>
      </c>
      <c r="F448" s="41" t="s">
        <v>416</v>
      </c>
      <c r="G448" s="40">
        <v>357353</v>
      </c>
      <c r="J448" s="8">
        <f>VLOOKUP(G448,[1]Sheet1!$B:$L,1,0)</f>
        <v>357353</v>
      </c>
      <c r="K448" s="8" t="e">
        <f>VLOOKUP(E448,[1]Sheet1!$N:$P,3,0)</f>
        <v>#N/A</v>
      </c>
      <c r="L448" s="44" t="str">
        <f>IFERROR(VLOOKUP(K448,[3]Sheet1!$B:$F,5,0),"")</f>
        <v/>
      </c>
    </row>
    <row r="449" spans="1:12" ht="15.75">
      <c r="E449" s="42">
        <v>1800000016051</v>
      </c>
      <c r="F449" s="41" t="s">
        <v>417</v>
      </c>
      <c r="G449" s="40">
        <v>357354</v>
      </c>
      <c r="J449" s="8">
        <f>VLOOKUP(G449,[1]Sheet1!$B:$L,1,0)</f>
        <v>357354</v>
      </c>
      <c r="K449" s="8" t="e">
        <f>VLOOKUP(E449,[1]Sheet1!$N:$P,3,0)</f>
        <v>#N/A</v>
      </c>
      <c r="L449" s="44" t="str">
        <f>IFERROR(VLOOKUP(K449,[3]Sheet1!$B:$F,5,0),"")</f>
        <v/>
      </c>
    </row>
    <row r="450" spans="1:12" ht="15.75">
      <c r="E450" s="42">
        <v>1800000016068</v>
      </c>
      <c r="F450" s="41" t="s">
        <v>418</v>
      </c>
      <c r="G450" s="40">
        <v>357355</v>
      </c>
      <c r="J450" s="8">
        <f>VLOOKUP(G450,[1]Sheet1!$B:$L,1,0)</f>
        <v>357355</v>
      </c>
      <c r="K450" s="8" t="e">
        <f>VLOOKUP(E450,[1]Sheet1!$N:$P,3,0)</f>
        <v>#N/A</v>
      </c>
      <c r="L450" s="44" t="str">
        <f>IFERROR(VLOOKUP(K450,[3]Sheet1!$B:$F,5,0),"")</f>
        <v/>
      </c>
    </row>
    <row r="451" spans="1:12" ht="31.5">
      <c r="E451" s="42">
        <v>1800000016075</v>
      </c>
      <c r="F451" s="41" t="s">
        <v>419</v>
      </c>
      <c r="G451" s="40">
        <v>357356</v>
      </c>
      <c r="J451" s="8">
        <f>VLOOKUP(G451,[1]Sheet1!$B:$L,1,0)</f>
        <v>357356</v>
      </c>
      <c r="K451" s="8" t="e">
        <f>VLOOKUP(E451,[1]Sheet1!$N:$P,3,0)</f>
        <v>#N/A</v>
      </c>
      <c r="L451" s="44" t="str">
        <f>IFERROR(VLOOKUP(K451,[3]Sheet1!$B:$F,5,0),"")</f>
        <v/>
      </c>
    </row>
    <row r="452" spans="1:12">
      <c r="A452" s="71">
        <v>100811</v>
      </c>
      <c r="E452" s="71">
        <v>8990800011196</v>
      </c>
      <c r="G452" s="8">
        <v>229184</v>
      </c>
    </row>
    <row r="453" spans="1:12">
      <c r="A453" s="71">
        <v>101197</v>
      </c>
      <c r="E453" s="71">
        <v>9501047211417</v>
      </c>
      <c r="G453" s="8">
        <v>95230</v>
      </c>
    </row>
    <row r="454" spans="1:12">
      <c r="A454" s="71">
        <v>101359</v>
      </c>
      <c r="E454" s="71">
        <v>80757450</v>
      </c>
      <c r="G454" s="8">
        <v>229190</v>
      </c>
    </row>
    <row r="455" spans="1:12">
      <c r="A455" s="71">
        <v>442473</v>
      </c>
      <c r="E455" s="71">
        <v>8901063165441</v>
      </c>
      <c r="G455" s="8">
        <v>308059</v>
      </c>
    </row>
    <row r="456" spans="1:12">
      <c r="A456" s="71">
        <v>190706</v>
      </c>
      <c r="E456" s="71">
        <v>8901063136779</v>
      </c>
      <c r="G456" s="8">
        <v>180063</v>
      </c>
    </row>
    <row r="457" spans="1:12">
      <c r="A457" s="71">
        <v>1136962</v>
      </c>
      <c r="E457" s="71">
        <v>8901063017658</v>
      </c>
      <c r="G457" s="72">
        <v>352834</v>
      </c>
    </row>
    <row r="458" spans="1:12">
      <c r="A458" s="71">
        <v>1238186</v>
      </c>
      <c r="E458" s="71">
        <v>8901063166653</v>
      </c>
      <c r="G458" s="72">
        <v>368845</v>
      </c>
    </row>
    <row r="459" spans="1:12">
      <c r="A459" s="71">
        <v>315026</v>
      </c>
      <c r="E459" s="71">
        <v>8901063136441</v>
      </c>
      <c r="G459" s="8">
        <v>194340</v>
      </c>
    </row>
    <row r="460" spans="1:12">
      <c r="A460" s="71">
        <v>101444</v>
      </c>
      <c r="E460" s="71">
        <v>8901063030022</v>
      </c>
      <c r="G460" s="8">
        <v>164725</v>
      </c>
    </row>
    <row r="461" spans="1:12">
      <c r="A461" s="71">
        <v>101446</v>
      </c>
      <c r="E461" s="71">
        <v>8901063151024</v>
      </c>
      <c r="G461" s="8">
        <v>111203</v>
      </c>
    </row>
    <row r="462" spans="1:12">
      <c r="A462" s="71">
        <v>101447</v>
      </c>
      <c r="E462" s="71">
        <v>6291007901092</v>
      </c>
      <c r="G462" s="8">
        <v>95894</v>
      </c>
    </row>
    <row r="463" spans="1:12">
      <c r="A463" s="71">
        <v>315025</v>
      </c>
      <c r="E463" s="71">
        <v>8901063151413</v>
      </c>
      <c r="G463" s="74">
        <v>357940</v>
      </c>
    </row>
    <row r="464" spans="1:12">
      <c r="A464" s="71">
        <v>101451</v>
      </c>
      <c r="E464" s="71">
        <v>8901063242029</v>
      </c>
      <c r="G464" s="8">
        <v>357939</v>
      </c>
    </row>
    <row r="465" spans="1:7">
      <c r="A465" s="71">
        <v>101455</v>
      </c>
      <c r="E465" s="71">
        <v>6291007901085</v>
      </c>
      <c r="G465" s="8">
        <v>95898</v>
      </c>
    </row>
    <row r="466" spans="1:7">
      <c r="A466" s="71">
        <v>101458</v>
      </c>
      <c r="E466" s="71">
        <v>6291007901108</v>
      </c>
      <c r="G466" s="8">
        <v>95891</v>
      </c>
    </row>
    <row r="467" spans="1:7">
      <c r="A467" s="71">
        <v>101460</v>
      </c>
      <c r="E467" s="71">
        <v>6291007901078</v>
      </c>
      <c r="G467" s="73">
        <v>375702</v>
      </c>
    </row>
    <row r="468" spans="1:7">
      <c r="A468" s="71">
        <v>315948</v>
      </c>
      <c r="E468" s="71">
        <v>6291007905311</v>
      </c>
      <c r="G468" s="8">
        <v>177804</v>
      </c>
    </row>
    <row r="469" spans="1:7">
      <c r="A469" s="71">
        <v>1026027</v>
      </c>
      <c r="E469" s="71">
        <v>6291007909562</v>
      </c>
      <c r="G469" s="8">
        <v>300991</v>
      </c>
    </row>
    <row r="470" spans="1:7">
      <c r="A470" s="71">
        <v>150788</v>
      </c>
      <c r="E470" s="71">
        <v>8901063151017</v>
      </c>
      <c r="G470" s="8">
        <v>164508</v>
      </c>
    </row>
    <row r="471" spans="1:7">
      <c r="A471" s="71">
        <v>337877</v>
      </c>
      <c r="E471" s="71">
        <v>6291007905762</v>
      </c>
      <c r="G471" s="8">
        <v>199739</v>
      </c>
    </row>
    <row r="472" spans="1:7">
      <c r="A472" s="71">
        <v>184089</v>
      </c>
      <c r="E472" s="71">
        <v>6291007902181</v>
      </c>
      <c r="G472" s="8">
        <v>164530</v>
      </c>
    </row>
    <row r="473" spans="1:7">
      <c r="A473" s="71">
        <v>184090</v>
      </c>
      <c r="E473" s="71">
        <v>6291007902198</v>
      </c>
      <c r="G473" s="8">
        <v>164531</v>
      </c>
    </row>
    <row r="474" spans="1:7">
      <c r="A474" s="71">
        <v>1038888</v>
      </c>
      <c r="E474" s="71">
        <v>6291007910278</v>
      </c>
      <c r="G474" s="8">
        <v>365221</v>
      </c>
    </row>
    <row r="475" spans="1:7">
      <c r="A475" s="71">
        <v>1295765</v>
      </c>
      <c r="E475" s="71">
        <v>8901063166714</v>
      </c>
      <c r="G475" s="8">
        <v>387513</v>
      </c>
    </row>
    <row r="476" spans="1:7">
      <c r="A476" s="71">
        <v>315024</v>
      </c>
      <c r="E476" s="71">
        <v>6291007906110</v>
      </c>
      <c r="G476" s="8">
        <v>346094</v>
      </c>
    </row>
    <row r="477" spans="1:7">
      <c r="A477" s="71">
        <v>315022</v>
      </c>
      <c r="E477" s="71">
        <v>6291007906103</v>
      </c>
      <c r="G477" s="8">
        <v>346095</v>
      </c>
    </row>
    <row r="478" spans="1:7">
      <c r="A478" s="71">
        <v>101475</v>
      </c>
      <c r="E478" s="71">
        <v>8901063004016</v>
      </c>
      <c r="G478" s="8">
        <v>233419</v>
      </c>
    </row>
    <row r="479" spans="1:7">
      <c r="A479" s="71">
        <v>422255</v>
      </c>
      <c r="E479" s="71">
        <v>8901063151505</v>
      </c>
      <c r="G479" s="8">
        <v>378938</v>
      </c>
    </row>
    <row r="480" spans="1:7">
      <c r="A480" s="71">
        <v>473321</v>
      </c>
      <c r="E480" s="71">
        <v>8901063165601</v>
      </c>
      <c r="G480" s="8">
        <v>295766</v>
      </c>
    </row>
    <row r="481" spans="1:7">
      <c r="A481" s="71">
        <v>473319</v>
      </c>
      <c r="E481" s="71">
        <v>8901063151963</v>
      </c>
      <c r="G481" s="8">
        <v>295768</v>
      </c>
    </row>
    <row r="482" spans="1:7">
      <c r="A482" s="71">
        <v>1295766</v>
      </c>
      <c r="E482" s="71">
        <v>6291007912685</v>
      </c>
      <c r="G482" s="8">
        <v>386179</v>
      </c>
    </row>
    <row r="483" spans="1:7">
      <c r="A483" s="71">
        <v>359229</v>
      </c>
      <c r="E483" s="71">
        <v>8901063151543</v>
      </c>
      <c r="G483" s="8">
        <v>302569</v>
      </c>
    </row>
    <row r="484" spans="1:7">
      <c r="A484" s="71">
        <v>101483</v>
      </c>
      <c r="E484" s="71">
        <v>8901063151055</v>
      </c>
      <c r="G484" s="74">
        <v>378939</v>
      </c>
    </row>
    <row r="485" spans="1:7">
      <c r="A485" s="71">
        <v>393953</v>
      </c>
      <c r="E485" s="71">
        <v>6291007906479</v>
      </c>
      <c r="G485" s="8">
        <v>300992</v>
      </c>
    </row>
    <row r="486" spans="1:7">
      <c r="A486" s="71">
        <v>192002</v>
      </c>
      <c r="E486" s="71">
        <v>6291007902204</v>
      </c>
      <c r="G486" s="8">
        <v>375703</v>
      </c>
    </row>
    <row r="487" spans="1:7" ht="15.75">
      <c r="A487" s="75">
        <v>185733</v>
      </c>
      <c r="E487" s="75">
        <v>24000145080</v>
      </c>
      <c r="G487" s="1">
        <v>411276</v>
      </c>
    </row>
    <row r="488" spans="1:7" ht="15.75">
      <c r="A488" s="75">
        <v>185731</v>
      </c>
      <c r="E488" s="75">
        <v>24000145066</v>
      </c>
      <c r="G488" s="1">
        <v>411274</v>
      </c>
    </row>
    <row r="489" spans="1:7" ht="15.75">
      <c r="A489" s="75">
        <v>185732</v>
      </c>
      <c r="E489" s="75">
        <v>24000145073</v>
      </c>
      <c r="G489" s="1">
        <v>411275</v>
      </c>
    </row>
    <row r="490" spans="1:7">
      <c r="A490" s="75">
        <v>102288</v>
      </c>
      <c r="E490" s="75">
        <v>5351904104048</v>
      </c>
      <c r="G490" s="77">
        <v>177778</v>
      </c>
    </row>
    <row r="491" spans="1:7">
      <c r="A491" s="75">
        <v>103540</v>
      </c>
      <c r="E491" s="75">
        <v>8690504550570</v>
      </c>
      <c r="G491" s="77">
        <v>164426</v>
      </c>
    </row>
    <row r="492" spans="1:7">
      <c r="A492" s="75">
        <v>103544</v>
      </c>
      <c r="E492" s="75">
        <v>8690504550587</v>
      </c>
      <c r="G492" s="77">
        <v>164425</v>
      </c>
    </row>
    <row r="493" spans="1:7">
      <c r="A493" s="75">
        <v>103545</v>
      </c>
      <c r="E493" s="75">
        <v>8690504550631</v>
      </c>
      <c r="G493" s="77">
        <v>164430</v>
      </c>
    </row>
    <row r="494" spans="1:7">
      <c r="A494" s="75">
        <v>103547</v>
      </c>
      <c r="E494" s="75">
        <v>8690504550723</v>
      </c>
      <c r="G494" s="77">
        <v>261711</v>
      </c>
    </row>
    <row r="495" spans="1:7">
      <c r="A495" s="75">
        <v>103549</v>
      </c>
      <c r="E495" s="75">
        <v>8690504550655</v>
      </c>
      <c r="G495" s="77">
        <v>164428</v>
      </c>
    </row>
    <row r="496" spans="1:7">
      <c r="A496" s="75">
        <v>103552</v>
      </c>
      <c r="E496" s="75">
        <v>8690504550648</v>
      </c>
      <c r="G496" s="77">
        <v>164427</v>
      </c>
    </row>
    <row r="497" spans="1:7">
      <c r="A497" s="75">
        <v>103554</v>
      </c>
      <c r="E497" s="75">
        <v>8690504550686</v>
      </c>
      <c r="G497" s="77">
        <v>164429</v>
      </c>
    </row>
    <row r="498" spans="1:7">
      <c r="A498" s="75">
        <v>209541</v>
      </c>
      <c r="E498" s="75">
        <v>8711173007629</v>
      </c>
      <c r="G498" s="77">
        <v>164415</v>
      </c>
    </row>
    <row r="499" spans="1:7">
      <c r="A499" s="75">
        <v>209547</v>
      </c>
      <c r="E499" s="75">
        <v>8711173007698</v>
      </c>
      <c r="G499" s="77">
        <v>164422</v>
      </c>
    </row>
    <row r="500" spans="1:7">
      <c r="A500" s="75">
        <v>209544</v>
      </c>
      <c r="E500" s="75">
        <v>8711173007643</v>
      </c>
      <c r="G500" s="8">
        <v>164419</v>
      </c>
    </row>
    <row r="501" spans="1:7">
      <c r="A501" s="76">
        <v>209543</v>
      </c>
      <c r="E501" s="76">
        <v>8711173007636</v>
      </c>
      <c r="G501" s="8">
        <v>164418</v>
      </c>
    </row>
    <row r="502" spans="1:7">
      <c r="A502" s="76">
        <v>193392</v>
      </c>
      <c r="E502" s="76">
        <v>8711173007605</v>
      </c>
      <c r="G502" s="8">
        <v>164416</v>
      </c>
    </row>
    <row r="503" spans="1:7">
      <c r="E503" s="82">
        <v>8901063201194</v>
      </c>
      <c r="G503" s="83">
        <v>95894</v>
      </c>
    </row>
    <row r="504" spans="1:7" ht="30">
      <c r="A504" s="69">
        <v>1800000024803</v>
      </c>
      <c r="B504" s="69">
        <v>40087</v>
      </c>
      <c r="C504" s="69">
        <v>404577</v>
      </c>
      <c r="D504" s="70" t="s">
        <v>458</v>
      </c>
    </row>
    <row r="505" spans="1:7">
      <c r="E505" s="82">
        <v>8710800970480</v>
      </c>
      <c r="G505" s="84">
        <f>IFERROR(VLOOKUP(E505,[4]Lulu!E:F,2,0),"")</f>
        <v>229395</v>
      </c>
    </row>
    <row r="506" spans="1:7">
      <c r="G506" s="85">
        <v>95898</v>
      </c>
    </row>
    <row r="507" spans="1:7">
      <c r="E507" s="82">
        <v>8901063203198</v>
      </c>
      <c r="G507" s="84">
        <f>IFERROR(VLOOKUP(E507,[4]Lulu!E:F,2,0),"")</f>
        <v>164622</v>
      </c>
    </row>
    <row r="508" spans="1:7">
      <c r="E508" s="82">
        <v>6291007500325</v>
      </c>
      <c r="G508" s="84">
        <f>IFERROR(VLOOKUP(E508,[4]Lulu!E:F,2,0),"")</f>
        <v>185290</v>
      </c>
    </row>
    <row r="509" spans="1:7">
      <c r="E509" s="82">
        <v>8901063136243</v>
      </c>
      <c r="G509" s="84">
        <f>IFERROR(VLOOKUP(E509,[4]Lulu!E:F,2,0),"")</f>
        <v>164224</v>
      </c>
    </row>
    <row r="510" spans="1:7">
      <c r="E510" s="82">
        <v>8901063151161</v>
      </c>
      <c r="G510" s="84">
        <f>IFERROR(VLOOKUP(E510,[4]Lulu!E:F,2,0),"")</f>
        <v>335500</v>
      </c>
    </row>
    <row r="511" spans="1:7">
      <c r="E511" s="82">
        <v>6291007905281</v>
      </c>
      <c r="G511" s="84">
        <f>IFERROR(VLOOKUP(E511,[4]Lulu!E:F,2,0),"")</f>
        <v>240667</v>
      </c>
    </row>
    <row r="512" spans="1:7">
      <c r="E512" s="82">
        <v>8690504550662</v>
      </c>
      <c r="G512" s="83">
        <v>164431</v>
      </c>
    </row>
    <row r="513" spans="1:7">
      <c r="E513" s="82">
        <v>6291007909128</v>
      </c>
      <c r="G513" s="83">
        <v>300992</v>
      </c>
    </row>
    <row r="514" spans="1:7" ht="15.75">
      <c r="E514" s="82">
        <v>8711173007605</v>
      </c>
      <c r="F514" s="86"/>
      <c r="G514" s="86" t="s">
        <v>470</v>
      </c>
    </row>
    <row r="515" spans="1:7">
      <c r="E515" s="82">
        <v>5351904104031</v>
      </c>
      <c r="G515" s="84">
        <f>IFERROR(VLOOKUP(E515,[4]Lulu!E:F,2,0),"")</f>
        <v>164357</v>
      </c>
    </row>
    <row r="516" spans="1:7">
      <c r="E516" s="82">
        <v>6291007500363</v>
      </c>
      <c r="G516" s="84">
        <f>IFERROR(VLOOKUP(E516,[4]Lulu!E:F,2,0),"")</f>
        <v>181308</v>
      </c>
    </row>
    <row r="517" spans="1:7">
      <c r="E517" s="82">
        <v>6291007500417</v>
      </c>
      <c r="G517" s="84">
        <f>IFERROR(VLOOKUP(E517,[4]Lulu!E:F,2,0),"")</f>
        <v>175844</v>
      </c>
    </row>
    <row r="518" spans="1:7">
      <c r="E518" s="82">
        <v>3073781010749</v>
      </c>
      <c r="G518" s="87">
        <v>293032</v>
      </c>
    </row>
    <row r="519" spans="1:7" ht="21">
      <c r="A519" s="65">
        <v>395789</v>
      </c>
      <c r="B519" s="89" t="s">
        <v>316</v>
      </c>
      <c r="E519" s="82">
        <v>6921211112006</v>
      </c>
      <c r="F519" s="89" t="s">
        <v>316</v>
      </c>
      <c r="G519" s="90" t="s">
        <v>471</v>
      </c>
    </row>
    <row r="520" spans="1:7" ht="31.5">
      <c r="A520" s="65">
        <v>185710</v>
      </c>
      <c r="B520" s="89" t="s">
        <v>472</v>
      </c>
      <c r="E520" s="65">
        <v>24000037484</v>
      </c>
      <c r="F520" s="89" t="s">
        <v>472</v>
      </c>
      <c r="G520" s="90" t="s">
        <v>471</v>
      </c>
    </row>
    <row r="521" spans="1:7">
      <c r="A521" s="65">
        <v>193391</v>
      </c>
      <c r="E521" s="92">
        <v>8711173007650</v>
      </c>
      <c r="F521" s="91" t="s">
        <v>480</v>
      </c>
      <c r="G521" s="93">
        <v>164420</v>
      </c>
    </row>
    <row r="540" spans="1:8" ht="30">
      <c r="A540" s="79">
        <v>8935001729068</v>
      </c>
      <c r="B540" s="79">
        <v>40087</v>
      </c>
      <c r="C540" s="79">
        <v>215</v>
      </c>
      <c r="D540" s="80" t="s">
        <v>459</v>
      </c>
      <c r="E540" s="79">
        <v>24</v>
      </c>
      <c r="F540" s="79">
        <v>0.22</v>
      </c>
      <c r="G540" s="80" t="s">
        <v>460</v>
      </c>
      <c r="H540" s="81">
        <v>412009</v>
      </c>
    </row>
    <row r="541" spans="1:8" ht="30">
      <c r="A541" s="79">
        <v>8901393027129</v>
      </c>
      <c r="B541" s="79">
        <v>40087</v>
      </c>
      <c r="C541" s="79">
        <v>215</v>
      </c>
      <c r="D541" s="80" t="s">
        <v>461</v>
      </c>
      <c r="E541" s="79">
        <v>24</v>
      </c>
      <c r="F541" s="79">
        <v>0.23</v>
      </c>
      <c r="G541" s="80" t="s">
        <v>462</v>
      </c>
      <c r="H541" s="81">
        <v>411613</v>
      </c>
    </row>
    <row r="542" spans="1:8" ht="30">
      <c r="A542" s="79">
        <v>8901393027099</v>
      </c>
      <c r="B542" s="79">
        <v>40087</v>
      </c>
      <c r="C542" s="79">
        <v>215</v>
      </c>
      <c r="D542" s="80" t="s">
        <v>463</v>
      </c>
      <c r="E542" s="79">
        <v>24</v>
      </c>
      <c r="F542" s="79">
        <v>0.04</v>
      </c>
      <c r="G542" s="80" t="s">
        <v>464</v>
      </c>
      <c r="H542" s="81">
        <v>410215</v>
      </c>
    </row>
    <row r="543" spans="1:8" ht="30">
      <c r="A543" s="79">
        <v>8935001729570</v>
      </c>
      <c r="B543" s="79">
        <v>40087</v>
      </c>
      <c r="C543" s="79">
        <v>216</v>
      </c>
      <c r="D543" s="80" t="s">
        <v>465</v>
      </c>
      <c r="E543" s="79">
        <v>12</v>
      </c>
      <c r="F543" s="79">
        <v>1.19</v>
      </c>
      <c r="G543" s="80" t="s">
        <v>466</v>
      </c>
      <c r="H543" s="81">
        <v>412010</v>
      </c>
    </row>
    <row r="544" spans="1:8" ht="30">
      <c r="A544" s="79">
        <v>8682790000440</v>
      </c>
      <c r="B544" s="79">
        <v>40087</v>
      </c>
      <c r="C544" s="79">
        <v>216</v>
      </c>
      <c r="D544" s="80" t="s">
        <v>467</v>
      </c>
      <c r="E544" s="79">
        <v>12</v>
      </c>
      <c r="F544" s="79">
        <v>1.24</v>
      </c>
      <c r="G544" s="80" t="s">
        <v>468</v>
      </c>
      <c r="H544" s="81">
        <v>412003</v>
      </c>
    </row>
    <row r="545" spans="1:8" ht="30">
      <c r="A545" s="79">
        <v>8682790000419</v>
      </c>
      <c r="B545" s="79">
        <v>40087</v>
      </c>
      <c r="C545" s="79">
        <v>216</v>
      </c>
      <c r="D545" s="80" t="s">
        <v>469</v>
      </c>
      <c r="E545" s="79">
        <v>12</v>
      </c>
      <c r="F545" s="79">
        <v>1.24</v>
      </c>
      <c r="G545" s="80" t="s">
        <v>468</v>
      </c>
      <c r="H545" s="81">
        <v>412004</v>
      </c>
    </row>
  </sheetData>
  <autoFilter ref="A1:K424" xr:uid="{00000000-0009-0000-0000-000000000000}"/>
  <conditionalFormatting sqref="E420:E423 E425:E427">
    <cfRule type="duplicateValues" dxfId="8" priority="8"/>
  </conditionalFormatting>
  <conditionalFormatting sqref="E428 E411:E419 E439:E451">
    <cfRule type="duplicateValues" dxfId="7" priority="10"/>
  </conditionalFormatting>
  <conditionalFormatting sqref="G457">
    <cfRule type="duplicateValues" dxfId="6" priority="7"/>
  </conditionalFormatting>
  <conditionalFormatting sqref="G458">
    <cfRule type="duplicateValues" dxfId="5" priority="6"/>
  </conditionalFormatting>
  <conditionalFormatting sqref="G467">
    <cfRule type="duplicateValues" dxfId="4" priority="5"/>
  </conditionalFormatting>
  <conditionalFormatting sqref="G463">
    <cfRule type="duplicateValues" dxfId="3" priority="4"/>
  </conditionalFormatting>
  <conditionalFormatting sqref="G484">
    <cfRule type="duplicateValues" dxfId="2" priority="3"/>
  </conditionalFormatting>
  <conditionalFormatting sqref="G503">
    <cfRule type="duplicateValues" dxfId="1" priority="2"/>
  </conditionalFormatting>
  <conditionalFormatting sqref="G51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99"/>
  <sheetViews>
    <sheetView tabSelected="1" workbookViewId="0">
      <pane xSplit="3" ySplit="1" topLeftCell="D398" activePane="bottomRight" state="frozen"/>
      <selection pane="topRight" activeCell="D1" sqref="D1"/>
      <selection pane="bottomLeft" activeCell="A2" sqref="A2"/>
      <selection pane="bottomRight" activeCell="D399" sqref="D399"/>
    </sheetView>
  </sheetViews>
  <sheetFormatPr defaultRowHeight="12.75"/>
  <cols>
    <col min="1" max="1" width="11.7109375" style="39" bestFit="1" customWidth="1"/>
    <col min="2" max="2" width="44.85546875" style="39" bestFit="1" customWidth="1"/>
    <col min="3" max="3" width="10.7109375" style="39" bestFit="1" customWidth="1"/>
    <col min="4" max="4" width="25.28515625" style="57" bestFit="1" customWidth="1"/>
    <col min="5" max="5" width="10.7109375" style="39" customWidth="1"/>
    <col min="6" max="6" width="44.85546875" style="39" customWidth="1"/>
    <col min="7" max="7" width="10.7109375" style="39" customWidth="1"/>
    <col min="8" max="16384" width="9.140625" style="39"/>
  </cols>
  <sheetData>
    <row r="1" spans="1:8" customFormat="1" ht="15.75">
      <c r="A1" s="5" t="s">
        <v>0</v>
      </c>
      <c r="B1" s="33" t="s">
        <v>1</v>
      </c>
      <c r="C1" s="34" t="s">
        <v>6</v>
      </c>
      <c r="D1" s="53" t="s">
        <v>5</v>
      </c>
      <c r="E1" s="36" t="s">
        <v>6</v>
      </c>
      <c r="F1" s="37" t="s">
        <v>1</v>
      </c>
      <c r="G1" s="3"/>
    </row>
    <row r="2" spans="1:8" customFormat="1" ht="15.75">
      <c r="A2" s="95"/>
      <c r="B2" s="10" t="str">
        <f>IFERROR(VLOOKUP(A2,Bel!A:F,6,0),"")</f>
        <v/>
      </c>
      <c r="C2" s="32" t="str">
        <f>IFERROR(VLOOKUP($A2,Bel!$A:$G,7,0),"")</f>
        <v/>
      </c>
      <c r="D2" s="82"/>
      <c r="E2" s="35" t="str">
        <f>IFERROR(VLOOKUP(D2,Bel!$E:$G,3,0),"")</f>
        <v/>
      </c>
      <c r="F2" s="38"/>
      <c r="G2" s="75"/>
      <c r="H2" s="71"/>
    </row>
    <row r="3" spans="1:8" customFormat="1" ht="15.75">
      <c r="A3" s="95"/>
      <c r="B3" s="10" t="str">
        <f>IFERROR(VLOOKUP(A3,Bel!A:F,6,0),"")</f>
        <v/>
      </c>
      <c r="C3" s="32" t="str">
        <f>IFERROR(VLOOKUP(A3,Bel!A:G,7,0),"")</f>
        <v/>
      </c>
      <c r="D3" s="68">
        <v>3073786155186</v>
      </c>
      <c r="E3" s="35">
        <f>IFERROR(VLOOKUP(D3,Bel!$E:$G,3,0),"")</f>
        <v>155147</v>
      </c>
      <c r="F3" s="38"/>
      <c r="G3" s="75"/>
      <c r="H3" s="71"/>
    </row>
    <row r="4" spans="1:8" customFormat="1" ht="15.75">
      <c r="A4" s="95"/>
      <c r="B4" s="10" t="str">
        <f>IFERROR(VLOOKUP(A4,Bel!A:F,6,0),"")</f>
        <v/>
      </c>
      <c r="C4" s="32" t="str">
        <f>IFERROR(VLOOKUP(A4,Bel!A:G,7,0),"")</f>
        <v/>
      </c>
      <c r="D4" s="68">
        <v>3073781010749</v>
      </c>
      <c r="E4" s="35">
        <f>IFERROR(VLOOKUP(D4,Bel!$E:$G,3,0),"")</f>
        <v>293032</v>
      </c>
      <c r="F4" s="38"/>
      <c r="G4" s="75"/>
      <c r="H4" s="71"/>
    </row>
    <row r="5" spans="1:8" customFormat="1" ht="15.75">
      <c r="A5" s="95"/>
      <c r="B5" s="10" t="str">
        <f>IFERROR(VLOOKUP(A5,Bel!A:F,6,0),"")</f>
        <v/>
      </c>
      <c r="C5" s="32" t="str">
        <f>IFERROR(VLOOKUP(A5,Bel!A:G,7,0),"")</f>
        <v/>
      </c>
      <c r="D5" s="82"/>
      <c r="E5" s="35" t="str">
        <f>IFERROR(VLOOKUP(D5,Bel!$E:$G,3,0),"")</f>
        <v/>
      </c>
      <c r="F5" s="38"/>
      <c r="G5" s="75"/>
      <c r="H5" s="71"/>
    </row>
    <row r="6" spans="1:8" customFormat="1" ht="15.75">
      <c r="A6" s="95"/>
      <c r="B6" s="10" t="str">
        <f>IFERROR(VLOOKUP(A6,Bel!A:F,6,0),"")</f>
        <v/>
      </c>
      <c r="C6" s="32" t="str">
        <f>IFERROR(VLOOKUP(A6,Bel!A:G,7,0),"")</f>
        <v/>
      </c>
      <c r="D6" s="82"/>
      <c r="E6" s="35" t="str">
        <f>IFERROR(VLOOKUP(D6,Bel!$E:$G,3,0),"")</f>
        <v/>
      </c>
      <c r="F6" s="38"/>
      <c r="G6" s="75"/>
      <c r="H6" s="71"/>
    </row>
    <row r="7" spans="1:8" customFormat="1" ht="15.75">
      <c r="A7" s="95"/>
      <c r="B7" s="10" t="str">
        <f>IFERROR(VLOOKUP(A7,Bel!A:F,6,0),"")</f>
        <v/>
      </c>
      <c r="C7" s="32" t="str">
        <f>IFERROR(VLOOKUP(A7,Bel!A:G,7,0),"")</f>
        <v/>
      </c>
      <c r="D7" s="82"/>
      <c r="E7" s="35" t="str">
        <f>IFERROR(VLOOKUP(D7,Bel!$E:$G,3,0),"")</f>
        <v/>
      </c>
      <c r="F7" s="38"/>
      <c r="G7" s="75"/>
      <c r="H7" s="71"/>
    </row>
    <row r="8" spans="1:8" customFormat="1" ht="15.75">
      <c r="A8" s="95"/>
      <c r="B8" s="10" t="str">
        <f>IFERROR(VLOOKUP(A8,Bel!A:F,6,0),"")</f>
        <v/>
      </c>
      <c r="C8" s="32" t="str">
        <f>IFERROR(VLOOKUP(A8,Bel!A:G,7,0),"")</f>
        <v/>
      </c>
      <c r="D8" s="82"/>
      <c r="E8" s="35" t="str">
        <f>IFERROR(VLOOKUP(D8,Bel!$E:$G,3,0),"")</f>
        <v/>
      </c>
      <c r="F8" s="38"/>
      <c r="G8" s="75"/>
      <c r="H8" s="71"/>
    </row>
    <row r="9" spans="1:8" customFormat="1" ht="15.75">
      <c r="A9" s="95"/>
      <c r="B9" s="10" t="str">
        <f>IFERROR(VLOOKUP(A9,Bel!A:F,6,0),"")</f>
        <v/>
      </c>
      <c r="C9" s="32" t="str">
        <f>IFERROR(VLOOKUP(A9,Bel!A:G,7,0),"")</f>
        <v/>
      </c>
      <c r="D9" s="82"/>
      <c r="E9" s="35" t="str">
        <f>IFERROR(VLOOKUP(D9,Bel!$E:$G,3,0),"")</f>
        <v/>
      </c>
      <c r="F9" s="38"/>
      <c r="G9" s="75"/>
      <c r="H9" s="71"/>
    </row>
    <row r="10" spans="1:8" customFormat="1" ht="15.75">
      <c r="A10" s="95"/>
      <c r="B10" s="10" t="str">
        <f>IFERROR(VLOOKUP(A10,Bel!A:F,6,0),"")</f>
        <v/>
      </c>
      <c r="C10" s="32" t="str">
        <f>IFERROR(VLOOKUP(A10,Bel!A:G,7,0),"")</f>
        <v/>
      </c>
      <c r="D10" s="82"/>
      <c r="E10" s="35" t="str">
        <f>IFERROR(VLOOKUP(D10,Bel!$E:$G,3,0),"")</f>
        <v/>
      </c>
      <c r="F10" s="38"/>
      <c r="G10" s="75"/>
      <c r="H10" s="71"/>
    </row>
    <row r="11" spans="1:8" customFormat="1" ht="15.75">
      <c r="A11" s="95"/>
      <c r="B11" s="10" t="str">
        <f>IFERROR(VLOOKUP(A11,Bel!A:F,6,0),"")</f>
        <v/>
      </c>
      <c r="C11" s="32" t="str">
        <f>IFERROR(VLOOKUP(A11,Bel!A:G,7,0),"")</f>
        <v/>
      </c>
      <c r="D11" s="82"/>
      <c r="E11" s="35" t="str">
        <f>IFERROR(VLOOKUP(D11,Bel!$E:$G,3,0),"")</f>
        <v/>
      </c>
      <c r="F11" s="38"/>
      <c r="G11" s="75"/>
      <c r="H11" s="71"/>
    </row>
    <row r="12" spans="1:8" customFormat="1" ht="15.75">
      <c r="A12" s="95"/>
      <c r="B12" s="10" t="str">
        <f>IFERROR(VLOOKUP(A12,Bel!A:F,6,0),"")</f>
        <v/>
      </c>
      <c r="C12" s="32" t="str">
        <f>IFERROR(VLOOKUP(A12,Bel!A:G,7,0),"")</f>
        <v/>
      </c>
      <c r="D12" s="82"/>
      <c r="E12" s="35" t="str">
        <f>IFERROR(VLOOKUP(D12,Bel!$E:$G,3,0),"")</f>
        <v/>
      </c>
      <c r="F12" s="38"/>
      <c r="G12" s="75"/>
      <c r="H12" s="71"/>
    </row>
    <row r="13" spans="1:8" customFormat="1" ht="15.75">
      <c r="A13" s="95"/>
      <c r="B13" s="10" t="str">
        <f>IFERROR(VLOOKUP(A13,Bel!A:F,6,0),"")</f>
        <v/>
      </c>
      <c r="C13" s="32" t="str">
        <f>IFERROR(VLOOKUP(A13,Bel!A:G,7,0),"")</f>
        <v/>
      </c>
      <c r="D13" s="82"/>
      <c r="E13" s="35" t="str">
        <f>IFERROR(VLOOKUP(D13,Bel!$E:$G,3,0),"")</f>
        <v/>
      </c>
      <c r="F13" s="38"/>
      <c r="G13" s="75"/>
      <c r="H13" s="71"/>
    </row>
    <row r="14" spans="1:8" customFormat="1" ht="15.75">
      <c r="A14" s="95"/>
      <c r="B14" s="10" t="str">
        <f>IFERROR(VLOOKUP(A14,Bel!A:F,6,0),"")</f>
        <v/>
      </c>
      <c r="C14" s="32" t="str">
        <f>IFERROR(VLOOKUP(A14,Bel!A:G,7,0),"")</f>
        <v/>
      </c>
      <c r="D14" s="82"/>
      <c r="E14" s="35" t="str">
        <f>IFERROR(VLOOKUP(D14,Bel!$E:$G,3,0),"")</f>
        <v/>
      </c>
      <c r="F14" s="38"/>
      <c r="G14" s="75"/>
      <c r="H14" s="71"/>
    </row>
    <row r="15" spans="1:8" customFormat="1" ht="15.75">
      <c r="A15" s="95"/>
      <c r="B15" s="10" t="str">
        <f>IFERROR(VLOOKUP(A15,Bel!A:F,6,0),"")</f>
        <v/>
      </c>
      <c r="C15" s="32" t="str">
        <f>IFERROR(VLOOKUP(A15,Bel!A:G,7,0),"")</f>
        <v/>
      </c>
      <c r="D15" s="82"/>
      <c r="E15" s="35" t="str">
        <f>IFERROR(VLOOKUP(D15,Bel!$E:$G,3,0),"")</f>
        <v/>
      </c>
      <c r="F15" s="38"/>
      <c r="G15" s="75"/>
      <c r="H15" s="71"/>
    </row>
    <row r="16" spans="1:8" customFormat="1" ht="15.75">
      <c r="A16" s="95"/>
      <c r="B16" s="10" t="str">
        <f>IFERROR(VLOOKUP(A16,Bel!A:F,6,0),"")</f>
        <v/>
      </c>
      <c r="C16" s="32" t="str">
        <f>IFERROR(VLOOKUP(A16,Bel!A:G,7,0),"")</f>
        <v/>
      </c>
      <c r="D16" s="82"/>
      <c r="E16" s="35" t="str">
        <f>IFERROR(VLOOKUP(D16,Bel!$E:$G,3,0),"")</f>
        <v/>
      </c>
      <c r="F16" s="38"/>
      <c r="G16" s="75"/>
      <c r="H16" s="71"/>
    </row>
    <row r="17" spans="1:8" customFormat="1" ht="15.75">
      <c r="A17" s="95"/>
      <c r="B17" s="10" t="str">
        <f>IFERROR(VLOOKUP(A17,Bel!A:F,6,0),"")</f>
        <v/>
      </c>
      <c r="C17" s="32" t="str">
        <f>IFERROR(VLOOKUP(A17,Bel!A:G,7,0),"")</f>
        <v/>
      </c>
      <c r="D17" s="82"/>
      <c r="E17" s="35" t="str">
        <f>IFERROR(VLOOKUP(D17,Bel!$E:$G,3,0),"")</f>
        <v/>
      </c>
      <c r="F17" s="38"/>
      <c r="G17" s="75"/>
      <c r="H17" s="71"/>
    </row>
    <row r="18" spans="1:8" customFormat="1" ht="15.75">
      <c r="A18" s="95"/>
      <c r="B18" s="10" t="str">
        <f>IFERROR(VLOOKUP(A18,Bel!A:F,6,0),"")</f>
        <v/>
      </c>
      <c r="C18" s="32" t="str">
        <f>IFERROR(VLOOKUP(A18,Bel!A:G,7,0),"")</f>
        <v/>
      </c>
      <c r="D18" s="82"/>
      <c r="E18" s="35" t="str">
        <f>IFERROR(VLOOKUP(D18,Bel!$E:$G,3,0),"")</f>
        <v/>
      </c>
      <c r="F18" s="38"/>
      <c r="G18" s="75"/>
      <c r="H18" s="71"/>
    </row>
    <row r="19" spans="1:8" customFormat="1" ht="15.75">
      <c r="A19" s="95"/>
      <c r="B19" s="10" t="str">
        <f>IFERROR(VLOOKUP(A19,Bel!A:F,6,0),"")</f>
        <v/>
      </c>
      <c r="C19" s="32" t="str">
        <f>IFERROR(VLOOKUP(A19,Bel!A:G,7,0),"")</f>
        <v/>
      </c>
      <c r="D19" s="82"/>
      <c r="E19" s="35" t="str">
        <f>IFERROR(VLOOKUP(D19,Bel!$E:$G,3,0),"")</f>
        <v/>
      </c>
      <c r="F19" s="38"/>
      <c r="G19" s="75"/>
      <c r="H19" s="71"/>
    </row>
    <row r="20" spans="1:8" customFormat="1" ht="15.75">
      <c r="A20" s="95"/>
      <c r="B20" s="10" t="str">
        <f>IFERROR(VLOOKUP(A20,Bel!A:F,6,0),"")</f>
        <v/>
      </c>
      <c r="C20" s="32" t="str">
        <f>IFERROR(VLOOKUP(A20,Bel!A:G,7,0),"")</f>
        <v/>
      </c>
      <c r="D20" s="82"/>
      <c r="E20" s="35" t="str">
        <f>IFERROR(VLOOKUP(D20,Bel!$E:$G,3,0),"")</f>
        <v/>
      </c>
      <c r="F20" s="38"/>
      <c r="G20" s="75"/>
      <c r="H20" s="71"/>
    </row>
    <row r="21" spans="1:8" customFormat="1" ht="15.75">
      <c r="A21" s="95"/>
      <c r="B21" s="10" t="str">
        <f>IFERROR(VLOOKUP(A21,Bel!A:F,6,0),"")</f>
        <v/>
      </c>
      <c r="C21" s="32" t="str">
        <f>IFERROR(VLOOKUP(A21,Bel!A:G,7,0),"")</f>
        <v/>
      </c>
      <c r="D21" s="82"/>
      <c r="E21" s="35" t="str">
        <f>IFERROR(VLOOKUP(D21,Bel!$E:$G,3,0),"")</f>
        <v/>
      </c>
      <c r="F21" s="38"/>
      <c r="G21" s="75"/>
      <c r="H21" s="71"/>
    </row>
    <row r="22" spans="1:8" customFormat="1" ht="15.75">
      <c r="A22" s="95"/>
      <c r="B22" s="10" t="str">
        <f>IFERROR(VLOOKUP(A22,Bel!A:F,6,0),"")</f>
        <v/>
      </c>
      <c r="C22" s="32" t="str">
        <f>IFERROR(VLOOKUP(A22,Bel!A:G,7,0),"")</f>
        <v/>
      </c>
      <c r="D22" s="82"/>
      <c r="E22" s="35" t="str">
        <f>IFERROR(VLOOKUP(D22,Bel!$E:$G,3,0),"")</f>
        <v/>
      </c>
      <c r="F22" s="38"/>
      <c r="G22" s="75"/>
      <c r="H22" s="71"/>
    </row>
    <row r="23" spans="1:8" customFormat="1" ht="15.75">
      <c r="A23" s="95"/>
      <c r="B23" s="10" t="str">
        <f>IFERROR(VLOOKUP(A23,Bel!A:F,6,0),"")</f>
        <v/>
      </c>
      <c r="C23" s="32" t="str">
        <f>IFERROR(VLOOKUP(A23,Bel!A:G,7,0),"")</f>
        <v/>
      </c>
      <c r="D23" s="82"/>
      <c r="E23" s="35" t="str">
        <f>IFERROR(VLOOKUP(D23,Bel!$E:$G,3,0),"")</f>
        <v/>
      </c>
      <c r="F23" s="38"/>
      <c r="G23" s="75"/>
      <c r="H23" s="71"/>
    </row>
    <row r="24" spans="1:8" customFormat="1" ht="15.75">
      <c r="A24" s="95"/>
      <c r="B24" s="10" t="str">
        <f>IFERROR(VLOOKUP(A24,Bel!A:F,6,0),"")</f>
        <v/>
      </c>
      <c r="C24" s="32" t="str">
        <f>IFERROR(VLOOKUP(A24,Bel!A:G,7,0),"")</f>
        <v/>
      </c>
      <c r="D24" s="82"/>
      <c r="E24" s="35" t="str">
        <f>IFERROR(VLOOKUP(D24,Bel!$E:$G,3,0),"")</f>
        <v/>
      </c>
      <c r="F24" s="38"/>
      <c r="G24" s="75"/>
      <c r="H24" s="71"/>
    </row>
    <row r="25" spans="1:8" customFormat="1" ht="15.75">
      <c r="A25" s="95"/>
      <c r="B25" s="10" t="str">
        <f>IFERROR(VLOOKUP(A25,Bel!A:F,6,0),"")</f>
        <v/>
      </c>
      <c r="C25" s="32" t="str">
        <f>IFERROR(VLOOKUP(A25,Bel!A:G,7,0),"")</f>
        <v/>
      </c>
      <c r="D25" s="82"/>
      <c r="E25" s="35" t="str">
        <f>IFERROR(VLOOKUP(D25,Bel!$E:$G,3,0),"")</f>
        <v/>
      </c>
      <c r="F25" s="38"/>
      <c r="G25" s="75"/>
      <c r="H25" s="71"/>
    </row>
    <row r="26" spans="1:8" customFormat="1" ht="15.75">
      <c r="A26" s="95"/>
      <c r="B26" s="10" t="str">
        <f>IFERROR(VLOOKUP(A26,Bel!A:F,6,0),"")</f>
        <v/>
      </c>
      <c r="C26" s="32" t="str">
        <f>IFERROR(VLOOKUP(A26,Bel!A:G,7,0),"")</f>
        <v/>
      </c>
      <c r="D26" s="82"/>
      <c r="E26" s="35" t="str">
        <f>IFERROR(VLOOKUP(D26,Bel!$E:$G,3,0),"")</f>
        <v/>
      </c>
      <c r="F26" s="38"/>
      <c r="G26" s="75"/>
      <c r="H26" s="71"/>
    </row>
    <row r="27" spans="1:8" customFormat="1" ht="15.75">
      <c r="A27" s="95"/>
      <c r="B27" s="10" t="str">
        <f>IFERROR(VLOOKUP(A27,Bel!A:F,6,0),"")</f>
        <v/>
      </c>
      <c r="C27" s="32" t="str">
        <f>IFERROR(VLOOKUP(A27,Bel!A:G,7,0),"")</f>
        <v/>
      </c>
      <c r="D27" s="82"/>
      <c r="E27" s="35" t="str">
        <f>IFERROR(VLOOKUP(D27,Bel!$E:$G,3,0),"")</f>
        <v/>
      </c>
      <c r="F27" s="38"/>
      <c r="G27" s="75"/>
      <c r="H27" s="71"/>
    </row>
    <row r="28" spans="1:8" customFormat="1" ht="15.75">
      <c r="A28" s="95"/>
      <c r="B28" s="10" t="str">
        <f>IFERROR(VLOOKUP(A28,Bel!A:F,6,0),"")</f>
        <v/>
      </c>
      <c r="C28" s="32" t="str">
        <f>IFERROR(VLOOKUP(A28,Bel!A:G,7,0),"")</f>
        <v/>
      </c>
      <c r="D28" s="75"/>
      <c r="E28" s="35" t="str">
        <f>IFERROR(VLOOKUP(D28,Bel!$E:$G,3,0),"")</f>
        <v/>
      </c>
      <c r="F28" s="38"/>
      <c r="G28" s="75"/>
      <c r="H28" s="71"/>
    </row>
    <row r="29" spans="1:8" customFormat="1" ht="15.75">
      <c r="A29" s="95"/>
      <c r="B29" s="10" t="str">
        <f>IFERROR(VLOOKUP(A29,Bel!A:F,6,0),"")</f>
        <v/>
      </c>
      <c r="C29" s="32" t="str">
        <f>IFERROR(VLOOKUP(A29,Bel!A:G,7,0),"")</f>
        <v/>
      </c>
      <c r="D29" s="75"/>
      <c r="E29" s="35" t="str">
        <f>IFERROR(VLOOKUP(D29,Bel!$E:$G,3,0),"")</f>
        <v/>
      </c>
      <c r="F29" s="38"/>
      <c r="G29" s="75"/>
      <c r="H29" s="71"/>
    </row>
    <row r="30" spans="1:8" customFormat="1" ht="15.75">
      <c r="A30" s="95"/>
      <c r="B30" s="10" t="str">
        <f>IFERROR(VLOOKUP(A30,Bel!A:F,6,0),"")</f>
        <v/>
      </c>
      <c r="C30" s="32" t="str">
        <f>IFERROR(VLOOKUP(A30,Bel!A:G,7,0),"")</f>
        <v/>
      </c>
      <c r="D30" s="75"/>
      <c r="E30" s="35" t="str">
        <f>IFERROR(VLOOKUP(D30,Bel!$E:$G,3,0),"")</f>
        <v/>
      </c>
      <c r="F30" s="38"/>
      <c r="G30" s="75"/>
      <c r="H30" s="71"/>
    </row>
    <row r="31" spans="1:8" customFormat="1" ht="15.75">
      <c r="A31" s="95"/>
      <c r="B31" s="10" t="str">
        <f>IFERROR(VLOOKUP(A31,Bel!A:F,6,0),"")</f>
        <v/>
      </c>
      <c r="C31" s="32" t="str">
        <f>IFERROR(VLOOKUP(A31,Bel!A:G,7,0),"")</f>
        <v/>
      </c>
      <c r="D31" s="75"/>
      <c r="E31" s="35" t="str">
        <f>IFERROR(VLOOKUP(D31,Bel!$E:$G,3,0),"")</f>
        <v/>
      </c>
      <c r="F31" s="38"/>
      <c r="G31" s="75"/>
      <c r="H31" s="71"/>
    </row>
    <row r="32" spans="1:8" customFormat="1" ht="15.75">
      <c r="A32" s="95"/>
      <c r="B32" s="10" t="str">
        <f>IFERROR(VLOOKUP(A32,Bel!A:F,6,0),"")</f>
        <v/>
      </c>
      <c r="C32" s="32" t="str">
        <f>IFERROR(VLOOKUP(A32,Bel!A:G,7,0),"")</f>
        <v/>
      </c>
      <c r="D32" s="75"/>
      <c r="E32" s="35" t="str">
        <f>IFERROR(VLOOKUP(D32,Bel!$E:$G,3,0),"")</f>
        <v/>
      </c>
      <c r="F32" s="38"/>
      <c r="G32" s="75"/>
      <c r="H32" s="71"/>
    </row>
    <row r="33" spans="1:8" customFormat="1" ht="15.75">
      <c r="A33" s="95"/>
      <c r="B33" s="10" t="str">
        <f>IFERROR(VLOOKUP(A33,Bel!A:F,6,0),"")</f>
        <v/>
      </c>
      <c r="C33" s="32" t="str">
        <f>IFERROR(VLOOKUP(A33,Bel!A:G,7,0),"")</f>
        <v/>
      </c>
      <c r="D33" s="75"/>
      <c r="E33" s="35" t="str">
        <f>IFERROR(VLOOKUP(D33,Bel!$E:$G,3,0),"")</f>
        <v/>
      </c>
      <c r="F33" s="38"/>
      <c r="G33" s="75"/>
      <c r="H33" s="71"/>
    </row>
    <row r="34" spans="1:8" customFormat="1" ht="15.75">
      <c r="A34" s="95"/>
      <c r="B34" s="10" t="str">
        <f>IFERROR(VLOOKUP(A34,Bel!A:F,6,0),"")</f>
        <v/>
      </c>
      <c r="C34" s="32" t="str">
        <f>IFERROR(VLOOKUP(A34,Bel!A:G,7,0),"")</f>
        <v/>
      </c>
      <c r="D34" s="75"/>
      <c r="E34" s="35" t="str">
        <f>IFERROR(VLOOKUP(D34,Bel!$E:$G,3,0),"")</f>
        <v/>
      </c>
      <c r="F34" s="38"/>
      <c r="G34" s="75"/>
      <c r="H34" s="71"/>
    </row>
    <row r="35" spans="1:8" customFormat="1" ht="15.75">
      <c r="A35" s="95"/>
      <c r="B35" s="10" t="str">
        <f>IFERROR(VLOOKUP(A35,Bel!A:F,6,0),"")</f>
        <v/>
      </c>
      <c r="C35" s="32" t="str">
        <f>IFERROR(VLOOKUP(A35,Bel!A:G,7,0),"")</f>
        <v/>
      </c>
      <c r="D35" s="75"/>
      <c r="E35" s="35" t="str">
        <f>IFERROR(VLOOKUP(D35,Bel!$E:$G,3,0),"")</f>
        <v/>
      </c>
      <c r="F35" s="38"/>
      <c r="G35" s="75"/>
      <c r="H35" s="71"/>
    </row>
    <row r="36" spans="1:8" customFormat="1" ht="15.75">
      <c r="A36" s="95"/>
      <c r="B36" s="10" t="str">
        <f>IFERROR(VLOOKUP(A36,Bel!A:F,6,0),"")</f>
        <v/>
      </c>
      <c r="C36" s="32" t="str">
        <f>IFERROR(VLOOKUP(A36,Bel!A:G,7,0),"")</f>
        <v/>
      </c>
      <c r="D36" s="75"/>
      <c r="E36" s="35" t="str">
        <f>IFERROR(VLOOKUP(D36,Bel!$E:$G,3,0),"")</f>
        <v/>
      </c>
      <c r="F36" s="38"/>
      <c r="G36" s="75"/>
      <c r="H36" s="71"/>
    </row>
    <row r="37" spans="1:8" customFormat="1" ht="15.75">
      <c r="A37" s="95"/>
      <c r="B37" s="10" t="str">
        <f>IFERROR(VLOOKUP(A37,Bel!A:F,6,0),"")</f>
        <v/>
      </c>
      <c r="C37" s="32" t="str">
        <f>IFERROR(VLOOKUP(A37,Bel!A:G,7,0),"")</f>
        <v/>
      </c>
      <c r="D37" s="75"/>
      <c r="E37" s="35" t="str">
        <f>IFERROR(VLOOKUP(D37,Bel!$E:$G,3,0),"")</f>
        <v/>
      </c>
      <c r="F37" s="38"/>
      <c r="G37" s="75"/>
      <c r="H37" s="71"/>
    </row>
    <row r="38" spans="1:8" customFormat="1" ht="15.75">
      <c r="A38" s="95"/>
      <c r="B38" s="10" t="str">
        <f>IFERROR(VLOOKUP(A38,Bel!A:F,6,0),"")</f>
        <v/>
      </c>
      <c r="C38" s="32" t="str">
        <f>IFERROR(VLOOKUP(A38,Bel!A:G,7,0),"")</f>
        <v/>
      </c>
      <c r="D38" s="75"/>
      <c r="E38" s="35" t="str">
        <f>IFERROR(VLOOKUP(D38,Bel!$E:$G,3,0),"")</f>
        <v/>
      </c>
      <c r="F38" s="38"/>
      <c r="G38" s="75"/>
      <c r="H38" s="71"/>
    </row>
    <row r="39" spans="1:8" customFormat="1" ht="15.75">
      <c r="A39" s="95"/>
      <c r="B39" s="10" t="str">
        <f>IFERROR(VLOOKUP(A39,Bel!A:F,6,0),"")</f>
        <v/>
      </c>
      <c r="C39" s="32" t="str">
        <f>IFERROR(VLOOKUP(A39,Bel!A:G,7,0),"")</f>
        <v/>
      </c>
      <c r="D39" s="75"/>
      <c r="E39" s="35" t="str">
        <f>IFERROR(VLOOKUP(D39,Bel!$E:$G,3,0),"")</f>
        <v/>
      </c>
      <c r="F39" s="38"/>
      <c r="G39" s="75"/>
      <c r="H39" s="71"/>
    </row>
    <row r="40" spans="1:8" customFormat="1" ht="15.75">
      <c r="A40" s="95"/>
      <c r="B40" s="10" t="str">
        <f>IFERROR(VLOOKUP(A40,Bel!A:F,6,0),"")</f>
        <v/>
      </c>
      <c r="C40" s="32" t="str">
        <f>IFERROR(VLOOKUP(A40,Bel!A:G,7,0),"")</f>
        <v/>
      </c>
      <c r="D40" s="75"/>
      <c r="E40" s="35" t="str">
        <f>IFERROR(VLOOKUP(D40,Bel!$E:$G,3,0),"")</f>
        <v/>
      </c>
      <c r="F40" s="38"/>
      <c r="G40" s="75"/>
      <c r="H40" s="71"/>
    </row>
    <row r="41" spans="1:8" customFormat="1" ht="15.75">
      <c r="A41" s="95"/>
      <c r="B41" s="10" t="str">
        <f>IFERROR(VLOOKUP(A41,Bel!A:F,6,0),"")</f>
        <v/>
      </c>
      <c r="C41" s="32" t="str">
        <f>IFERROR(VLOOKUP(A41,Bel!A:G,7,0),"")</f>
        <v/>
      </c>
      <c r="D41" s="75"/>
      <c r="E41" s="35" t="str">
        <f>IFERROR(VLOOKUP(D41,Bel!$E:$G,3,0),"")</f>
        <v/>
      </c>
      <c r="F41" s="38"/>
      <c r="G41" s="75"/>
      <c r="H41" s="71"/>
    </row>
    <row r="42" spans="1:8" customFormat="1" ht="15.75">
      <c r="A42" s="95"/>
      <c r="B42" s="10" t="str">
        <f>IFERROR(VLOOKUP(A42,Bel!A:F,6,0),"")</f>
        <v/>
      </c>
      <c r="C42" s="32" t="str">
        <f>IFERROR(VLOOKUP(A42,Bel!A:G,7,0),"")</f>
        <v/>
      </c>
      <c r="D42" s="75"/>
      <c r="E42" s="35" t="str">
        <f>IFERROR(VLOOKUP(D42,Bel!$E:$G,3,0),"")</f>
        <v/>
      </c>
      <c r="F42" s="38"/>
      <c r="G42" s="75"/>
      <c r="H42" s="71"/>
    </row>
    <row r="43" spans="1:8" customFormat="1" ht="15.75">
      <c r="A43" s="95"/>
      <c r="B43" s="10" t="str">
        <f>IFERROR(VLOOKUP(A43,Bel!A:F,6,0),"")</f>
        <v/>
      </c>
      <c r="C43" s="32" t="str">
        <f>IFERROR(VLOOKUP(A43,Bel!A:G,7,0),"")</f>
        <v/>
      </c>
      <c r="D43" s="75"/>
      <c r="E43" s="35" t="str">
        <f>IFERROR(VLOOKUP(D43,Bel!$E:$G,3,0),"")</f>
        <v/>
      </c>
      <c r="F43" s="38"/>
      <c r="G43" s="75"/>
      <c r="H43" s="71"/>
    </row>
    <row r="44" spans="1:8" customFormat="1" ht="15.75">
      <c r="A44" s="95"/>
      <c r="B44" s="10" t="str">
        <f>IFERROR(VLOOKUP(A44,Bel!A:F,6,0),"")</f>
        <v/>
      </c>
      <c r="C44" s="32" t="str">
        <f>IFERROR(VLOOKUP(A44,Bel!A:G,7,0),"")</f>
        <v/>
      </c>
      <c r="D44" s="75"/>
      <c r="E44" s="35" t="str">
        <f>IFERROR(VLOOKUP(D44,Bel!$E:$G,3,0),"")</f>
        <v/>
      </c>
      <c r="F44" s="38"/>
      <c r="G44" s="75"/>
      <c r="H44" s="71"/>
    </row>
    <row r="45" spans="1:8" customFormat="1" ht="15.75">
      <c r="A45" s="95"/>
      <c r="B45" s="10" t="str">
        <f>IFERROR(VLOOKUP(A45,Bel!A:F,6,0),"")</f>
        <v/>
      </c>
      <c r="C45" s="32" t="str">
        <f>IFERROR(VLOOKUP(A45,Bel!A:G,7,0),"")</f>
        <v/>
      </c>
      <c r="D45" s="75"/>
      <c r="E45" s="35" t="str">
        <f>IFERROR(VLOOKUP(D45,Bel!$E:$G,3,0),"")</f>
        <v/>
      </c>
      <c r="F45" s="38"/>
      <c r="G45" s="75"/>
      <c r="H45" s="71"/>
    </row>
    <row r="46" spans="1:8" customFormat="1" ht="15.75">
      <c r="A46" s="95"/>
      <c r="B46" s="10" t="str">
        <f>IFERROR(VLOOKUP(A46,Bel!A:F,6,0),"")</f>
        <v/>
      </c>
      <c r="C46" s="32" t="str">
        <f>IFERROR(VLOOKUP(A46,Bel!A:G,7,0),"")</f>
        <v/>
      </c>
      <c r="D46" s="75"/>
      <c r="E46" s="35" t="str">
        <f>IFERROR(VLOOKUP(D46,Bel!$E:$G,3,0),"")</f>
        <v/>
      </c>
      <c r="F46" s="38"/>
      <c r="G46" s="75"/>
    </row>
    <row r="47" spans="1:8" customFormat="1" ht="15.75">
      <c r="A47" s="95"/>
      <c r="B47" s="10" t="str">
        <f>IFERROR(VLOOKUP(A47,Bel!A:F,6,0),"")</f>
        <v/>
      </c>
      <c r="C47" s="32" t="str">
        <f>IFERROR(VLOOKUP(A47,Bel!A:G,7,0),"")</f>
        <v/>
      </c>
      <c r="D47" s="75"/>
      <c r="E47" s="35" t="str">
        <f>IFERROR(VLOOKUP(D47,Bel!$E:$G,3,0),"")</f>
        <v/>
      </c>
      <c r="F47" s="38"/>
      <c r="G47" s="75"/>
    </row>
    <row r="48" spans="1:8" customFormat="1" ht="15.75">
      <c r="A48" s="96"/>
      <c r="B48" s="10" t="str">
        <f>IFERROR(VLOOKUP(A48,Bel!A:F,6,0),"")</f>
        <v/>
      </c>
      <c r="C48" s="32" t="str">
        <f>IFERROR(VLOOKUP(A48,Bel!A:G,7,0),"")</f>
        <v/>
      </c>
      <c r="D48" s="76"/>
      <c r="E48" s="35" t="str">
        <f>IFERROR(VLOOKUP(D48,Bel!$E:$G,3,0),"")</f>
        <v/>
      </c>
      <c r="F48" s="38"/>
      <c r="G48" s="76"/>
    </row>
    <row r="49" spans="1:7" customFormat="1" ht="15.75">
      <c r="A49" s="96"/>
      <c r="B49" s="10" t="str">
        <f>IFERROR(VLOOKUP(A49,Bel!A:F,6,0),"")</f>
        <v/>
      </c>
      <c r="C49" s="32" t="str">
        <f>IFERROR(VLOOKUP(A49,Bel!A:G,7,0),"")</f>
        <v/>
      </c>
      <c r="D49" s="76"/>
      <c r="E49" s="35" t="str">
        <f>IFERROR(VLOOKUP(D49,Bel!$E:$G,3,0),"")</f>
        <v/>
      </c>
      <c r="F49" s="38"/>
      <c r="G49" s="76"/>
    </row>
    <row r="50" spans="1:7" customFormat="1" ht="15.75">
      <c r="A50" s="97"/>
      <c r="B50" s="10" t="str">
        <f>IFERROR(VLOOKUP(A50,Bel!A:F,6,0),"")</f>
        <v/>
      </c>
      <c r="C50" s="32" t="str">
        <f>IFERROR(VLOOKUP(A50,Bel!A:G,7,0),"")</f>
        <v/>
      </c>
      <c r="D50" s="47"/>
      <c r="E50" s="35" t="str">
        <f>IFERROR(VLOOKUP(D50,Bel!$E:$G,3,0),"")</f>
        <v/>
      </c>
      <c r="F50" s="38"/>
      <c r="G50" s="1"/>
    </row>
    <row r="51" spans="1:7" customFormat="1" ht="15.75">
      <c r="A51" s="97"/>
      <c r="B51" s="10" t="str">
        <f>IFERROR(VLOOKUP(A51,Bel!A:F,6,0),"")</f>
        <v/>
      </c>
      <c r="C51" s="32" t="str">
        <f>IFERROR(VLOOKUP(A51,Bel!A:G,7,0),"")</f>
        <v/>
      </c>
      <c r="D51" s="47"/>
      <c r="E51" s="35" t="str">
        <f>IFERROR(VLOOKUP(D51,Bel!$E:$G,3,0),"")</f>
        <v/>
      </c>
      <c r="F51" s="38"/>
      <c r="G51" s="1"/>
    </row>
    <row r="52" spans="1:7" customFormat="1" ht="15.75">
      <c r="A52" s="97"/>
      <c r="B52" s="10" t="str">
        <f>IFERROR(VLOOKUP(A52,Bel!A:F,6,0),"")</f>
        <v/>
      </c>
      <c r="C52" s="32" t="str">
        <f>IFERROR(VLOOKUP(A52,Bel!A:G,7,0),"")</f>
        <v/>
      </c>
      <c r="D52" s="47"/>
      <c r="E52" s="35" t="str">
        <f>IFERROR(VLOOKUP(D52,Bel!$E:$G,3,0),"")</f>
        <v/>
      </c>
      <c r="F52" s="38"/>
      <c r="G52" s="1"/>
    </row>
    <row r="53" spans="1:7" customFormat="1" ht="15.75">
      <c r="A53" s="97"/>
      <c r="B53" s="10" t="str">
        <f>IFERROR(VLOOKUP(A53,Bel!A:F,6,0),"")</f>
        <v/>
      </c>
      <c r="C53" s="32" t="str">
        <f>IFERROR(VLOOKUP(A53,Bel!A:G,7,0),"")</f>
        <v/>
      </c>
      <c r="D53" s="47"/>
      <c r="E53" s="35" t="str">
        <f>IFERROR(VLOOKUP(D53,Bel!$E:$G,3,0),"")</f>
        <v/>
      </c>
      <c r="F53" s="38"/>
      <c r="G53" s="1"/>
    </row>
    <row r="54" spans="1:7" customFormat="1" ht="15.75">
      <c r="A54" s="97"/>
      <c r="B54" s="10" t="str">
        <f>IFERROR(VLOOKUP(A54,Bel!A:F,6,0),"")</f>
        <v/>
      </c>
      <c r="C54" s="32" t="str">
        <f>IFERROR(VLOOKUP(A54,Bel!A:G,7,0),"")</f>
        <v/>
      </c>
      <c r="D54" s="47"/>
      <c r="E54" s="35" t="str">
        <f>IFERROR(VLOOKUP(D54,Bel!$E:$G,3,0),"")</f>
        <v/>
      </c>
      <c r="F54" s="38"/>
      <c r="G54" s="1"/>
    </row>
    <row r="55" spans="1:7" customFormat="1" ht="15.75">
      <c r="A55" s="97"/>
      <c r="B55" s="10" t="str">
        <f>IFERROR(VLOOKUP(A55,Bel!A:F,6,0),"")</f>
        <v/>
      </c>
      <c r="C55" s="32" t="str">
        <f>IFERROR(VLOOKUP(A55,Bel!A:G,7,0),"")</f>
        <v/>
      </c>
      <c r="D55" s="47"/>
      <c r="E55" s="35" t="str">
        <f>IFERROR(VLOOKUP(D55,Bel!$E:$G,3,0),"")</f>
        <v/>
      </c>
      <c r="F55" s="38"/>
      <c r="G55" s="1"/>
    </row>
    <row r="56" spans="1:7" customFormat="1" ht="15.75">
      <c r="A56" s="97"/>
      <c r="B56" s="10" t="str">
        <f>IFERROR(VLOOKUP(A56,Bel!A:F,6,0),"")</f>
        <v/>
      </c>
      <c r="C56" s="32" t="str">
        <f>IFERROR(VLOOKUP(A56,Bel!A:G,7,0),"")</f>
        <v/>
      </c>
      <c r="D56" s="47"/>
      <c r="E56" s="35" t="str">
        <f>IFERROR(VLOOKUP(D54,Bel!$E:$G,3,0),"")</f>
        <v/>
      </c>
      <c r="F56" s="38"/>
      <c r="G56" s="1"/>
    </row>
    <row r="57" spans="1:7" customFormat="1" ht="15.75">
      <c r="A57" s="97"/>
      <c r="B57" s="10" t="str">
        <f>IFERROR(VLOOKUP(A57,Bel!A:F,6,0),"")</f>
        <v/>
      </c>
      <c r="C57" s="32" t="str">
        <f>IFERROR(VLOOKUP(A57,Bel!A:G,7,0),"")</f>
        <v/>
      </c>
      <c r="D57" s="47"/>
      <c r="E57" s="35" t="str">
        <f>IFERROR(VLOOKUP(D55,Bel!$E:$G,3,0),"")</f>
        <v/>
      </c>
      <c r="F57" s="38"/>
      <c r="G57" s="1"/>
    </row>
    <row r="58" spans="1:7" customFormat="1" ht="15.75">
      <c r="A58" s="97"/>
      <c r="B58" s="10" t="str">
        <f>IFERROR(VLOOKUP(A58,Bel!A:F,6,0),"")</f>
        <v/>
      </c>
      <c r="C58" s="32" t="str">
        <f>IFERROR(VLOOKUP(A58,Bel!A:G,7,0),"")</f>
        <v/>
      </c>
      <c r="D58" s="47"/>
      <c r="E58" s="35" t="str">
        <f>IFERROR(VLOOKUP(D56,Bel!$E:$G,3,0),"")</f>
        <v/>
      </c>
      <c r="F58" s="38"/>
      <c r="G58" s="1"/>
    </row>
    <row r="59" spans="1:7" customFormat="1" ht="15.75">
      <c r="A59" s="98"/>
      <c r="B59" s="10" t="str">
        <f>IFERROR(VLOOKUP(A59,Bel!A:F,6,0),"")</f>
        <v/>
      </c>
      <c r="C59" s="32" t="str">
        <f>IFERROR(VLOOKUP(A59,Bel!A:G,7,0),"")</f>
        <v/>
      </c>
      <c r="D59" s="59"/>
      <c r="E59" s="35" t="str">
        <f>IFERROR(VLOOKUP(D57,Bel!$E:$G,3,0),"")</f>
        <v/>
      </c>
      <c r="F59" s="38"/>
      <c r="G59" s="1"/>
    </row>
    <row r="60" spans="1:7" customFormat="1" ht="15.75">
      <c r="A60" s="98"/>
      <c r="B60" s="10" t="str">
        <f>IFERROR(VLOOKUP(A60,Bel!A:F,6,0),"")</f>
        <v/>
      </c>
      <c r="C60" s="32" t="str">
        <f>IFERROR(VLOOKUP(A60,Bel!A:G,7,0),"")</f>
        <v/>
      </c>
      <c r="D60" s="59"/>
      <c r="E60" s="35" t="str">
        <f>IFERROR(VLOOKUP(D58,Bel!$E:$G,3,0),"")</f>
        <v/>
      </c>
      <c r="F60" s="38"/>
      <c r="G60" s="1"/>
    </row>
    <row r="61" spans="1:7" customFormat="1" ht="15.75">
      <c r="A61" s="98"/>
      <c r="B61" s="10" t="str">
        <f>IFERROR(VLOOKUP(A61,Bel!A:F,6,0),"")</f>
        <v/>
      </c>
      <c r="C61" s="32" t="str">
        <f>IFERROR(VLOOKUP(A61,Bel!A:G,7,0),"")</f>
        <v/>
      </c>
      <c r="D61" s="59"/>
      <c r="E61" s="35" t="str">
        <f>IFERROR(VLOOKUP(D59,Bel!$E:$G,3,0),"")</f>
        <v/>
      </c>
      <c r="F61" s="38"/>
      <c r="G61" s="1"/>
    </row>
    <row r="62" spans="1:7" customFormat="1" ht="15.75">
      <c r="A62" s="98"/>
      <c r="B62" s="10" t="str">
        <f>IFERROR(VLOOKUP(A62,Bel!A:F,6,0),"")</f>
        <v/>
      </c>
      <c r="C62" s="32" t="str">
        <f>IFERROR(VLOOKUP(A62,Bel!A:G,7,0),"")</f>
        <v/>
      </c>
      <c r="D62" s="59"/>
      <c r="E62" s="35" t="str">
        <f>IFERROR(VLOOKUP(D60,Bel!$E:$G,3,0),"")</f>
        <v/>
      </c>
      <c r="F62" s="38"/>
      <c r="G62" s="1"/>
    </row>
    <row r="63" spans="1:7" customFormat="1" ht="15.75">
      <c r="A63" s="98"/>
      <c r="B63" s="10" t="str">
        <f>IFERROR(VLOOKUP(A63,Bel!A:F,6,0),"")</f>
        <v/>
      </c>
      <c r="C63" s="32" t="str">
        <f>IFERROR(VLOOKUP(A63,Bel!A:G,7,0),"")</f>
        <v/>
      </c>
      <c r="D63" s="59"/>
      <c r="E63" s="35" t="str">
        <f>IFERROR(VLOOKUP(D61,Bel!$E:$G,3,0),"")</f>
        <v/>
      </c>
      <c r="F63" s="38"/>
      <c r="G63" s="1"/>
    </row>
    <row r="64" spans="1:7" customFormat="1" ht="15.75">
      <c r="A64" s="98"/>
      <c r="B64" s="10" t="str">
        <f>IFERROR(VLOOKUP(A64,Bel!A:F,6,0),"")</f>
        <v/>
      </c>
      <c r="C64" s="32" t="str">
        <f>IFERROR(VLOOKUP(A64,Bel!A:G,7,0),"")</f>
        <v/>
      </c>
      <c r="D64" s="59"/>
      <c r="E64" s="35" t="str">
        <f>IFERROR(VLOOKUP(D62,Bel!$E:$G,3,0),"")</f>
        <v/>
      </c>
      <c r="F64" s="38"/>
      <c r="G64" s="1"/>
    </row>
    <row r="65" spans="1:7" customFormat="1" ht="15.75">
      <c r="A65" s="99"/>
      <c r="B65" s="10" t="str">
        <f>IFERROR(VLOOKUP(A65,Bel!A:F,6,0),"")</f>
        <v/>
      </c>
      <c r="C65" s="32" t="str">
        <f>IFERROR(VLOOKUP(A65,Bel!A:G,7,0),"")</f>
        <v/>
      </c>
      <c r="D65" s="59"/>
      <c r="E65" s="35" t="str">
        <f>IFERROR(VLOOKUP(D63,Bel!$E:$G,3,0),"")</f>
        <v/>
      </c>
      <c r="F65" s="38"/>
      <c r="G65" s="1"/>
    </row>
    <row r="66" spans="1:7" customFormat="1" ht="15.75">
      <c r="A66" s="99"/>
      <c r="B66" s="10" t="str">
        <f>IFERROR(VLOOKUP(A66,Bel!A:F,6,0),"")</f>
        <v/>
      </c>
      <c r="C66" s="32" t="str">
        <f>IFERROR(VLOOKUP(A66,Bel!A:G,7,0),"")</f>
        <v/>
      </c>
      <c r="D66" s="59"/>
      <c r="E66" s="35" t="str">
        <f>IFERROR(VLOOKUP(D64,Bel!$E:$G,3,0),"")</f>
        <v/>
      </c>
      <c r="F66" s="38"/>
      <c r="G66" s="1"/>
    </row>
    <row r="67" spans="1:7" customFormat="1" ht="15.75">
      <c r="A67" s="99"/>
      <c r="B67" s="10" t="str">
        <f>IFERROR(VLOOKUP(A67,Bel!A:F,6,0),"")</f>
        <v/>
      </c>
      <c r="C67" s="32" t="str">
        <f>IFERROR(VLOOKUP(A67,Bel!A:G,7,0),"")</f>
        <v/>
      </c>
      <c r="D67" s="59"/>
      <c r="E67" s="35" t="str">
        <f>IFERROR(VLOOKUP(D65,Bel!$E:$G,3,0),"")</f>
        <v/>
      </c>
      <c r="F67" s="38"/>
      <c r="G67" s="1"/>
    </row>
    <row r="68" spans="1:7" customFormat="1" ht="15.75">
      <c r="A68" s="99"/>
      <c r="B68" s="10" t="str">
        <f>IFERROR(VLOOKUP(A68,Bel!A:F,6,0),"")</f>
        <v/>
      </c>
      <c r="C68" s="32" t="str">
        <f>IFERROR(VLOOKUP(A68,Bel!A:G,7,0),"")</f>
        <v/>
      </c>
      <c r="D68" s="59"/>
      <c r="E68" s="35" t="str">
        <f>IFERROR(VLOOKUP(D66,Bel!$E:$G,3,0),"")</f>
        <v/>
      </c>
      <c r="F68" s="38"/>
      <c r="G68" s="1"/>
    </row>
    <row r="69" spans="1:7" customFormat="1" ht="15.75">
      <c r="A69" s="99"/>
      <c r="B69" s="10" t="str">
        <f>IFERROR(VLOOKUP(A69,Bel!A:F,6,0),"")</f>
        <v/>
      </c>
      <c r="C69" s="32" t="str">
        <f>IFERROR(VLOOKUP(A69,Bel!A:G,7,0),"")</f>
        <v/>
      </c>
      <c r="D69" s="60"/>
      <c r="E69" s="35" t="str">
        <f>IFERROR(VLOOKUP(D67,Bel!$E:$G,3,0),"")</f>
        <v/>
      </c>
      <c r="F69" s="38"/>
      <c r="G69" s="1"/>
    </row>
    <row r="70" spans="1:7" customFormat="1" ht="15.75">
      <c r="A70" s="99"/>
      <c r="B70" s="10" t="str">
        <f>IFERROR(VLOOKUP(A70,Bel!A:F,6,0),"")</f>
        <v/>
      </c>
      <c r="C70" s="32" t="str">
        <f>IFERROR(VLOOKUP(A70,Bel!A:G,7,0),"")</f>
        <v/>
      </c>
      <c r="D70" s="60"/>
      <c r="E70" s="35" t="str">
        <f>IFERROR(VLOOKUP(D68,Bel!$E:$G,3,0),"")</f>
        <v/>
      </c>
      <c r="F70" s="38"/>
      <c r="G70" s="1"/>
    </row>
    <row r="71" spans="1:7" customFormat="1" ht="15.75">
      <c r="A71" s="99"/>
      <c r="B71" s="10" t="str">
        <f>IFERROR(VLOOKUP(A71,Bel!A:F,6,0),"")</f>
        <v/>
      </c>
      <c r="C71" s="32" t="str">
        <f>IFERROR(VLOOKUP(A71,Bel!A:G,7,0),"")</f>
        <v/>
      </c>
      <c r="D71" s="60"/>
      <c r="E71" s="35" t="str">
        <f>IFERROR(VLOOKUP(D69,Bel!$E:$G,3,0),"")</f>
        <v/>
      </c>
      <c r="F71" s="38"/>
      <c r="G71" s="1"/>
    </row>
    <row r="72" spans="1:7" customFormat="1" ht="15.75">
      <c r="A72" s="99"/>
      <c r="B72" s="10" t="str">
        <f>IFERROR(VLOOKUP(A72,Bel!A:F,6,0),"")</f>
        <v/>
      </c>
      <c r="C72" s="32" t="str">
        <f>IFERROR(VLOOKUP(A72,Bel!A:G,7,0),"")</f>
        <v/>
      </c>
      <c r="D72" s="48"/>
      <c r="E72" s="35" t="str">
        <f>IFERROR(VLOOKUP(D72,Bel!$E:$G,3,0),"")</f>
        <v/>
      </c>
      <c r="F72" s="38"/>
      <c r="G72" s="1"/>
    </row>
    <row r="73" spans="1:7" customFormat="1" ht="15.75">
      <c r="A73" s="99"/>
      <c r="B73" s="10" t="str">
        <f>IFERROR(VLOOKUP(A73,Bel!A:F,6,0),"")</f>
        <v/>
      </c>
      <c r="C73" s="32" t="str">
        <f>IFERROR(VLOOKUP(A73,Bel!A:G,7,0),"")</f>
        <v/>
      </c>
      <c r="D73" s="48"/>
      <c r="E73" s="35" t="str">
        <f>IFERROR(VLOOKUP(D73,Bel!$E:$G,3,0),"")</f>
        <v/>
      </c>
      <c r="F73" s="38"/>
      <c r="G73" s="1"/>
    </row>
    <row r="74" spans="1:7" customFormat="1" ht="15.75">
      <c r="A74" s="100"/>
      <c r="B74" s="10" t="str">
        <f>IFERROR(VLOOKUP(A74,Bel!A:F,6,0),"")</f>
        <v/>
      </c>
      <c r="C74" s="32" t="str">
        <f>IFERROR(VLOOKUP(A74,Bel!A:G,7,0),"")</f>
        <v/>
      </c>
      <c r="D74" s="55"/>
      <c r="E74" s="35" t="str">
        <f>IFERROR(VLOOKUP(D74,Bel!$E:$G,3,0),"")</f>
        <v/>
      </c>
      <c r="F74" s="38"/>
      <c r="G74" s="1"/>
    </row>
    <row r="75" spans="1:7" customFormat="1" ht="15.75">
      <c r="A75" s="100"/>
      <c r="B75" s="10" t="str">
        <f>IFERROR(VLOOKUP(A75,Bel!A:F,6,0),"")</f>
        <v/>
      </c>
      <c r="C75" s="32" t="str">
        <f>IFERROR(VLOOKUP(A75,Bel!A:G,7,0),"")</f>
        <v/>
      </c>
      <c r="D75" s="55"/>
      <c r="E75" s="35" t="str">
        <f>IFERROR(VLOOKUP(D75,Bel!$E:$G,3,0),"")</f>
        <v/>
      </c>
      <c r="F75" s="38"/>
      <c r="G75" s="1"/>
    </row>
    <row r="76" spans="1:7" customFormat="1" ht="15.75">
      <c r="A76" s="100"/>
      <c r="B76" s="10" t="str">
        <f>IFERROR(VLOOKUP(A76,Bel!A:F,6,0),"")</f>
        <v/>
      </c>
      <c r="C76" s="32" t="str">
        <f>IFERROR(VLOOKUP(A76,Bel!A:G,7,0),"")</f>
        <v/>
      </c>
      <c r="D76" s="55"/>
      <c r="E76" s="35" t="str">
        <f>IFERROR(VLOOKUP(D76,Bel!$E:$G,3,0),"")</f>
        <v/>
      </c>
      <c r="F76" s="38"/>
      <c r="G76" s="1"/>
    </row>
    <row r="77" spans="1:7" customFormat="1" ht="15.75">
      <c r="A77" s="100"/>
      <c r="B77" s="10" t="str">
        <f>IFERROR(VLOOKUP(A77,Bel!A:F,6,0),"")</f>
        <v/>
      </c>
      <c r="C77" s="32" t="str">
        <f>IFERROR(VLOOKUP(A77,Bel!A:G,7,0),"")</f>
        <v/>
      </c>
      <c r="D77" s="55"/>
      <c r="E77" s="35" t="str">
        <f>IFERROR(VLOOKUP(D77,Bel!$E:$G,3,0),"")</f>
        <v/>
      </c>
      <c r="F77" s="38"/>
      <c r="G77" s="1"/>
    </row>
    <row r="78" spans="1:7" customFormat="1" ht="15.75">
      <c r="A78" s="100"/>
      <c r="B78" s="10" t="str">
        <f>IFERROR(VLOOKUP(A78,Bel!A:F,6,0),"")</f>
        <v/>
      </c>
      <c r="C78" s="32" t="str">
        <f>IFERROR(VLOOKUP(A78,Bel!A:G,7,0),"")</f>
        <v/>
      </c>
      <c r="D78" s="55"/>
      <c r="E78" s="35" t="str">
        <f>IFERROR(VLOOKUP(D78,Bel!$E:$G,3,0),"")</f>
        <v/>
      </c>
      <c r="F78" s="38"/>
      <c r="G78" s="1"/>
    </row>
    <row r="79" spans="1:7" customFormat="1" ht="15.75">
      <c r="A79" s="100"/>
      <c r="B79" s="10" t="str">
        <f>IFERROR(VLOOKUP(A79,Bel!A:F,6,0),"")</f>
        <v/>
      </c>
      <c r="C79" s="32" t="str">
        <f>IFERROR(VLOOKUP(A79,Bel!A:G,7,0),"")</f>
        <v/>
      </c>
      <c r="D79" s="55"/>
      <c r="E79" s="35" t="str">
        <f>IFERROR(VLOOKUP(D79,Bel!$E:$G,3,0),"")</f>
        <v/>
      </c>
      <c r="F79" s="38"/>
      <c r="G79" s="1"/>
    </row>
    <row r="80" spans="1:7" customFormat="1" ht="15.75">
      <c r="A80" s="100"/>
      <c r="B80" s="10" t="str">
        <f>IFERROR(VLOOKUP(A80,Bel!A:F,6,0),"")</f>
        <v/>
      </c>
      <c r="C80" s="32" t="str">
        <f>IFERROR(VLOOKUP(A80,Bel!A:G,7,0),"")</f>
        <v/>
      </c>
      <c r="D80" s="55"/>
      <c r="E80" s="35" t="str">
        <f>IFERROR(VLOOKUP(D80,Bel!$E:$G,3,0),"")</f>
        <v/>
      </c>
      <c r="F80" s="38"/>
      <c r="G80" s="1"/>
    </row>
    <row r="81" spans="1:7" customFormat="1" ht="15.75">
      <c r="A81" s="100"/>
      <c r="B81" s="10" t="str">
        <f>IFERROR(VLOOKUP(A81,Bel!A:F,6,0),"")</f>
        <v/>
      </c>
      <c r="C81" s="32" t="str">
        <f>IFERROR(VLOOKUP(A81,Bel!A:G,7,0),"")</f>
        <v/>
      </c>
      <c r="D81" s="55"/>
      <c r="E81" s="35" t="str">
        <f>IFERROR(VLOOKUP(D81,Bel!$E:$G,3,0),"")</f>
        <v/>
      </c>
      <c r="F81" s="38"/>
      <c r="G81" s="1"/>
    </row>
    <row r="82" spans="1:7" customFormat="1" ht="15.75">
      <c r="A82" s="100"/>
      <c r="B82" s="10" t="str">
        <f>IFERROR(VLOOKUP(A82,Bel!A:F,6,0),"")</f>
        <v/>
      </c>
      <c r="C82" s="32" t="str">
        <f>IFERROR(VLOOKUP(A82,Bel!A:G,7,0),"")</f>
        <v/>
      </c>
      <c r="D82" s="55"/>
      <c r="E82" s="35" t="str">
        <f>IFERROR(VLOOKUP(D82,Bel!$E:$G,3,0),"")</f>
        <v/>
      </c>
      <c r="F82" s="38"/>
      <c r="G82" s="1"/>
    </row>
    <row r="83" spans="1:7" customFormat="1" ht="15.75">
      <c r="A83" s="100"/>
      <c r="B83" s="10" t="str">
        <f>IFERROR(VLOOKUP(A83,Bel!A:F,6,0),"")</f>
        <v/>
      </c>
      <c r="C83" s="32" t="str">
        <f>IFERROR(VLOOKUP(A83,Bel!A:G,7,0),"")</f>
        <v/>
      </c>
      <c r="D83" s="55"/>
      <c r="E83" s="35" t="str">
        <f>IFERROR(VLOOKUP(D83,Bel!$E:$G,3,0),"")</f>
        <v/>
      </c>
      <c r="F83" s="38"/>
      <c r="G83" s="1"/>
    </row>
    <row r="84" spans="1:7" customFormat="1" ht="15.75">
      <c r="A84" s="100"/>
      <c r="B84" s="10" t="str">
        <f>IFERROR(VLOOKUP(A84,Bel!A:F,6,0),"")</f>
        <v/>
      </c>
      <c r="C84" s="32" t="str">
        <f>IFERROR(VLOOKUP(A84,Bel!A:G,7,0),"")</f>
        <v/>
      </c>
      <c r="D84" s="55"/>
      <c r="E84" s="35" t="str">
        <f>IFERROR(VLOOKUP(D84,Bel!$E:$G,3,0),"")</f>
        <v/>
      </c>
      <c r="F84" s="38"/>
      <c r="G84" s="1"/>
    </row>
    <row r="85" spans="1:7" customFormat="1" ht="15.75">
      <c r="A85" s="100"/>
      <c r="B85" s="10" t="str">
        <f>IFERROR(VLOOKUP(A85,Bel!A:F,6,0),"")</f>
        <v/>
      </c>
      <c r="C85" s="32" t="str">
        <f>IFERROR(VLOOKUP(A85,Bel!A:G,7,0),"")</f>
        <v/>
      </c>
      <c r="D85" s="55"/>
      <c r="E85" s="35" t="str">
        <f>IFERROR(VLOOKUP(D85,Bel!$E:$G,3,0),"")</f>
        <v/>
      </c>
      <c r="F85" s="38"/>
      <c r="G85" s="1"/>
    </row>
    <row r="86" spans="1:7" customFormat="1" ht="15.75">
      <c r="A86" s="100"/>
      <c r="B86" s="10" t="str">
        <f>IFERROR(VLOOKUP(A86,Bel!A:F,6,0),"")</f>
        <v/>
      </c>
      <c r="C86" s="32" t="str">
        <f>IFERROR(VLOOKUP(A86,Bel!A:G,7,0),"")</f>
        <v/>
      </c>
      <c r="D86" s="55"/>
      <c r="E86" s="35" t="str">
        <f>IFERROR(VLOOKUP(D86,Bel!$E:$G,3,0),"")</f>
        <v/>
      </c>
      <c r="F86" s="38"/>
      <c r="G86" s="1"/>
    </row>
    <row r="87" spans="1:7" customFormat="1" ht="15.75">
      <c r="A87" s="100"/>
      <c r="B87" s="10" t="str">
        <f>IFERROR(VLOOKUP(A87,Bel!A:F,6,0),"")</f>
        <v/>
      </c>
      <c r="C87" s="32" t="str">
        <f>IFERROR(VLOOKUP(A87,Bel!A:G,7,0),"")</f>
        <v/>
      </c>
      <c r="D87" s="55"/>
      <c r="E87" s="35" t="str">
        <f>IFERROR(VLOOKUP(D87,Bel!$E:$G,3,0),"")</f>
        <v/>
      </c>
      <c r="F87" s="38"/>
      <c r="G87" s="1"/>
    </row>
    <row r="88" spans="1:7" customFormat="1" ht="15.75">
      <c r="A88" s="100"/>
      <c r="B88" s="10" t="str">
        <f>IFERROR(VLOOKUP(A88,Bel!A:F,6,0),"")</f>
        <v/>
      </c>
      <c r="C88" s="32" t="str">
        <f>IFERROR(VLOOKUP(A88,Bel!A:G,7,0),"")</f>
        <v/>
      </c>
      <c r="D88" s="55"/>
      <c r="E88" s="35" t="str">
        <f>IFERROR(VLOOKUP(D88,Bel!$E:$G,3,0),"")</f>
        <v/>
      </c>
      <c r="F88" s="38"/>
      <c r="G88" s="1"/>
    </row>
    <row r="89" spans="1:7" customFormat="1" ht="15.75">
      <c r="A89" s="100"/>
      <c r="B89" s="10" t="str">
        <f>IFERROR(VLOOKUP(A89,Bel!A:F,6,0),"")</f>
        <v/>
      </c>
      <c r="C89" s="32" t="str">
        <f>IFERROR(VLOOKUP(A89,Bel!A:G,7,0),"")</f>
        <v/>
      </c>
      <c r="D89" s="55"/>
      <c r="E89" s="35" t="str">
        <f>IFERROR(VLOOKUP(D89,Bel!$E:$G,3,0),"")</f>
        <v/>
      </c>
      <c r="F89" s="38"/>
      <c r="G89" s="1"/>
    </row>
    <row r="90" spans="1:7" customFormat="1" ht="15.75">
      <c r="A90" s="99"/>
      <c r="B90" s="10" t="str">
        <f>IFERROR(VLOOKUP(A90,Bel!A:F,6,0),"")</f>
        <v/>
      </c>
      <c r="C90" s="32" t="str">
        <f>IFERROR(VLOOKUP(A90,Bel!A:G,7,0),"")</f>
        <v/>
      </c>
      <c r="D90" s="56"/>
      <c r="E90" s="35" t="str">
        <f>IFERROR(VLOOKUP(D90,Bel!$E:$G,3,0),"")</f>
        <v/>
      </c>
      <c r="F90" s="38"/>
      <c r="G90" s="1"/>
    </row>
    <row r="91" spans="1:7" customFormat="1" ht="15.75">
      <c r="A91" s="99"/>
      <c r="B91" s="10" t="str">
        <f>IFERROR(VLOOKUP(A91,Bel!A:F,6,0),"")</f>
        <v/>
      </c>
      <c r="C91" s="32" t="str">
        <f>IFERROR(VLOOKUP(A91,Bel!A:G,7,0),"")</f>
        <v/>
      </c>
      <c r="D91" s="56"/>
      <c r="E91" s="35" t="str">
        <f>IFERROR(VLOOKUP(D91,Bel!$E:$G,3,0),"")</f>
        <v/>
      </c>
      <c r="F91" s="38"/>
      <c r="G91" s="1"/>
    </row>
    <row r="92" spans="1:7" customFormat="1" ht="15.75">
      <c r="A92" s="99"/>
      <c r="B92" s="10" t="str">
        <f>IFERROR(VLOOKUP(A92,Bel!A:F,6,0),"")</f>
        <v/>
      </c>
      <c r="C92" s="32" t="str">
        <f>IFERROR(VLOOKUP(A92,Bel!A:G,7,0),"")</f>
        <v/>
      </c>
      <c r="D92" s="56"/>
      <c r="E92" s="35" t="str">
        <f>IFERROR(VLOOKUP(D92,Bel!$E:$G,3,0),"")</f>
        <v/>
      </c>
      <c r="F92" s="38"/>
      <c r="G92" s="1"/>
    </row>
    <row r="93" spans="1:7" customFormat="1" ht="15.75">
      <c r="A93" s="99"/>
      <c r="B93" s="10" t="str">
        <f>IFERROR(VLOOKUP(A93,Bel!A:F,6,0),"")</f>
        <v/>
      </c>
      <c r="C93" s="32" t="str">
        <f>IFERROR(VLOOKUP(A93,Bel!A:G,7,0),"")</f>
        <v/>
      </c>
      <c r="D93" s="56"/>
      <c r="E93" s="35" t="str">
        <f>IFERROR(VLOOKUP(D93,Bel!$E:$G,3,0),"")</f>
        <v/>
      </c>
      <c r="F93" s="38"/>
      <c r="G93" s="1"/>
    </row>
    <row r="94" spans="1:7" customFormat="1" ht="15.75">
      <c r="A94" s="99"/>
      <c r="B94" s="10" t="str">
        <f>IFERROR(VLOOKUP(A94,Bel!A:F,6,0),"")</f>
        <v/>
      </c>
      <c r="C94" s="32" t="str">
        <f>IFERROR(VLOOKUP(A94,Bel!A:G,7,0),"")</f>
        <v/>
      </c>
      <c r="D94" s="56"/>
      <c r="E94" s="35" t="str">
        <f>IFERROR(VLOOKUP(D94,Bel!$E:$G,3,0),"")</f>
        <v/>
      </c>
      <c r="F94" s="38"/>
      <c r="G94" s="1"/>
    </row>
    <row r="95" spans="1:7" customFormat="1" ht="15.75">
      <c r="A95" s="99"/>
      <c r="B95" s="10" t="str">
        <f>IFERROR(VLOOKUP(A95,Bel!A:F,6,0),"")</f>
        <v/>
      </c>
      <c r="C95" s="32" t="str">
        <f>IFERROR(VLOOKUP(A95,Bel!A:G,7,0),"")</f>
        <v/>
      </c>
      <c r="D95" s="56"/>
      <c r="E95" s="35" t="str">
        <f>IFERROR(VLOOKUP(D95,Bel!$E:$G,3,0),"")</f>
        <v/>
      </c>
      <c r="F95" s="38"/>
      <c r="G95" s="1"/>
    </row>
    <row r="96" spans="1:7" customFormat="1" ht="15.75">
      <c r="A96" s="99"/>
      <c r="B96" s="10" t="str">
        <f>IFERROR(VLOOKUP(A96,Bel!A:F,6,0),"")</f>
        <v/>
      </c>
      <c r="C96" s="32" t="str">
        <f>IFERROR(VLOOKUP(A96,Bel!A:G,7,0),"")</f>
        <v/>
      </c>
      <c r="D96" s="56"/>
      <c r="E96" s="35" t="str">
        <f>IFERROR(VLOOKUP(D96,Bel!$E:$G,3,0),"")</f>
        <v/>
      </c>
      <c r="F96" s="38"/>
      <c r="G96" s="1"/>
    </row>
    <row r="97" spans="1:7" customFormat="1" ht="15.75">
      <c r="A97" s="99"/>
      <c r="B97" s="10" t="str">
        <f>IFERROR(VLOOKUP(A97,Bel!A:F,6,0),"")</f>
        <v/>
      </c>
      <c r="C97" s="32" t="str">
        <f>IFERROR(VLOOKUP(A97,Bel!A:G,7,0),"")</f>
        <v/>
      </c>
      <c r="D97" s="56"/>
      <c r="E97" s="35" t="str">
        <f>IFERROR(VLOOKUP(D97,Bel!$E:$G,3,0),"")</f>
        <v/>
      </c>
      <c r="F97" s="38"/>
      <c r="G97" s="1"/>
    </row>
    <row r="98" spans="1:7" customFormat="1" ht="15.75">
      <c r="A98" s="99"/>
      <c r="B98" s="10" t="str">
        <f>IFERROR(VLOOKUP(A98,Bel!A:F,6,0),"")</f>
        <v/>
      </c>
      <c r="C98" s="32" t="str">
        <f>IFERROR(VLOOKUP(A98,Bel!A:G,7,0),"")</f>
        <v/>
      </c>
      <c r="D98" s="56"/>
      <c r="E98" s="35" t="str">
        <f>IFERROR(VLOOKUP(D98,Bel!$E:$G,3,0),"")</f>
        <v/>
      </c>
      <c r="F98" s="38"/>
      <c r="G98" s="1"/>
    </row>
    <row r="99" spans="1:7" customFormat="1" ht="15.75">
      <c r="A99" s="99"/>
      <c r="B99" s="10" t="str">
        <f>IFERROR(VLOOKUP(A99,Bel!A:F,6,0),"")</f>
        <v/>
      </c>
      <c r="C99" s="32" t="str">
        <f>IFERROR(VLOOKUP(A99,Bel!A:G,7,0),"")</f>
        <v/>
      </c>
      <c r="D99" s="56"/>
      <c r="E99" s="35" t="str">
        <f>IFERROR(VLOOKUP(D99,Bel!$E:$G,3,0),"")</f>
        <v/>
      </c>
      <c r="F99" s="38"/>
      <c r="G99" s="1"/>
    </row>
    <row r="100" spans="1:7" customFormat="1" ht="15.75">
      <c r="A100" s="98"/>
      <c r="B100" s="10" t="str">
        <f>IFERROR(VLOOKUP(A100,Bel!A:F,6,0),"")</f>
        <v/>
      </c>
      <c r="C100" s="32" t="str">
        <f>IFERROR(VLOOKUP(A100,Bel!A:G,7,0),"")</f>
        <v/>
      </c>
      <c r="D100" s="54"/>
      <c r="E100" s="35" t="str">
        <f>IFERROR(VLOOKUP(D100,Bel!$E:$G,3,0),"")</f>
        <v/>
      </c>
      <c r="F100" s="38"/>
      <c r="G100" s="1"/>
    </row>
    <row r="101" spans="1:7" customFormat="1" ht="15.75">
      <c r="A101" s="98"/>
      <c r="B101" s="10" t="str">
        <f>IFERROR(VLOOKUP(A101,Bel!A:F,6,0),"")</f>
        <v/>
      </c>
      <c r="C101" s="32" t="str">
        <f>IFERROR(VLOOKUP(A101,Bel!A:G,7,0),"")</f>
        <v/>
      </c>
      <c r="D101" s="54"/>
      <c r="E101" s="35" t="str">
        <f>IFERROR(VLOOKUP(D101,Bel!$E:$G,3,0),"")</f>
        <v/>
      </c>
      <c r="F101" s="38"/>
      <c r="G101" s="1"/>
    </row>
    <row r="102" spans="1:7" customFormat="1" ht="15.75">
      <c r="A102" s="98"/>
      <c r="B102" s="10" t="str">
        <f>IFERROR(VLOOKUP(A102,Bel!A:F,6,0),"")</f>
        <v/>
      </c>
      <c r="C102" s="32" t="str">
        <f>IFERROR(VLOOKUP(A102,Bel!A:G,7,0),"")</f>
        <v/>
      </c>
      <c r="D102" s="55"/>
      <c r="E102" s="35" t="str">
        <f>IFERROR(VLOOKUP(D102,Bel!$E:$G,3,0),"")</f>
        <v/>
      </c>
      <c r="F102" s="38"/>
      <c r="G102" s="1"/>
    </row>
    <row r="103" spans="1:7" customFormat="1" ht="15.75">
      <c r="A103" s="98"/>
      <c r="B103" s="10" t="str">
        <f>IFERROR(VLOOKUP(A103,Bel!A:F,6,0),"")</f>
        <v/>
      </c>
      <c r="C103" s="32" t="str">
        <f>IFERROR(VLOOKUP(A103,Bel!A:G,7,0),"")</f>
        <v/>
      </c>
      <c r="D103" s="55"/>
      <c r="E103" s="35" t="str">
        <f>IFERROR(VLOOKUP(D103,Bel!$E:$G,3,0),"")</f>
        <v/>
      </c>
      <c r="F103" s="38"/>
      <c r="G103" s="1"/>
    </row>
    <row r="104" spans="1:7" customFormat="1" ht="15.75">
      <c r="A104" s="98"/>
      <c r="B104" s="10" t="str">
        <f>IFERROR(VLOOKUP(A104,Bel!A:F,6,0),"")</f>
        <v/>
      </c>
      <c r="C104" s="32" t="str">
        <f>IFERROR(VLOOKUP(A104,Bel!A:G,7,0),"")</f>
        <v/>
      </c>
      <c r="D104" s="55"/>
      <c r="E104" s="35" t="str">
        <f>IFERROR(VLOOKUP(D104,Bel!$E:$G,3,0),"")</f>
        <v/>
      </c>
      <c r="F104" s="38"/>
      <c r="G104" s="1"/>
    </row>
    <row r="105" spans="1:7" customFormat="1" ht="15.75">
      <c r="A105" s="98"/>
      <c r="B105" s="10" t="str">
        <f>IFERROR(VLOOKUP(A105,Bel!A:F,6,0),"")</f>
        <v/>
      </c>
      <c r="C105" s="32" t="str">
        <f>IFERROR(VLOOKUP(A105,Bel!A:G,7,0),"")</f>
        <v/>
      </c>
      <c r="D105" s="55"/>
      <c r="E105" s="35" t="str">
        <f>IFERROR(VLOOKUP(D105,Bel!$E:$G,3,0),"")</f>
        <v/>
      </c>
      <c r="F105" s="38"/>
      <c r="G105" s="1"/>
    </row>
    <row r="106" spans="1:7" customFormat="1" ht="15.75">
      <c r="A106" s="98"/>
      <c r="B106" s="10" t="str">
        <f>IFERROR(VLOOKUP(A106,Bel!A:F,6,0),"")</f>
        <v/>
      </c>
      <c r="C106" s="32" t="str">
        <f>IFERROR(VLOOKUP(A106,Bel!A:G,7,0),"")</f>
        <v/>
      </c>
      <c r="D106" s="55"/>
      <c r="E106" s="35" t="str">
        <f>IFERROR(VLOOKUP(D106,Bel!$E:$G,3,0),"")</f>
        <v/>
      </c>
      <c r="F106" s="38"/>
      <c r="G106" s="1"/>
    </row>
    <row r="107" spans="1:7" customFormat="1" ht="15.75">
      <c r="A107" s="98"/>
      <c r="B107" s="10" t="str">
        <f>IFERROR(VLOOKUP(A107,Bel!A:F,6,0),"")</f>
        <v/>
      </c>
      <c r="C107" s="32" t="str">
        <f>IFERROR(VLOOKUP(A107,Bel!A:G,7,0),"")</f>
        <v/>
      </c>
      <c r="D107" s="55"/>
      <c r="E107" s="35" t="str">
        <f>IFERROR(VLOOKUP(D107,Bel!$E:$G,3,0),"")</f>
        <v/>
      </c>
      <c r="F107" s="38"/>
      <c r="G107" s="1"/>
    </row>
    <row r="108" spans="1:7" customFormat="1" ht="15.75">
      <c r="A108" s="98"/>
      <c r="B108" s="10" t="str">
        <f>IFERROR(VLOOKUP(A108,Bel!A:F,6,0),"")</f>
        <v/>
      </c>
      <c r="C108" s="32" t="str">
        <f>IFERROR(VLOOKUP(A108,Bel!A:G,7,0),"")</f>
        <v/>
      </c>
      <c r="D108" s="55"/>
      <c r="E108" s="35" t="str">
        <f>IFERROR(VLOOKUP(D108,Bel!$E:$G,3,0),"")</f>
        <v/>
      </c>
      <c r="F108" s="38"/>
      <c r="G108" s="1"/>
    </row>
    <row r="109" spans="1:7" customFormat="1" ht="15.75">
      <c r="A109" s="98"/>
      <c r="B109" s="10" t="str">
        <f>IFERROR(VLOOKUP(A109,Bel!A:F,6,0),"")</f>
        <v/>
      </c>
      <c r="C109" s="32" t="str">
        <f>IFERROR(VLOOKUP(A109,Bel!A:G,7,0),"")</f>
        <v/>
      </c>
      <c r="D109" s="55"/>
      <c r="E109" s="35" t="str">
        <f>IFERROR(VLOOKUP(D109,Bel!$E:$G,3,0),"")</f>
        <v/>
      </c>
      <c r="F109" s="38"/>
      <c r="G109" s="1"/>
    </row>
    <row r="110" spans="1:7" customFormat="1" ht="15.75">
      <c r="A110" s="101"/>
      <c r="B110" s="10" t="str">
        <f>IFERROR(VLOOKUP(A110,Bel!A:F,6,0),"")</f>
        <v/>
      </c>
      <c r="C110" s="32" t="str">
        <f>IFERROR(VLOOKUP(A110,Bel!A:G,7,0),"")</f>
        <v/>
      </c>
      <c r="D110" s="55"/>
      <c r="E110" s="35" t="str">
        <f>IFERROR(VLOOKUP(D110,Bel!$E:$G,3,0),"")</f>
        <v/>
      </c>
      <c r="F110" s="38"/>
      <c r="G110" s="1"/>
    </row>
    <row r="111" spans="1:7" customFormat="1" ht="15.75">
      <c r="A111" s="101"/>
      <c r="B111" s="10" t="str">
        <f>IFERROR(VLOOKUP(A111,Bel!A:F,6,0),"")</f>
        <v/>
      </c>
      <c r="C111" s="32" t="str">
        <f>IFERROR(VLOOKUP(A111,Bel!A:G,7,0),"")</f>
        <v/>
      </c>
      <c r="D111" s="55"/>
      <c r="E111" s="35" t="str">
        <f>IFERROR(VLOOKUP(D111,Bel!$E:$G,3,0),"")</f>
        <v/>
      </c>
      <c r="F111" s="38"/>
      <c r="G111" s="1"/>
    </row>
    <row r="112" spans="1:7" customFormat="1" ht="15.75">
      <c r="A112" s="101"/>
      <c r="B112" s="10" t="str">
        <f>IFERROR(VLOOKUP(A112,Bel!A:F,6,0),"")</f>
        <v/>
      </c>
      <c r="C112" s="32" t="str">
        <f>IFERROR(VLOOKUP(A112,Bel!A:G,7,0),"")</f>
        <v/>
      </c>
      <c r="D112" s="55"/>
      <c r="E112" s="35" t="str">
        <f>IFERROR(VLOOKUP(D112,Bel!$E:$G,3,0),"")</f>
        <v/>
      </c>
      <c r="F112" s="38"/>
      <c r="G112" s="1"/>
    </row>
    <row r="113" spans="1:7" customFormat="1" ht="15.75">
      <c r="A113" s="101"/>
      <c r="B113" s="10" t="str">
        <f>IFERROR(VLOOKUP(A113,Bel!A:F,6,0),"")</f>
        <v/>
      </c>
      <c r="C113" s="32" t="str">
        <f>IFERROR(VLOOKUP(A113,Bel!A:G,7,0),"")</f>
        <v/>
      </c>
      <c r="D113" s="55"/>
      <c r="E113" s="35" t="str">
        <f>IFERROR(VLOOKUP(D113,Bel!$E:$G,3,0),"")</f>
        <v/>
      </c>
      <c r="F113" s="38"/>
      <c r="G113" s="1"/>
    </row>
    <row r="114" spans="1:7" customFormat="1" ht="15.75">
      <c r="A114" s="101"/>
      <c r="B114" s="10" t="str">
        <f>IFERROR(VLOOKUP(A114,Bel!A:F,6,0),"")</f>
        <v/>
      </c>
      <c r="C114" s="32" t="str">
        <f>IFERROR(VLOOKUP(A114,Bel!A:G,7,0),"")</f>
        <v/>
      </c>
      <c r="D114" s="55"/>
      <c r="E114" s="35" t="str">
        <f>IFERROR(VLOOKUP(D114,Bel!$E:$G,3,0),"")</f>
        <v/>
      </c>
      <c r="F114" s="38"/>
      <c r="G114" s="1"/>
    </row>
    <row r="115" spans="1:7" customFormat="1" ht="15.75">
      <c r="A115" s="101"/>
      <c r="B115" s="10" t="str">
        <f>IFERROR(VLOOKUP(A115,Bel!A:F,6,0),"")</f>
        <v/>
      </c>
      <c r="C115" s="32" t="str">
        <f>IFERROR(VLOOKUP(A115,Bel!A:G,7,0),"")</f>
        <v/>
      </c>
      <c r="D115" s="55"/>
      <c r="E115" s="35" t="str">
        <f>IFERROR(VLOOKUP(D115,Bel!$E:$G,3,0),"")</f>
        <v/>
      </c>
      <c r="F115" s="38"/>
      <c r="G115" s="1"/>
    </row>
    <row r="116" spans="1:7" customFormat="1" ht="15.75">
      <c r="A116" s="101"/>
      <c r="B116" s="10" t="str">
        <f>IFERROR(VLOOKUP(A116,Bel!A:F,6,0),"")</f>
        <v/>
      </c>
      <c r="C116" s="32" t="str">
        <f>IFERROR(VLOOKUP(A116,Bel!A:G,7,0),"")</f>
        <v/>
      </c>
      <c r="D116" s="55"/>
      <c r="E116" s="35" t="str">
        <f>IFERROR(VLOOKUP(D116,Bel!$E:$G,3,0),"")</f>
        <v/>
      </c>
      <c r="F116" s="38"/>
      <c r="G116" s="1"/>
    </row>
    <row r="117" spans="1:7" customFormat="1" ht="15.75">
      <c r="A117" s="101"/>
      <c r="B117" s="10" t="str">
        <f>IFERROR(VLOOKUP(A117,Bel!A:F,6,0),"")</f>
        <v/>
      </c>
      <c r="C117" s="32" t="str">
        <f>IFERROR(VLOOKUP(A117,Bel!A:G,7,0),"")</f>
        <v/>
      </c>
      <c r="D117" s="55"/>
      <c r="E117" s="35" t="str">
        <f>IFERROR(VLOOKUP(D117,Bel!$E:$G,3,0),"")</f>
        <v/>
      </c>
      <c r="F117" s="38"/>
      <c r="G117" s="1"/>
    </row>
    <row r="118" spans="1:7" customFormat="1" ht="15.75">
      <c r="A118" s="101"/>
      <c r="B118" s="10" t="str">
        <f>IFERROR(VLOOKUP(A118,Bel!A:F,6,0),"")</f>
        <v/>
      </c>
      <c r="C118" s="32" t="str">
        <f>IFERROR(VLOOKUP(A118,Bel!A:G,7,0),"")</f>
        <v/>
      </c>
      <c r="D118" s="55"/>
      <c r="E118" s="35" t="str">
        <f>IFERROR(VLOOKUP(D118,Bel!$E:$G,3,0),"")</f>
        <v/>
      </c>
      <c r="F118" s="38"/>
      <c r="G118" s="1"/>
    </row>
    <row r="119" spans="1:7" customFormat="1" ht="15.75">
      <c r="A119" s="101"/>
      <c r="B119" s="10" t="str">
        <f>IFERROR(VLOOKUP(A119,Bel!A:F,6,0),"")</f>
        <v/>
      </c>
      <c r="C119" s="32" t="str">
        <f>IFERROR(VLOOKUP(A119,Bel!A:G,7,0),"")</f>
        <v/>
      </c>
      <c r="D119" s="55"/>
      <c r="E119" s="35" t="str">
        <f>IFERROR(VLOOKUP(D119,Bel!$E:$G,3,0),"")</f>
        <v/>
      </c>
      <c r="F119" s="38"/>
      <c r="G119" s="1"/>
    </row>
    <row r="120" spans="1:7" customFormat="1" ht="15.75">
      <c r="A120" s="101"/>
      <c r="B120" s="10" t="str">
        <f>IFERROR(VLOOKUP(A120,Bel!A:F,6,0),"")</f>
        <v/>
      </c>
      <c r="C120" s="32" t="str">
        <f>IFERROR(VLOOKUP(A120,Bel!A:G,7,0),"")</f>
        <v/>
      </c>
      <c r="D120" s="54"/>
      <c r="E120" s="35" t="str">
        <f>IFERROR(VLOOKUP(D120,Bel!$E:$G,3,0),"")</f>
        <v/>
      </c>
      <c r="F120" s="38"/>
      <c r="G120" s="1"/>
    </row>
    <row r="121" spans="1:7" customFormat="1" ht="15.75">
      <c r="A121" s="101"/>
      <c r="B121" s="10" t="str">
        <f>IFERROR(VLOOKUP(A121,Bel!A:F,6,0),"")</f>
        <v/>
      </c>
      <c r="C121" s="32" t="str">
        <f>IFERROR(VLOOKUP(A121,Bel!A:G,7,0),"")</f>
        <v/>
      </c>
      <c r="D121" s="61"/>
      <c r="E121" s="35" t="str">
        <f>IFERROR(VLOOKUP(D121,Bel!$E:$G,3,0),"")</f>
        <v/>
      </c>
      <c r="F121" s="38"/>
      <c r="G121" s="1"/>
    </row>
    <row r="122" spans="1:7" customFormat="1" ht="15.75">
      <c r="A122" s="101"/>
      <c r="B122" s="10" t="str">
        <f>IFERROR(VLOOKUP(A122,Bel!A:F,6,0),"")</f>
        <v/>
      </c>
      <c r="C122" s="32" t="str">
        <f>IFERROR(VLOOKUP(A122,Bel!A:G,7,0),"")</f>
        <v/>
      </c>
      <c r="D122" s="61"/>
      <c r="E122" s="35" t="str">
        <f>IFERROR(VLOOKUP(D122,Bel!$E:$G,3,0),"")</f>
        <v/>
      </c>
      <c r="F122" s="38"/>
      <c r="G122" s="1"/>
    </row>
    <row r="123" spans="1:7" customFormat="1" ht="15.75">
      <c r="A123" s="101"/>
      <c r="B123" s="10" t="str">
        <f>IFERROR(VLOOKUP(A123,Bel!A:F,6,0),"")</f>
        <v/>
      </c>
      <c r="C123" s="32" t="str">
        <f>IFERROR(VLOOKUP(A123,Bel!A:G,7,0),"")</f>
        <v/>
      </c>
      <c r="D123" s="61"/>
      <c r="E123" s="35" t="str">
        <f>IFERROR(VLOOKUP(D123,Bel!$E:$G,3,0),"")</f>
        <v/>
      </c>
      <c r="F123" s="38"/>
      <c r="G123" s="1"/>
    </row>
    <row r="124" spans="1:7" customFormat="1" ht="15.75">
      <c r="A124" s="101"/>
      <c r="B124" s="10" t="str">
        <f>IFERROR(VLOOKUP(A124,Bel!A:F,6,0),"")</f>
        <v/>
      </c>
      <c r="C124" s="32" t="str">
        <f>IFERROR(VLOOKUP(A124,Bel!A:G,7,0),"")</f>
        <v/>
      </c>
      <c r="D124" s="61"/>
      <c r="E124" s="35" t="str">
        <f>IFERROR(VLOOKUP(D124,Bel!$E:$G,3,0),"")</f>
        <v/>
      </c>
      <c r="F124" s="38"/>
      <c r="G124" s="1"/>
    </row>
    <row r="125" spans="1:7" customFormat="1" ht="15.75">
      <c r="A125" s="101"/>
      <c r="B125" s="10" t="str">
        <f>IFERROR(VLOOKUP(A125,Bel!A:F,6,0),"")</f>
        <v/>
      </c>
      <c r="C125" s="32" t="str">
        <f>IFERROR(VLOOKUP(A125,Bel!A:G,7,0),"")</f>
        <v/>
      </c>
      <c r="D125" s="61"/>
      <c r="E125" s="35" t="str">
        <f>IFERROR(VLOOKUP(D125,Bel!$E:$G,3,0),"")</f>
        <v/>
      </c>
      <c r="F125" s="38"/>
      <c r="G125" s="1"/>
    </row>
    <row r="126" spans="1:7" customFormat="1" ht="15.75">
      <c r="A126" s="101"/>
      <c r="B126" s="10" t="str">
        <f>IFERROR(VLOOKUP(A126,Bel!A:F,6,0),"")</f>
        <v/>
      </c>
      <c r="C126" s="32" t="str">
        <f>IFERROR(VLOOKUP(A126,Bel!A:G,7,0),"")</f>
        <v/>
      </c>
      <c r="D126" s="61"/>
      <c r="E126" s="35" t="str">
        <f>IFERROR(VLOOKUP(D126,Bel!$E:$G,3,0),"")</f>
        <v/>
      </c>
      <c r="F126" s="38"/>
      <c r="G126" s="1"/>
    </row>
    <row r="127" spans="1:7" customFormat="1" ht="15.75">
      <c r="A127" s="101"/>
      <c r="B127" s="10" t="str">
        <f>IFERROR(VLOOKUP(A127,Bel!A:F,6,0),"")</f>
        <v/>
      </c>
      <c r="C127" s="32" t="str">
        <f>IFERROR(VLOOKUP(A127,Bel!A:G,7,0),"")</f>
        <v/>
      </c>
      <c r="D127" s="61"/>
      <c r="E127" s="35" t="str">
        <f>IFERROR(VLOOKUP(D127,Bel!$E:$G,3,0),"")</f>
        <v/>
      </c>
      <c r="F127" s="38"/>
      <c r="G127" s="1"/>
    </row>
    <row r="128" spans="1:7" customFormat="1" ht="15.75">
      <c r="A128" s="101"/>
      <c r="B128" s="10" t="str">
        <f>IFERROR(VLOOKUP(A128,Bel!A:F,6,0),"")</f>
        <v/>
      </c>
      <c r="C128" s="32" t="str">
        <f>IFERROR(VLOOKUP(A128,Bel!A:G,7,0),"")</f>
        <v/>
      </c>
      <c r="D128" s="54"/>
      <c r="E128" s="35" t="str">
        <f>IFERROR(VLOOKUP(D128,Bel!$E:$G,3,0),"")</f>
        <v/>
      </c>
      <c r="F128" s="38"/>
      <c r="G128" s="1"/>
    </row>
    <row r="129" spans="1:7" customFormat="1" ht="15.75">
      <c r="A129" s="101"/>
      <c r="B129" s="10" t="str">
        <f>IFERROR(VLOOKUP(A129,Bel!A:F,6,0),"")</f>
        <v/>
      </c>
      <c r="C129" s="32" t="str">
        <f>IFERROR(VLOOKUP(A129,Bel!A:G,7,0),"")</f>
        <v/>
      </c>
      <c r="D129" s="54"/>
      <c r="E129" s="35" t="str">
        <f>IFERROR(VLOOKUP(D129,Bel!$E:$G,3,0),"")</f>
        <v/>
      </c>
      <c r="F129" s="38"/>
      <c r="G129" s="1"/>
    </row>
    <row r="130" spans="1:7" customFormat="1" ht="15.75">
      <c r="A130" s="101"/>
      <c r="B130" s="10" t="str">
        <f>IFERROR(VLOOKUP(A130,Bel!A:F,6,0),"")</f>
        <v/>
      </c>
      <c r="C130" s="32" t="str">
        <f>IFERROR(VLOOKUP(A130,Bel!A:G,7,0),"")</f>
        <v/>
      </c>
      <c r="D130" s="54"/>
      <c r="E130" s="35" t="str">
        <f>IFERROR(VLOOKUP(D130,Bel!$E:$G,3,0),"")</f>
        <v/>
      </c>
      <c r="F130" s="38"/>
      <c r="G130" s="1"/>
    </row>
    <row r="131" spans="1:7" customFormat="1" ht="15.75">
      <c r="A131" s="101"/>
      <c r="B131" s="10" t="str">
        <f>IFERROR(VLOOKUP(A131,Bel!A:F,6,0),"")</f>
        <v/>
      </c>
      <c r="C131" s="32" t="str">
        <f>IFERROR(VLOOKUP(A131,Bel!A:G,7,0),"")</f>
        <v/>
      </c>
      <c r="D131" s="54"/>
      <c r="E131" s="35" t="str">
        <f>IFERROR(VLOOKUP(D131,Bel!$E:$G,3,0),"")</f>
        <v/>
      </c>
      <c r="F131" s="38"/>
      <c r="G131" s="1"/>
    </row>
    <row r="132" spans="1:7" customFormat="1" ht="15.75">
      <c r="A132" s="101"/>
      <c r="B132" s="10" t="str">
        <f>IFERROR(VLOOKUP(A132,Bel!A:F,6,0),"")</f>
        <v/>
      </c>
      <c r="C132" s="32" t="str">
        <f>IFERROR(VLOOKUP(A132,Bel!A:G,7,0),"")</f>
        <v/>
      </c>
      <c r="D132" s="54"/>
      <c r="E132" s="35" t="str">
        <f>IFERROR(VLOOKUP(D132,Bel!$E:$G,3,0),"")</f>
        <v/>
      </c>
      <c r="F132" s="38"/>
      <c r="G132" s="1"/>
    </row>
    <row r="133" spans="1:7" customFormat="1" ht="15.75">
      <c r="A133" s="101"/>
      <c r="B133" s="10" t="str">
        <f>IFERROR(VLOOKUP(A133,Bel!A:F,6,0),"")</f>
        <v/>
      </c>
      <c r="C133" s="32" t="str">
        <f>IFERROR(VLOOKUP(A133,Bel!A:G,7,0),"")</f>
        <v/>
      </c>
      <c r="D133" s="54"/>
      <c r="E133" s="35" t="str">
        <f>IFERROR(VLOOKUP(D133,Bel!$E:$G,3,0),"")</f>
        <v/>
      </c>
      <c r="F133" s="38"/>
      <c r="G133" s="1"/>
    </row>
    <row r="134" spans="1:7" customFormat="1" ht="15.75">
      <c r="A134" s="101"/>
      <c r="B134" s="10" t="str">
        <f>IFERROR(VLOOKUP(A134,Bel!A:F,6,0),"")</f>
        <v/>
      </c>
      <c r="C134" s="32" t="str">
        <f>IFERROR(VLOOKUP(A134,Bel!A:G,7,0),"")</f>
        <v/>
      </c>
      <c r="D134" s="54"/>
      <c r="E134" s="35" t="str">
        <f>IFERROR(VLOOKUP(D134,Bel!$E:$G,3,0),"")</f>
        <v/>
      </c>
      <c r="F134" s="38"/>
      <c r="G134" s="1"/>
    </row>
    <row r="135" spans="1:7" customFormat="1" ht="15.75">
      <c r="A135" s="101"/>
      <c r="B135" s="10" t="str">
        <f>IFERROR(VLOOKUP(A135,Bel!A:F,6,0),"")</f>
        <v/>
      </c>
      <c r="C135" s="32" t="str">
        <f>IFERROR(VLOOKUP(A135,Bel!A:G,7,0),"")</f>
        <v/>
      </c>
      <c r="D135" s="54"/>
      <c r="E135" s="35" t="str">
        <f>IFERROR(VLOOKUP(D135,Bel!$E:$G,3,0),"")</f>
        <v/>
      </c>
      <c r="F135" s="38"/>
      <c r="G135" s="1"/>
    </row>
    <row r="136" spans="1:7" customFormat="1" ht="15.75">
      <c r="A136" s="101"/>
      <c r="B136" s="10" t="str">
        <f>IFERROR(VLOOKUP(A136,Bel!A:F,6,0),"")</f>
        <v/>
      </c>
      <c r="C136" s="32" t="str">
        <f>IFERROR(VLOOKUP(A136,Bel!A:G,7,0),"")</f>
        <v/>
      </c>
      <c r="D136" s="54"/>
      <c r="E136" s="35" t="str">
        <f>IFERROR(VLOOKUP(D136,Bel!$E:$G,3,0),"")</f>
        <v/>
      </c>
      <c r="F136" s="38"/>
      <c r="G136" s="1"/>
    </row>
    <row r="137" spans="1:7" customFormat="1" ht="15.75">
      <c r="A137" s="101"/>
      <c r="B137" s="10" t="str">
        <f>IFERROR(VLOOKUP(A137,Bel!A:F,6,0),"")</f>
        <v/>
      </c>
      <c r="C137" s="32" t="str">
        <f>IFERROR(VLOOKUP(A137,Bel!A:G,7,0),"")</f>
        <v/>
      </c>
      <c r="D137" s="54"/>
      <c r="E137" s="35" t="str">
        <f>IFERROR(VLOOKUP(D137,Bel!$E:$G,3,0),"")</f>
        <v/>
      </c>
      <c r="F137" s="38"/>
      <c r="G137" s="1"/>
    </row>
    <row r="138" spans="1:7" customFormat="1" ht="15.75">
      <c r="A138" s="101"/>
      <c r="B138" s="10" t="str">
        <f>IFERROR(VLOOKUP(A138,Bel!A:F,6,0),"")</f>
        <v/>
      </c>
      <c r="C138" s="32" t="str">
        <f>IFERROR(VLOOKUP(A138,Bel!A:G,7,0),"")</f>
        <v/>
      </c>
      <c r="D138" s="54"/>
      <c r="E138" s="35" t="str">
        <f>IFERROR(VLOOKUP(D138,Bel!$E:$G,3,0),"")</f>
        <v/>
      </c>
      <c r="F138" s="38"/>
      <c r="G138" s="1"/>
    </row>
    <row r="139" spans="1:7" customFormat="1" ht="15.75">
      <c r="A139" s="101"/>
      <c r="B139" s="10" t="str">
        <f>IFERROR(VLOOKUP(A139,Bel!A:F,6,0),"")</f>
        <v/>
      </c>
      <c r="C139" s="32" t="str">
        <f>IFERROR(VLOOKUP(A139,Bel!A:G,7,0),"")</f>
        <v/>
      </c>
      <c r="D139" s="54"/>
      <c r="E139" s="35" t="str">
        <f>IFERROR(VLOOKUP(D139,Bel!$E:$G,3,0),"")</f>
        <v/>
      </c>
      <c r="F139" s="38"/>
      <c r="G139" s="1"/>
    </row>
    <row r="140" spans="1:7" customFormat="1" ht="15.75">
      <c r="A140" s="101"/>
      <c r="B140" s="10" t="str">
        <f>IFERROR(VLOOKUP(A140,Bel!A:F,6,0),"")</f>
        <v/>
      </c>
      <c r="C140" s="32" t="str">
        <f>IFERROR(VLOOKUP(A140,Bel!A:G,7,0),"")</f>
        <v/>
      </c>
      <c r="D140" s="54"/>
      <c r="E140" s="35" t="str">
        <f>IFERROR(VLOOKUP(D140,Bel!$E:$G,3,0),"")</f>
        <v/>
      </c>
      <c r="F140" s="38"/>
      <c r="G140" s="1"/>
    </row>
    <row r="141" spans="1:7" customFormat="1" ht="15.75">
      <c r="A141" s="101"/>
      <c r="B141" s="10" t="str">
        <f>IFERROR(VLOOKUP(A141,Bel!A:F,6,0),"")</f>
        <v/>
      </c>
      <c r="C141" s="32" t="str">
        <f>IFERROR(VLOOKUP(A141,Bel!A:G,7,0),"")</f>
        <v/>
      </c>
      <c r="D141" s="54"/>
      <c r="E141" s="35" t="str">
        <f>IFERROR(VLOOKUP(D141,Bel!$E:$G,3,0),"")</f>
        <v/>
      </c>
      <c r="F141" s="38"/>
      <c r="G141" s="1"/>
    </row>
    <row r="142" spans="1:7" customFormat="1" ht="15.75">
      <c r="A142" s="101"/>
      <c r="B142" s="10" t="str">
        <f>IFERROR(VLOOKUP(A142,Bel!A:F,6,0),"")</f>
        <v/>
      </c>
      <c r="C142" s="32" t="str">
        <f>IFERROR(VLOOKUP(A142,Bel!A:G,7,0),"")</f>
        <v/>
      </c>
      <c r="D142" s="54"/>
      <c r="E142" s="35" t="str">
        <f>IFERROR(VLOOKUP(D142,Bel!$E:$G,3,0),"")</f>
        <v/>
      </c>
      <c r="F142" s="38"/>
      <c r="G142" s="1"/>
    </row>
    <row r="143" spans="1:7" customFormat="1" ht="15.75">
      <c r="A143" s="101"/>
      <c r="B143" s="10" t="str">
        <f>IFERROR(VLOOKUP(A143,Bel!A:F,6,0),"")</f>
        <v/>
      </c>
      <c r="C143" s="32" t="str">
        <f>IFERROR(VLOOKUP(A143,Bel!A:G,7,0),"")</f>
        <v/>
      </c>
      <c r="D143" s="54"/>
      <c r="E143" s="35" t="str">
        <f>IFERROR(VLOOKUP(D143,Bel!$E:$G,3,0),"")</f>
        <v/>
      </c>
      <c r="F143" s="38"/>
      <c r="G143" s="1"/>
    </row>
    <row r="144" spans="1:7" customFormat="1" ht="15.75">
      <c r="A144" s="101"/>
      <c r="B144" s="10" t="str">
        <f>IFERROR(VLOOKUP(A144,Bel!A:F,6,0),"")</f>
        <v/>
      </c>
      <c r="C144" s="32" t="str">
        <f>IFERROR(VLOOKUP(A144,Bel!A:G,7,0),"")</f>
        <v/>
      </c>
      <c r="D144" s="54"/>
      <c r="E144" s="35" t="str">
        <f>IFERROR(VLOOKUP(D144,Bel!$E:$G,3,0),"")</f>
        <v/>
      </c>
      <c r="F144" s="38"/>
      <c r="G144" s="1"/>
    </row>
    <row r="145" spans="1:7" customFormat="1" ht="15.75">
      <c r="A145" s="101"/>
      <c r="B145" s="10" t="str">
        <f>IFERROR(VLOOKUP(A145,Bel!A:F,6,0),"")</f>
        <v/>
      </c>
      <c r="C145" s="32" t="str">
        <f>IFERROR(VLOOKUP(A145,Bel!A:G,7,0),"")</f>
        <v/>
      </c>
      <c r="D145" s="54"/>
      <c r="E145" s="35" t="str">
        <f>IFERROR(VLOOKUP(D145,Bel!$E:$G,3,0),"")</f>
        <v/>
      </c>
      <c r="F145" s="38"/>
      <c r="G145" s="1"/>
    </row>
    <row r="146" spans="1:7" customFormat="1" ht="15.75">
      <c r="A146" s="101"/>
      <c r="B146" s="10" t="str">
        <f>IFERROR(VLOOKUP(A146,Bel!A:F,6,0),"")</f>
        <v/>
      </c>
      <c r="C146" s="32" t="str">
        <f>IFERROR(VLOOKUP(A146,Bel!A:G,7,0),"")</f>
        <v/>
      </c>
      <c r="D146" s="54"/>
      <c r="E146" s="35" t="str">
        <f>IFERROR(VLOOKUP(D146,Bel!$E:$G,3,0),"")</f>
        <v/>
      </c>
      <c r="F146" s="38"/>
      <c r="G146" s="1"/>
    </row>
    <row r="147" spans="1:7" customFormat="1" ht="15.75">
      <c r="A147" s="101"/>
      <c r="B147" s="10" t="str">
        <f>IFERROR(VLOOKUP(A147,Bel!A:F,6,0),"")</f>
        <v/>
      </c>
      <c r="C147" s="32" t="str">
        <f>IFERROR(VLOOKUP(A147,Bel!A:G,7,0),"")</f>
        <v/>
      </c>
      <c r="D147" s="54"/>
      <c r="E147" s="35" t="str">
        <f>IFERROR(VLOOKUP(D147,Bel!$E:$G,3,0),"")</f>
        <v/>
      </c>
      <c r="F147" s="38"/>
      <c r="G147" s="1"/>
    </row>
    <row r="148" spans="1:7" customFormat="1" ht="15.75">
      <c r="A148" s="101"/>
      <c r="B148" s="10" t="str">
        <f>IFERROR(VLOOKUP(A148,Bel!A:F,6,0),"")</f>
        <v/>
      </c>
      <c r="C148" s="32" t="str">
        <f>IFERROR(VLOOKUP(A148,Bel!A:G,7,0),"")</f>
        <v/>
      </c>
      <c r="D148" s="54"/>
      <c r="E148" s="35" t="str">
        <f>IFERROR(VLOOKUP(D148,Bel!$E:$G,3,0),"")</f>
        <v/>
      </c>
      <c r="F148" s="38"/>
      <c r="G148" s="1"/>
    </row>
    <row r="149" spans="1:7" customFormat="1" ht="15.75">
      <c r="A149" s="101"/>
      <c r="B149" s="10" t="str">
        <f>IFERROR(VLOOKUP(A149,Bel!A:F,6,0),"")</f>
        <v/>
      </c>
      <c r="C149" s="32" t="str">
        <f>IFERROR(VLOOKUP(A149,Bel!A:G,7,0),"")</f>
        <v/>
      </c>
      <c r="D149" s="54"/>
      <c r="E149" s="35" t="str">
        <f>IFERROR(VLOOKUP(D149,Bel!$E:$G,3,0),"")</f>
        <v/>
      </c>
      <c r="F149" s="38"/>
      <c r="G149" s="1"/>
    </row>
    <row r="150" spans="1:7" customFormat="1" ht="15.75">
      <c r="A150" s="101"/>
      <c r="B150" s="10" t="str">
        <f>IFERROR(VLOOKUP(A150,Bel!A:F,6,0),"")</f>
        <v/>
      </c>
      <c r="C150" s="32" t="str">
        <f>IFERROR(VLOOKUP(A150,Bel!A:G,7,0),"")</f>
        <v/>
      </c>
      <c r="D150" s="54"/>
      <c r="E150" s="35" t="str">
        <f>IFERROR(VLOOKUP(D150,Bel!$E:$G,3,0),"")</f>
        <v/>
      </c>
      <c r="F150" s="38"/>
      <c r="G150" s="1"/>
    </row>
    <row r="151" spans="1:7" customFormat="1" ht="15.75">
      <c r="A151" s="101"/>
      <c r="B151" s="10" t="str">
        <f>IFERROR(VLOOKUP(A151,Bel!A:F,6,0),"")</f>
        <v/>
      </c>
      <c r="C151" s="32" t="str">
        <f>IFERROR(VLOOKUP(A151,Bel!A:G,7,0),"")</f>
        <v/>
      </c>
      <c r="D151" s="54"/>
      <c r="E151" s="35" t="str">
        <f>IFERROR(VLOOKUP(D151,Bel!$E:$G,3,0),"")</f>
        <v/>
      </c>
      <c r="F151" s="38"/>
      <c r="G151" s="1"/>
    </row>
    <row r="152" spans="1:7" customFormat="1" ht="15.75">
      <c r="A152" s="101"/>
      <c r="B152" s="10" t="str">
        <f>IFERROR(VLOOKUP(A152,Bel!A:F,6,0),"")</f>
        <v/>
      </c>
      <c r="C152" s="32" t="str">
        <f>IFERROR(VLOOKUP(A152,Bel!A:G,7,0),"")</f>
        <v/>
      </c>
      <c r="D152" s="54"/>
      <c r="E152" s="35" t="str">
        <f>IFERROR(VLOOKUP(D152,Bel!$E:$G,3,0),"")</f>
        <v/>
      </c>
      <c r="F152" s="38"/>
      <c r="G152" s="1"/>
    </row>
    <row r="153" spans="1:7" customFormat="1" ht="15.75">
      <c r="A153" s="101"/>
      <c r="B153" s="10" t="str">
        <f>IFERROR(VLOOKUP(A153,Bel!A:F,6,0),"")</f>
        <v/>
      </c>
      <c r="C153" s="32" t="str">
        <f>IFERROR(VLOOKUP(A153,Bel!A:G,7,0),"")</f>
        <v/>
      </c>
      <c r="D153" s="54"/>
      <c r="E153" s="35" t="str">
        <f>IFERROR(VLOOKUP(D153,Bel!$E:$G,3,0),"")</f>
        <v/>
      </c>
      <c r="F153" s="38"/>
      <c r="G153" s="1"/>
    </row>
    <row r="154" spans="1:7" customFormat="1" ht="15.75">
      <c r="A154" s="101"/>
      <c r="B154" s="10" t="str">
        <f>IFERROR(VLOOKUP(A154,Bel!A:F,6,0),"")</f>
        <v/>
      </c>
      <c r="C154" s="32" t="str">
        <f>IFERROR(VLOOKUP(A154,Bel!A:G,7,0),"")</f>
        <v/>
      </c>
      <c r="D154" s="54"/>
      <c r="E154" s="35" t="str">
        <f>IFERROR(VLOOKUP(D154,Bel!$E:$G,3,0),"")</f>
        <v/>
      </c>
      <c r="F154" s="38"/>
      <c r="G154" s="1"/>
    </row>
    <row r="155" spans="1:7" customFormat="1" ht="15.75">
      <c r="A155" s="101"/>
      <c r="B155" s="10" t="str">
        <f>IFERROR(VLOOKUP(A155,Bel!A:F,6,0),"")</f>
        <v/>
      </c>
      <c r="C155" s="32" t="str">
        <f>IFERROR(VLOOKUP(A155,Bel!A:G,7,0),"")</f>
        <v/>
      </c>
      <c r="D155" s="54"/>
      <c r="E155" s="35" t="str">
        <f>IFERROR(VLOOKUP(D155,Bel!$E:$G,3,0),"")</f>
        <v/>
      </c>
      <c r="F155" s="38"/>
      <c r="G155" s="1"/>
    </row>
    <row r="156" spans="1:7" customFormat="1" ht="15.75">
      <c r="A156" s="101"/>
      <c r="B156" s="10" t="str">
        <f>IFERROR(VLOOKUP(A156,Bel!A:F,6,0),"")</f>
        <v/>
      </c>
      <c r="C156" s="32" t="str">
        <f>IFERROR(VLOOKUP(A156,Bel!A:G,7,0),"")</f>
        <v/>
      </c>
      <c r="D156" s="54"/>
      <c r="E156" s="35" t="str">
        <f>IFERROR(VLOOKUP(D156,Bel!$E:$G,3,0),"")</f>
        <v/>
      </c>
      <c r="F156" s="38"/>
      <c r="G156" s="1"/>
    </row>
    <row r="157" spans="1:7" customFormat="1" ht="15.75">
      <c r="A157" s="101"/>
      <c r="B157" s="10" t="str">
        <f>IFERROR(VLOOKUP(A157,Bel!A:F,6,0),"")</f>
        <v/>
      </c>
      <c r="C157" s="32" t="str">
        <f>IFERROR(VLOOKUP(A157,Bel!A:G,7,0),"")</f>
        <v/>
      </c>
      <c r="D157" s="54"/>
      <c r="E157" s="35" t="str">
        <f>IFERROR(VLOOKUP(D157,Bel!$E:$G,3,0),"")</f>
        <v/>
      </c>
      <c r="F157" s="38"/>
      <c r="G157" s="1"/>
    </row>
    <row r="158" spans="1:7" customFormat="1" ht="15.75">
      <c r="A158" s="101"/>
      <c r="B158" s="10" t="str">
        <f>IFERROR(VLOOKUP(A158,Bel!A:F,6,0),"")</f>
        <v/>
      </c>
      <c r="C158" s="32" t="str">
        <f>IFERROR(VLOOKUP(A158,Bel!A:G,7,0),"")</f>
        <v/>
      </c>
      <c r="D158" s="54"/>
      <c r="E158" s="35" t="str">
        <f>IFERROR(VLOOKUP(D158,Bel!$E:$G,3,0),"")</f>
        <v/>
      </c>
      <c r="F158" s="38"/>
      <c r="G158" s="1"/>
    </row>
    <row r="159" spans="1:7" customFormat="1" ht="15.75">
      <c r="A159" s="101"/>
      <c r="B159" s="10" t="str">
        <f>IFERROR(VLOOKUP(A159,Bel!A:F,6,0),"")</f>
        <v/>
      </c>
      <c r="C159" s="32" t="str">
        <f>IFERROR(VLOOKUP(A159,Bel!A:G,7,0),"")</f>
        <v/>
      </c>
      <c r="D159" s="54"/>
      <c r="E159" s="35" t="str">
        <f>IFERROR(VLOOKUP(D159,Bel!$E:$G,3,0),"")</f>
        <v/>
      </c>
      <c r="F159" s="38"/>
      <c r="G159" s="1"/>
    </row>
    <row r="160" spans="1:7" customFormat="1" ht="15.75">
      <c r="A160" s="101"/>
      <c r="B160" s="10" t="str">
        <f>IFERROR(VLOOKUP(A160,Bel!A:F,6,0),"")</f>
        <v/>
      </c>
      <c r="C160" s="32" t="str">
        <f>IFERROR(VLOOKUP(A160,Bel!A:G,7,0),"")</f>
        <v/>
      </c>
      <c r="D160" s="54"/>
      <c r="E160" s="35" t="str">
        <f>IFERROR(VLOOKUP(D160,Bel!$E:$G,3,0),"")</f>
        <v/>
      </c>
      <c r="F160" s="38"/>
      <c r="G160" s="1"/>
    </row>
    <row r="161" spans="1:7" customFormat="1" ht="15.75">
      <c r="A161" s="101"/>
      <c r="B161" s="10" t="str">
        <f>IFERROR(VLOOKUP(A161,Bel!A:F,6,0),"")</f>
        <v/>
      </c>
      <c r="C161" s="32" t="str">
        <f>IFERROR(VLOOKUP(A161,Bel!A:G,7,0),"")</f>
        <v/>
      </c>
      <c r="D161" s="54"/>
      <c r="E161" s="35" t="str">
        <f>IFERROR(VLOOKUP(D161,Bel!$E:$G,3,0),"")</f>
        <v/>
      </c>
      <c r="F161" s="38"/>
      <c r="G161" s="1"/>
    </row>
    <row r="162" spans="1:7" customFormat="1" ht="15.75">
      <c r="A162" s="101"/>
      <c r="B162" s="10" t="str">
        <f>IFERROR(VLOOKUP(A162,Bel!A:F,6,0),"")</f>
        <v/>
      </c>
      <c r="C162" s="32" t="str">
        <f>IFERROR(VLOOKUP(A162,Bel!A:G,7,0),"")</f>
        <v/>
      </c>
      <c r="D162" s="54"/>
      <c r="E162" s="35" t="str">
        <f>IFERROR(VLOOKUP(D162,Bel!$E:$G,3,0),"")</f>
        <v/>
      </c>
      <c r="F162" s="38"/>
      <c r="G162" s="1"/>
    </row>
    <row r="163" spans="1:7" customFormat="1" ht="15.75">
      <c r="A163" s="101"/>
      <c r="B163" s="10" t="str">
        <f>IFERROR(VLOOKUP(A163,Bel!A:F,6,0),"")</f>
        <v/>
      </c>
      <c r="C163" s="32" t="str">
        <f>IFERROR(VLOOKUP(A163,Bel!A:G,7,0),"")</f>
        <v/>
      </c>
      <c r="D163" s="54"/>
      <c r="E163" s="35" t="str">
        <f>IFERROR(VLOOKUP(D163,Bel!$E:$G,3,0),"")</f>
        <v/>
      </c>
      <c r="F163" s="38"/>
      <c r="G163" s="1"/>
    </row>
    <row r="164" spans="1:7" customFormat="1" ht="15.75">
      <c r="A164" s="101"/>
      <c r="B164" s="10" t="str">
        <f>IFERROR(VLOOKUP(A164,Bel!A:F,6,0),"")</f>
        <v/>
      </c>
      <c r="C164" s="32" t="str">
        <f>IFERROR(VLOOKUP(A164,Bel!A:G,7,0),"")</f>
        <v/>
      </c>
      <c r="D164" s="54"/>
      <c r="E164" s="35" t="str">
        <f>IFERROR(VLOOKUP(D164,Bel!$E:$G,3,0),"")</f>
        <v/>
      </c>
      <c r="F164" s="38"/>
      <c r="G164" s="1"/>
    </row>
    <row r="165" spans="1:7" customFormat="1" ht="15.75">
      <c r="A165" s="101"/>
      <c r="B165" s="10" t="str">
        <f>IFERROR(VLOOKUP(A165,Bel!A:F,6,0),"")</f>
        <v/>
      </c>
      <c r="C165" s="32" t="str">
        <f>IFERROR(VLOOKUP(A165,Bel!A:G,7,0),"")</f>
        <v/>
      </c>
      <c r="D165" s="54"/>
      <c r="E165" s="35" t="str">
        <f>IFERROR(VLOOKUP(D165,Bel!$E:$G,3,0),"")</f>
        <v/>
      </c>
      <c r="F165" s="38"/>
      <c r="G165" s="1"/>
    </row>
    <row r="166" spans="1:7" customFormat="1" ht="15.75">
      <c r="A166" s="101"/>
      <c r="B166" s="10" t="str">
        <f>IFERROR(VLOOKUP(A166,Bel!A:F,6,0),"")</f>
        <v/>
      </c>
      <c r="C166" s="32" t="str">
        <f>IFERROR(VLOOKUP(A166,Bel!A:G,7,0),"")</f>
        <v/>
      </c>
      <c r="D166" s="54"/>
      <c r="E166" s="35" t="str">
        <f>IFERROR(VLOOKUP(D166,Bel!$E:$G,3,0),"")</f>
        <v/>
      </c>
      <c r="F166" s="38"/>
      <c r="G166" s="1"/>
    </row>
    <row r="167" spans="1:7" customFormat="1" ht="15.75">
      <c r="A167" s="101"/>
      <c r="B167" s="10" t="str">
        <f>IFERROR(VLOOKUP(A167,Bel!A:F,6,0),"")</f>
        <v/>
      </c>
      <c r="C167" s="32" t="str">
        <f>IFERROR(VLOOKUP(A167,Bel!A:G,7,0),"")</f>
        <v/>
      </c>
      <c r="D167" s="54"/>
      <c r="E167" s="35" t="str">
        <f>IFERROR(VLOOKUP(D167,Bel!$E:$G,3,0),"")</f>
        <v/>
      </c>
      <c r="F167" s="38"/>
      <c r="G167" s="1"/>
    </row>
    <row r="168" spans="1:7" customFormat="1" ht="15.75">
      <c r="A168" s="101"/>
      <c r="B168" s="10" t="str">
        <f>IFERROR(VLOOKUP(A168,Bel!A:F,6,0),"")</f>
        <v/>
      </c>
      <c r="C168" s="32" t="str">
        <f>IFERROR(VLOOKUP(A168,Bel!A:G,7,0),"")</f>
        <v/>
      </c>
      <c r="D168" s="54"/>
      <c r="E168" s="35" t="str">
        <f>IFERROR(VLOOKUP(D168,Bel!$E:$G,3,0),"")</f>
        <v/>
      </c>
      <c r="F168" s="38"/>
      <c r="G168" s="1"/>
    </row>
    <row r="169" spans="1:7" customFormat="1" ht="15.75">
      <c r="A169" s="101"/>
      <c r="B169" s="10" t="str">
        <f>IFERROR(VLOOKUP(A169,Bel!A:F,6,0),"")</f>
        <v/>
      </c>
      <c r="C169" s="32" t="str">
        <f>IFERROR(VLOOKUP(A169,Bel!A:G,7,0),"")</f>
        <v/>
      </c>
      <c r="D169" s="54"/>
      <c r="E169" s="35" t="str">
        <f>IFERROR(VLOOKUP(D169,Bel!$E:$G,3,0),"")</f>
        <v/>
      </c>
      <c r="F169" s="38"/>
      <c r="G169" s="1"/>
    </row>
    <row r="170" spans="1:7" customFormat="1" ht="15.75">
      <c r="A170" s="101"/>
      <c r="B170" s="10" t="str">
        <f>IFERROR(VLOOKUP(A170,Bel!A:F,6,0),"")</f>
        <v/>
      </c>
      <c r="C170" s="32" t="str">
        <f>IFERROR(VLOOKUP(A170,Bel!A:G,7,0),"")</f>
        <v/>
      </c>
      <c r="D170" s="54"/>
      <c r="E170" s="35" t="str">
        <f>IFERROR(VLOOKUP(D170,Bel!$E:$G,3,0),"")</f>
        <v/>
      </c>
      <c r="F170" s="38"/>
      <c r="G170" s="1"/>
    </row>
    <row r="171" spans="1:7" customFormat="1" ht="15.75">
      <c r="A171" s="101"/>
      <c r="B171" s="10" t="str">
        <f>IFERROR(VLOOKUP(A171,Bel!A:F,6,0),"")</f>
        <v/>
      </c>
      <c r="C171" s="32" t="str">
        <f>IFERROR(VLOOKUP(A171,Bel!A:G,7,0),"")</f>
        <v/>
      </c>
      <c r="D171" s="54"/>
      <c r="E171" s="35" t="str">
        <f>IFERROR(VLOOKUP(D171,Bel!$E:$G,3,0),"")</f>
        <v/>
      </c>
      <c r="F171" s="38"/>
      <c r="G171" s="1"/>
    </row>
    <row r="172" spans="1:7" customFormat="1" ht="15.75">
      <c r="A172" s="101"/>
      <c r="B172" s="10" t="str">
        <f>IFERROR(VLOOKUP(A172,Bel!A:F,6,0),"")</f>
        <v/>
      </c>
      <c r="C172" s="32" t="str">
        <f>IFERROR(VLOOKUP(A172,Bel!A:G,7,0),"")</f>
        <v/>
      </c>
      <c r="D172" s="54"/>
      <c r="E172" s="35" t="str">
        <f>IFERROR(VLOOKUP(D172,Bel!$E:$G,3,0),"")</f>
        <v/>
      </c>
      <c r="F172" s="38"/>
      <c r="G172" s="1"/>
    </row>
    <row r="173" spans="1:7" customFormat="1" ht="15.75">
      <c r="A173" s="101"/>
      <c r="B173" s="10" t="str">
        <f>IFERROR(VLOOKUP(A173,Bel!A:F,6,0),"")</f>
        <v/>
      </c>
      <c r="C173" s="32" t="str">
        <f>IFERROR(VLOOKUP(A173,Bel!A:G,7,0),"")</f>
        <v/>
      </c>
      <c r="D173" s="54"/>
      <c r="E173" s="35" t="str">
        <f>IFERROR(VLOOKUP(D173,Bel!$E:$G,3,0),"")</f>
        <v/>
      </c>
      <c r="F173" s="38"/>
      <c r="G173" s="1"/>
    </row>
    <row r="174" spans="1:7" customFormat="1" ht="15.75">
      <c r="A174" s="101"/>
      <c r="B174" s="10" t="str">
        <f>IFERROR(VLOOKUP(A174,Bel!A:F,6,0),"")</f>
        <v/>
      </c>
      <c r="C174" s="32" t="str">
        <f>IFERROR(VLOOKUP(A174,Bel!A:G,7,0),"")</f>
        <v/>
      </c>
      <c r="D174" s="54"/>
      <c r="E174" s="35" t="str">
        <f>IFERROR(VLOOKUP(D174,Bel!$E:$G,3,0),"")</f>
        <v/>
      </c>
      <c r="F174" s="38"/>
      <c r="G174" s="1"/>
    </row>
    <row r="175" spans="1:7" customFormat="1" ht="15.75">
      <c r="A175" s="101"/>
      <c r="B175" s="10" t="str">
        <f>IFERROR(VLOOKUP(A175,Bel!A:F,6,0),"")</f>
        <v/>
      </c>
      <c r="C175" s="32" t="str">
        <f>IFERROR(VLOOKUP(A175,Bel!A:G,7,0),"")</f>
        <v/>
      </c>
      <c r="D175" s="54"/>
      <c r="E175" s="35" t="str">
        <f>IFERROR(VLOOKUP(D175,Bel!$E:$G,3,0),"")</f>
        <v/>
      </c>
      <c r="F175" s="38"/>
      <c r="G175" s="1"/>
    </row>
    <row r="176" spans="1:7" customFormat="1" ht="15.75">
      <c r="A176" s="101"/>
      <c r="B176" s="10" t="str">
        <f>IFERROR(VLOOKUP(A176,Bel!A:F,6,0),"")</f>
        <v/>
      </c>
      <c r="C176" s="32" t="str">
        <f>IFERROR(VLOOKUP(A176,Bel!A:G,7,0),"")</f>
        <v/>
      </c>
      <c r="D176" s="54"/>
      <c r="E176" s="35" t="str">
        <f>IFERROR(VLOOKUP(D176,Bel!$E:$G,3,0),"")</f>
        <v/>
      </c>
      <c r="F176" s="38"/>
      <c r="G176" s="1"/>
    </row>
    <row r="177" spans="1:7" customFormat="1" ht="15.75">
      <c r="A177" s="101"/>
      <c r="B177" s="10" t="str">
        <f>IFERROR(VLOOKUP(A177,Bel!A:F,6,0),"")</f>
        <v/>
      </c>
      <c r="C177" s="32" t="str">
        <f>IFERROR(VLOOKUP(A177,Bel!A:G,7,0),"")</f>
        <v/>
      </c>
      <c r="D177" s="54"/>
      <c r="E177" s="35" t="str">
        <f>IFERROR(VLOOKUP(D177,Bel!$E:$G,3,0),"")</f>
        <v/>
      </c>
      <c r="F177" s="38"/>
      <c r="G177" s="1"/>
    </row>
    <row r="178" spans="1:7" customFormat="1" ht="15.75">
      <c r="A178" s="101"/>
      <c r="B178" s="10" t="str">
        <f>IFERROR(VLOOKUP(A178,Bel!A:F,6,0),"")</f>
        <v/>
      </c>
      <c r="C178" s="32" t="str">
        <f>IFERROR(VLOOKUP(A178,Bel!A:G,7,0),"")</f>
        <v/>
      </c>
      <c r="D178" s="54"/>
      <c r="E178" s="35" t="str">
        <f>IFERROR(VLOOKUP(D178,Bel!$E:$G,3,0),"")</f>
        <v/>
      </c>
      <c r="F178" s="38"/>
      <c r="G178" s="1"/>
    </row>
    <row r="179" spans="1:7" customFormat="1" ht="15.75">
      <c r="A179" s="101"/>
      <c r="B179" s="10" t="str">
        <f>IFERROR(VLOOKUP(A179,Bel!A:F,6,0),"")</f>
        <v/>
      </c>
      <c r="C179" s="32" t="str">
        <f>IFERROR(VLOOKUP(A179,Bel!A:G,7,0),"")</f>
        <v/>
      </c>
      <c r="D179" s="54"/>
      <c r="E179" s="35" t="str">
        <f>IFERROR(VLOOKUP(D179,Bel!$E:$G,3,0),"")</f>
        <v/>
      </c>
      <c r="F179" s="38"/>
      <c r="G179" s="1"/>
    </row>
    <row r="180" spans="1:7" customFormat="1" ht="15.75">
      <c r="A180" s="101"/>
      <c r="B180" s="10" t="str">
        <f>IFERROR(VLOOKUP(A180,Bel!A:F,6,0),"")</f>
        <v/>
      </c>
      <c r="C180" s="32" t="str">
        <f>IFERROR(VLOOKUP(A180,Bel!A:G,7,0),"")</f>
        <v/>
      </c>
      <c r="D180" s="54"/>
      <c r="E180" s="35" t="str">
        <f>IFERROR(VLOOKUP(D180,Bel!$E:$G,3,0),"")</f>
        <v/>
      </c>
      <c r="F180" s="38"/>
      <c r="G180" s="1"/>
    </row>
    <row r="181" spans="1:7" customFormat="1" ht="15.75">
      <c r="A181" s="101"/>
      <c r="B181" s="10" t="str">
        <f>IFERROR(VLOOKUP(A181,Bel!A:F,6,0),"")</f>
        <v/>
      </c>
      <c r="C181" s="32" t="str">
        <f>IFERROR(VLOOKUP(A181,Bel!A:G,7,0),"")</f>
        <v/>
      </c>
      <c r="D181" s="54"/>
      <c r="E181" s="35" t="str">
        <f>IFERROR(VLOOKUP(D181,Bel!$E:$G,3,0),"")</f>
        <v/>
      </c>
      <c r="F181" s="38"/>
      <c r="G181" s="1"/>
    </row>
    <row r="182" spans="1:7" customFormat="1" ht="15.75">
      <c r="A182" s="101"/>
      <c r="B182" s="10" t="str">
        <f>IFERROR(VLOOKUP(A182,Bel!A:F,6,0),"")</f>
        <v/>
      </c>
      <c r="C182" s="32" t="str">
        <f>IFERROR(VLOOKUP(A182,Bel!A:G,7,0),"")</f>
        <v/>
      </c>
      <c r="D182" s="54"/>
      <c r="E182" s="35" t="str">
        <f>IFERROR(VLOOKUP(D182,Bel!$E:$G,3,0),"")</f>
        <v/>
      </c>
      <c r="F182" s="38"/>
      <c r="G182" s="1"/>
    </row>
    <row r="183" spans="1:7" customFormat="1" ht="15.75">
      <c r="A183" s="101"/>
      <c r="B183" s="10" t="str">
        <f>IFERROR(VLOOKUP(A183,Bel!A:F,6,0),"")</f>
        <v/>
      </c>
      <c r="C183" s="32" t="str">
        <f>IFERROR(VLOOKUP(A183,Bel!A:G,7,0),"")</f>
        <v/>
      </c>
      <c r="D183" s="54"/>
      <c r="E183" s="35" t="str">
        <f>IFERROR(VLOOKUP(D183,Bel!$E:$G,3,0),"")</f>
        <v/>
      </c>
      <c r="F183" s="38"/>
      <c r="G183" s="1"/>
    </row>
    <row r="184" spans="1:7" customFormat="1" ht="15.75">
      <c r="A184" s="101"/>
      <c r="B184" s="10" t="str">
        <f>IFERROR(VLOOKUP(A184,Bel!A:F,6,0),"")</f>
        <v/>
      </c>
      <c r="C184" s="32" t="str">
        <f>IFERROR(VLOOKUP(A184,Bel!A:G,7,0),"")</f>
        <v/>
      </c>
      <c r="D184" s="54"/>
      <c r="E184" s="35" t="str">
        <f>IFERROR(VLOOKUP(D184,Bel!$E:$G,3,0),"")</f>
        <v/>
      </c>
      <c r="F184" s="38"/>
      <c r="G184" s="1"/>
    </row>
    <row r="185" spans="1:7" customFormat="1" ht="15.75">
      <c r="A185" s="101"/>
      <c r="B185" s="10" t="str">
        <f>IFERROR(VLOOKUP(A185,Bel!A:F,6,0),"")</f>
        <v/>
      </c>
      <c r="C185" s="32" t="str">
        <f>IFERROR(VLOOKUP(A185,Bel!A:G,7,0),"")</f>
        <v/>
      </c>
      <c r="D185" s="54"/>
      <c r="E185" s="35" t="str">
        <f>IFERROR(VLOOKUP(D185,Bel!$E:$G,3,0),"")</f>
        <v/>
      </c>
      <c r="F185" s="38"/>
      <c r="G185" s="1"/>
    </row>
    <row r="186" spans="1:7" customFormat="1" ht="15.75">
      <c r="A186" s="101"/>
      <c r="B186" s="10" t="str">
        <f>IFERROR(VLOOKUP(A186,Bel!A:F,6,0),"")</f>
        <v/>
      </c>
      <c r="C186" s="32" t="str">
        <f>IFERROR(VLOOKUP(A186,Bel!A:G,7,0),"")</f>
        <v/>
      </c>
      <c r="D186" s="54"/>
      <c r="E186" s="35" t="str">
        <f>IFERROR(VLOOKUP(D186,Bel!$E:$G,3,0),"")</f>
        <v/>
      </c>
      <c r="F186" s="38"/>
      <c r="G186" s="1"/>
    </row>
    <row r="187" spans="1:7" customFormat="1" ht="15.75">
      <c r="A187" s="101"/>
      <c r="B187" s="10" t="str">
        <f>IFERROR(VLOOKUP(A187,Bel!A:F,6,0),"")</f>
        <v/>
      </c>
      <c r="C187" s="32" t="str">
        <f>IFERROR(VLOOKUP(A187,Bel!A:G,7,0),"")</f>
        <v/>
      </c>
      <c r="D187" s="54"/>
      <c r="E187" s="35" t="str">
        <f>IFERROR(VLOOKUP(D187,Bel!$E:$G,3,0),"")</f>
        <v/>
      </c>
      <c r="F187" s="38"/>
      <c r="G187" s="1"/>
    </row>
    <row r="188" spans="1:7" customFormat="1" ht="15.75">
      <c r="A188" s="101"/>
      <c r="B188" s="10" t="str">
        <f>IFERROR(VLOOKUP(A188,Bel!A:F,6,0),"")</f>
        <v/>
      </c>
      <c r="C188" s="32" t="str">
        <f>IFERROR(VLOOKUP(A188,Bel!A:G,7,0),"")</f>
        <v/>
      </c>
      <c r="D188" s="54"/>
      <c r="E188" s="35" t="str">
        <f>IFERROR(VLOOKUP(D188,Bel!$E:$G,3,0),"")</f>
        <v/>
      </c>
      <c r="F188" s="38"/>
      <c r="G188" s="1"/>
    </row>
    <row r="189" spans="1:7" customFormat="1" ht="15.75">
      <c r="A189" s="101"/>
      <c r="B189" s="10" t="str">
        <f>IFERROR(VLOOKUP(A189,Bel!A:F,6,0),"")</f>
        <v/>
      </c>
      <c r="C189" s="32" t="str">
        <f>IFERROR(VLOOKUP(A189,Bel!A:G,7,0),"")</f>
        <v/>
      </c>
      <c r="D189" s="54"/>
      <c r="E189" s="35" t="str">
        <f>IFERROR(VLOOKUP(D189,Bel!$E:$G,3,0),"")</f>
        <v/>
      </c>
      <c r="F189" s="38"/>
      <c r="G189" s="1"/>
    </row>
    <row r="190" spans="1:7" customFormat="1" ht="15.75">
      <c r="A190" s="101"/>
      <c r="B190" s="10" t="str">
        <f>IFERROR(VLOOKUP(A190,Bel!A:F,6,0),"")</f>
        <v/>
      </c>
      <c r="C190" s="32" t="str">
        <f>IFERROR(VLOOKUP(A190,Bel!A:G,7,0),"")</f>
        <v/>
      </c>
      <c r="D190" s="54"/>
      <c r="E190" s="35" t="str">
        <f>IFERROR(VLOOKUP(D190,Bel!$E:$G,3,0),"")</f>
        <v/>
      </c>
      <c r="F190" s="38"/>
      <c r="G190" s="1"/>
    </row>
    <row r="191" spans="1:7" customFormat="1" ht="15.75">
      <c r="A191" s="101"/>
      <c r="B191" s="10" t="str">
        <f>IFERROR(VLOOKUP(A191,Bel!A:F,6,0),"")</f>
        <v/>
      </c>
      <c r="C191" s="32" t="str">
        <f>IFERROR(VLOOKUP(A191,Bel!A:G,7,0),"")</f>
        <v/>
      </c>
      <c r="D191" s="54"/>
      <c r="E191" s="35" t="str">
        <f>IFERROR(VLOOKUP(D191,Bel!$E:$G,3,0),"")</f>
        <v/>
      </c>
      <c r="F191" s="38"/>
      <c r="G191" s="1"/>
    </row>
    <row r="192" spans="1:7" customFormat="1" ht="15.75">
      <c r="A192" s="101"/>
      <c r="B192" s="10" t="str">
        <f>IFERROR(VLOOKUP(A192,Bel!A:F,6,0),"")</f>
        <v/>
      </c>
      <c r="C192" s="32" t="str">
        <f>IFERROR(VLOOKUP(A192,Bel!A:G,7,0),"")</f>
        <v/>
      </c>
      <c r="D192" s="54"/>
      <c r="E192" s="35" t="str">
        <f>IFERROR(VLOOKUP(D192,Bel!$E:$G,3,0),"")</f>
        <v/>
      </c>
      <c r="F192" s="38"/>
      <c r="G192" s="1"/>
    </row>
    <row r="193" spans="1:7" customFormat="1" ht="15.75">
      <c r="A193" s="101"/>
      <c r="B193" s="10" t="str">
        <f>IFERROR(VLOOKUP(A193,Bel!A:F,6,0),"")</f>
        <v/>
      </c>
      <c r="C193" s="32" t="str">
        <f>IFERROR(VLOOKUP(A193,Bel!A:G,7,0),"")</f>
        <v/>
      </c>
      <c r="D193" s="54"/>
      <c r="E193" s="35" t="str">
        <f>IFERROR(VLOOKUP(D193,Bel!$E:$G,3,0),"")</f>
        <v/>
      </c>
      <c r="F193" s="38"/>
      <c r="G193" s="1"/>
    </row>
    <row r="194" spans="1:7" customFormat="1" ht="15.75">
      <c r="A194" s="101"/>
      <c r="B194" s="10" t="str">
        <f>IFERROR(VLOOKUP(A194,Bel!A:F,6,0),"")</f>
        <v/>
      </c>
      <c r="C194" s="32" t="str">
        <f>IFERROR(VLOOKUP(A194,Bel!A:G,7,0),"")</f>
        <v/>
      </c>
      <c r="D194" s="54"/>
      <c r="E194" s="35" t="str">
        <f>IFERROR(VLOOKUP(D194,Bel!$E:$G,3,0),"")</f>
        <v/>
      </c>
      <c r="F194" s="38"/>
      <c r="G194" s="1"/>
    </row>
    <row r="195" spans="1:7" customFormat="1" ht="15.75">
      <c r="A195" s="101"/>
      <c r="B195" s="10" t="str">
        <f>IFERROR(VLOOKUP(A195,Bel!A:F,6,0),"")</f>
        <v/>
      </c>
      <c r="C195" s="32" t="str">
        <f>IFERROR(VLOOKUP(A195,Bel!A:G,7,0),"")</f>
        <v/>
      </c>
      <c r="D195" s="54"/>
      <c r="E195" s="35" t="str">
        <f>IFERROR(VLOOKUP(D195,Bel!$E:$G,3,0),"")</f>
        <v/>
      </c>
      <c r="F195" s="38"/>
      <c r="G195" s="1"/>
    </row>
    <row r="196" spans="1:7" customFormat="1" ht="15.75">
      <c r="A196" s="101"/>
      <c r="B196" s="10" t="str">
        <f>IFERROR(VLOOKUP(A196,Bel!A:F,6,0),"")</f>
        <v/>
      </c>
      <c r="C196" s="32" t="str">
        <f>IFERROR(VLOOKUP(A196,Bel!A:G,7,0),"")</f>
        <v/>
      </c>
      <c r="D196" s="54"/>
      <c r="E196" s="35" t="str">
        <f>IFERROR(VLOOKUP(D196,Bel!$E:$G,3,0),"")</f>
        <v/>
      </c>
      <c r="F196" s="38"/>
      <c r="G196" s="1"/>
    </row>
    <row r="197" spans="1:7" customFormat="1" ht="15.75">
      <c r="A197" s="101"/>
      <c r="B197" s="10" t="str">
        <f>IFERROR(VLOOKUP(A197,Bel!A:F,6,0),"")</f>
        <v/>
      </c>
      <c r="C197" s="32" t="str">
        <f>IFERROR(VLOOKUP(A197,Bel!A:G,7,0),"")</f>
        <v/>
      </c>
      <c r="D197" s="54"/>
      <c r="E197" s="35" t="str">
        <f>IFERROR(VLOOKUP(D197,Bel!$E:$G,3,0),"")</f>
        <v/>
      </c>
      <c r="F197" s="38"/>
      <c r="G197" s="1"/>
    </row>
    <row r="198" spans="1:7" customFormat="1" ht="15.75">
      <c r="A198" s="101"/>
      <c r="B198" s="10" t="str">
        <f>IFERROR(VLOOKUP(A198,Bel!A:F,6,0),"")</f>
        <v/>
      </c>
      <c r="C198" s="32" t="str">
        <f>IFERROR(VLOOKUP(A198,Bel!A:G,7,0),"")</f>
        <v/>
      </c>
      <c r="D198" s="54"/>
      <c r="E198" s="35" t="str">
        <f>IFERROR(VLOOKUP(D198,Bel!$E:$G,3,0),"")</f>
        <v/>
      </c>
      <c r="F198" s="38"/>
      <c r="G198" s="1"/>
    </row>
    <row r="199" spans="1:7" customFormat="1" ht="15.75">
      <c r="A199" s="101"/>
      <c r="B199" s="10" t="str">
        <f>IFERROR(VLOOKUP(A199,Bel!A:F,6,0),"")</f>
        <v/>
      </c>
      <c r="C199" s="32" t="str">
        <f>IFERROR(VLOOKUP(A199,Bel!A:G,7,0),"")</f>
        <v/>
      </c>
      <c r="D199" s="54"/>
      <c r="E199" s="35" t="str">
        <f>IFERROR(VLOOKUP(D199,Bel!$E:$G,3,0),"")</f>
        <v/>
      </c>
      <c r="F199" s="38"/>
      <c r="G199" s="1"/>
    </row>
    <row r="200" spans="1:7" customFormat="1" ht="15.75">
      <c r="A200" s="101"/>
      <c r="B200" s="10" t="str">
        <f>IFERROR(VLOOKUP(A200,Bel!A:F,6,0),"")</f>
        <v/>
      </c>
      <c r="C200" s="32" t="str">
        <f>IFERROR(VLOOKUP(A200,Bel!A:G,7,0),"")</f>
        <v/>
      </c>
      <c r="D200" s="54"/>
      <c r="E200" s="35" t="str">
        <f>IFERROR(VLOOKUP(D200,Bel!$E:$G,3,0),"")</f>
        <v/>
      </c>
      <c r="F200" s="38"/>
      <c r="G200" s="1"/>
    </row>
    <row r="201" spans="1:7" customFormat="1" ht="15.75">
      <c r="A201" s="101"/>
      <c r="B201" s="10" t="str">
        <f>IFERROR(VLOOKUP(A201,Bel!A:F,6,0),"")</f>
        <v/>
      </c>
      <c r="C201" s="32" t="str">
        <f>IFERROR(VLOOKUP(A201,Bel!A:G,7,0),"")</f>
        <v/>
      </c>
      <c r="D201" s="54"/>
      <c r="E201" s="35" t="str">
        <f>IFERROR(VLOOKUP(D201,Bel!$E:$G,3,0),"")</f>
        <v/>
      </c>
      <c r="F201" s="38"/>
      <c r="G201" s="1"/>
    </row>
    <row r="202" spans="1:7" customFormat="1" ht="15.75">
      <c r="A202" s="101"/>
      <c r="B202" s="10" t="str">
        <f>IFERROR(VLOOKUP(A202,Bel!A:F,6,0),"")</f>
        <v/>
      </c>
      <c r="C202" s="32" t="str">
        <f>IFERROR(VLOOKUP(A202,Bel!A:G,7,0),"")</f>
        <v/>
      </c>
      <c r="D202" s="54"/>
      <c r="E202" s="35" t="str">
        <f>IFERROR(VLOOKUP(D202,Bel!$E:$G,3,0),"")</f>
        <v/>
      </c>
      <c r="F202" s="38"/>
      <c r="G202" s="1"/>
    </row>
    <row r="203" spans="1:7" customFormat="1" ht="15.75">
      <c r="A203" s="101"/>
      <c r="B203" s="10" t="str">
        <f>IFERROR(VLOOKUP(A203,Bel!A:F,6,0),"")</f>
        <v/>
      </c>
      <c r="C203" s="32" t="str">
        <f>IFERROR(VLOOKUP(A203,Bel!A:G,7,0),"")</f>
        <v/>
      </c>
      <c r="D203" s="54"/>
      <c r="E203" s="35" t="str">
        <f>IFERROR(VLOOKUP(D203,Bel!$E:$G,3,0),"")</f>
        <v/>
      </c>
      <c r="F203" s="38"/>
      <c r="G203" s="1"/>
    </row>
    <row r="204" spans="1:7" customFormat="1" ht="15.75">
      <c r="A204" s="101"/>
      <c r="B204" s="10" t="str">
        <f>IFERROR(VLOOKUP(A204,Bel!A:F,6,0),"")</f>
        <v/>
      </c>
      <c r="C204" s="32" t="str">
        <f>IFERROR(VLOOKUP(A204,Bel!A:G,7,0),"")</f>
        <v/>
      </c>
      <c r="D204" s="54"/>
      <c r="E204" s="35" t="str">
        <f>IFERROR(VLOOKUP(D204,Bel!$E:$G,3,0),"")</f>
        <v/>
      </c>
      <c r="F204" s="38"/>
      <c r="G204" s="1"/>
    </row>
    <row r="205" spans="1:7" customFormat="1" ht="15.75">
      <c r="A205" s="101"/>
      <c r="B205" s="10" t="str">
        <f>IFERROR(VLOOKUP(A205,Bel!A:F,6,0),"")</f>
        <v/>
      </c>
      <c r="C205" s="32" t="str">
        <f>IFERROR(VLOOKUP(A205,Bel!A:G,7,0),"")</f>
        <v/>
      </c>
      <c r="D205" s="54"/>
      <c r="E205" s="35" t="str">
        <f>IFERROR(VLOOKUP(D205,Bel!$E:$G,3,0),"")</f>
        <v/>
      </c>
      <c r="F205" s="38"/>
      <c r="G205" s="1"/>
    </row>
    <row r="206" spans="1:7" customFormat="1" ht="15.75">
      <c r="A206" s="101"/>
      <c r="B206" s="10" t="str">
        <f>IFERROR(VLOOKUP(A206,Bel!A:F,6,0),"")</f>
        <v/>
      </c>
      <c r="C206" s="32" t="str">
        <f>IFERROR(VLOOKUP(A206,Bel!A:G,7,0),"")</f>
        <v/>
      </c>
      <c r="D206" s="54"/>
      <c r="E206" s="35" t="str">
        <f>IFERROR(VLOOKUP(D206,Bel!$E:$G,3,0),"")</f>
        <v/>
      </c>
      <c r="F206" s="38"/>
      <c r="G206" s="1"/>
    </row>
    <row r="207" spans="1:7" customFormat="1" ht="15.75">
      <c r="A207" s="101"/>
      <c r="B207" s="10" t="str">
        <f>IFERROR(VLOOKUP(A207,Bel!A:F,6,0),"")</f>
        <v/>
      </c>
      <c r="C207" s="32" t="str">
        <f>IFERROR(VLOOKUP(A207,Bel!A:G,7,0),"")</f>
        <v/>
      </c>
      <c r="D207" s="54"/>
      <c r="E207" s="35" t="str">
        <f>IFERROR(VLOOKUP(D207,Bel!$E:$G,3,0),"")</f>
        <v/>
      </c>
      <c r="F207" s="38"/>
      <c r="G207" s="1"/>
    </row>
    <row r="208" spans="1:7" customFormat="1" ht="15.75">
      <c r="A208" s="101"/>
      <c r="B208" s="10" t="str">
        <f>IFERROR(VLOOKUP(A208,Bel!A:F,6,0),"")</f>
        <v/>
      </c>
      <c r="C208" s="32" t="str">
        <f>IFERROR(VLOOKUP(A208,Bel!A:G,7,0),"")</f>
        <v/>
      </c>
      <c r="D208" s="54"/>
      <c r="E208" s="35" t="str">
        <f>IFERROR(VLOOKUP(D208,Bel!$E:$G,3,0),"")</f>
        <v/>
      </c>
      <c r="F208" s="38"/>
      <c r="G208" s="1"/>
    </row>
    <row r="209" spans="1:7" customFormat="1" ht="15.75">
      <c r="A209" s="101"/>
      <c r="B209" s="10" t="str">
        <f>IFERROR(VLOOKUP(A209,Bel!A:F,6,0),"")</f>
        <v/>
      </c>
      <c r="C209" s="32" t="str">
        <f>IFERROR(VLOOKUP(A209,Bel!A:G,7,0),"")</f>
        <v/>
      </c>
      <c r="D209" s="54"/>
      <c r="E209" s="35" t="str">
        <f>IFERROR(VLOOKUP(D209,Bel!$E:$G,3,0),"")</f>
        <v/>
      </c>
      <c r="F209" s="38"/>
      <c r="G209" s="1"/>
    </row>
    <row r="210" spans="1:7" customFormat="1" ht="15.75">
      <c r="A210" s="101"/>
      <c r="B210" s="10" t="str">
        <f>IFERROR(VLOOKUP(A210,Bel!A:F,6,0),"")</f>
        <v/>
      </c>
      <c r="C210" s="32" t="str">
        <f>IFERROR(VLOOKUP(A210,Bel!A:G,7,0),"")</f>
        <v/>
      </c>
      <c r="D210" s="54"/>
      <c r="E210" s="35" t="str">
        <f>IFERROR(VLOOKUP(D210,Bel!$E:$G,3,0),"")</f>
        <v/>
      </c>
      <c r="F210" s="38"/>
      <c r="G210" s="1"/>
    </row>
    <row r="211" spans="1:7" customFormat="1" ht="15.75">
      <c r="A211" s="101"/>
      <c r="B211" s="10" t="str">
        <f>IFERROR(VLOOKUP(A211,Bel!A:F,6,0),"")</f>
        <v/>
      </c>
      <c r="C211" s="32" t="str">
        <f>IFERROR(VLOOKUP(A211,Bel!A:G,7,0),"")</f>
        <v/>
      </c>
      <c r="D211" s="54"/>
      <c r="E211" s="35" t="str">
        <f>IFERROR(VLOOKUP(D211,Bel!$E:$G,3,0),"")</f>
        <v/>
      </c>
      <c r="F211" s="38"/>
      <c r="G211" s="1"/>
    </row>
    <row r="212" spans="1:7" customFormat="1" ht="15.75">
      <c r="A212" s="101"/>
      <c r="B212" s="10" t="str">
        <f>IFERROR(VLOOKUP(A212,Bel!A:F,6,0),"")</f>
        <v/>
      </c>
      <c r="C212" s="32" t="str">
        <f>IFERROR(VLOOKUP(A212,Bel!A:G,7,0),"")</f>
        <v/>
      </c>
      <c r="D212" s="54"/>
      <c r="E212" s="35" t="str">
        <f>IFERROR(VLOOKUP(D212,Bel!$E:$G,3,0),"")</f>
        <v/>
      </c>
      <c r="F212" s="38"/>
      <c r="G212" s="1"/>
    </row>
    <row r="213" spans="1:7" customFormat="1" ht="15.75">
      <c r="A213" s="101"/>
      <c r="B213" s="10" t="str">
        <f>IFERROR(VLOOKUP(A213,Bel!A:F,6,0),"")</f>
        <v/>
      </c>
      <c r="C213" s="32" t="str">
        <f>IFERROR(VLOOKUP(A213,Bel!A:G,7,0),"")</f>
        <v/>
      </c>
      <c r="D213" s="54"/>
      <c r="E213" s="35" t="str">
        <f>IFERROR(VLOOKUP(D213,Bel!$E:$G,3,0),"")</f>
        <v/>
      </c>
      <c r="F213" s="38"/>
      <c r="G213" s="1"/>
    </row>
    <row r="214" spans="1:7" customFormat="1" ht="15.75">
      <c r="A214" s="101"/>
      <c r="B214" s="10" t="str">
        <f>IFERROR(VLOOKUP(A214,Bel!A:F,6,0),"")</f>
        <v/>
      </c>
      <c r="C214" s="32" t="str">
        <f>IFERROR(VLOOKUP(A214,Bel!A:G,7,0),"")</f>
        <v/>
      </c>
      <c r="D214" s="54"/>
      <c r="E214" s="35" t="str">
        <f>IFERROR(VLOOKUP(D214,Bel!$E:$G,3,0),"")</f>
        <v/>
      </c>
      <c r="F214" s="38"/>
      <c r="G214" s="1"/>
    </row>
    <row r="215" spans="1:7" customFormat="1" ht="15.75">
      <c r="A215" s="101"/>
      <c r="B215" s="10" t="str">
        <f>IFERROR(VLOOKUP(A215,Bel!A:F,6,0),"")</f>
        <v/>
      </c>
      <c r="C215" s="32" t="str">
        <f>IFERROR(VLOOKUP(A215,Bel!A:G,7,0),"")</f>
        <v/>
      </c>
      <c r="D215" s="54"/>
      <c r="E215" s="35" t="str">
        <f>IFERROR(VLOOKUP(D215,Bel!$E:$G,3,0),"")</f>
        <v/>
      </c>
      <c r="F215" s="38"/>
      <c r="G215" s="1"/>
    </row>
    <row r="216" spans="1:7" customFormat="1" ht="15.75">
      <c r="A216" s="101"/>
      <c r="B216" s="10" t="str">
        <f>IFERROR(VLOOKUP(A216,Bel!A:F,6,0),"")</f>
        <v/>
      </c>
      <c r="C216" s="32" t="str">
        <f>IFERROR(VLOOKUP(A216,Bel!A:G,7,0),"")</f>
        <v/>
      </c>
      <c r="D216" s="54"/>
      <c r="E216" s="35" t="str">
        <f>IFERROR(VLOOKUP(D216,Bel!$E:$G,3,0),"")</f>
        <v/>
      </c>
      <c r="F216" s="38"/>
      <c r="G216" s="1"/>
    </row>
    <row r="217" spans="1:7" customFormat="1" ht="15.75">
      <c r="A217" s="101"/>
      <c r="B217" s="10" t="str">
        <f>IFERROR(VLOOKUP(A217,Bel!A:F,6,0),"")</f>
        <v/>
      </c>
      <c r="C217" s="32" t="str">
        <f>IFERROR(VLOOKUP(A217,Bel!A:G,7,0),"")</f>
        <v/>
      </c>
      <c r="D217" s="54"/>
      <c r="E217" s="35" t="str">
        <f>IFERROR(VLOOKUP(D217,Bel!$E:$G,3,0),"")</f>
        <v/>
      </c>
      <c r="F217" s="38"/>
      <c r="G217" s="1"/>
    </row>
    <row r="218" spans="1:7" customFormat="1" ht="15.75">
      <c r="A218" s="101"/>
      <c r="B218" s="10" t="str">
        <f>IFERROR(VLOOKUP(A218,Bel!A:F,6,0),"")</f>
        <v/>
      </c>
      <c r="C218" s="32" t="str">
        <f>IFERROR(VLOOKUP(A218,Bel!A:G,7,0),"")</f>
        <v/>
      </c>
      <c r="D218" s="54"/>
      <c r="E218" s="35" t="str">
        <f>IFERROR(VLOOKUP(D218,Bel!$E:$G,3,0),"")</f>
        <v/>
      </c>
      <c r="F218" s="38"/>
      <c r="G218" s="1"/>
    </row>
    <row r="219" spans="1:7" customFormat="1" ht="15.75">
      <c r="A219" s="101"/>
      <c r="B219" s="10" t="str">
        <f>IFERROR(VLOOKUP(A219,Bel!A:F,6,0),"")</f>
        <v/>
      </c>
      <c r="C219" s="32" t="str">
        <f>IFERROR(VLOOKUP(A219,Bel!A:G,7,0),"")</f>
        <v/>
      </c>
      <c r="D219" s="54"/>
      <c r="E219" s="35" t="str">
        <f>IFERROR(VLOOKUP(D219,Bel!$E:$G,3,0),"")</f>
        <v/>
      </c>
      <c r="F219" s="38"/>
      <c r="G219" s="1"/>
    </row>
    <row r="220" spans="1:7" customFormat="1" ht="15.75">
      <c r="A220" s="101"/>
      <c r="B220" s="10" t="str">
        <f>IFERROR(VLOOKUP(A220,Bel!A:F,6,0),"")</f>
        <v/>
      </c>
      <c r="C220" s="32" t="str">
        <f>IFERROR(VLOOKUP(A220,Bel!A:G,7,0),"")</f>
        <v/>
      </c>
      <c r="D220" s="54"/>
      <c r="E220" s="35" t="str">
        <f>IFERROR(VLOOKUP(D220,Bel!$E:$G,3,0),"")</f>
        <v/>
      </c>
      <c r="F220" s="38"/>
      <c r="G220" s="1"/>
    </row>
    <row r="221" spans="1:7" customFormat="1" ht="15.75">
      <c r="A221" s="101"/>
      <c r="B221" s="10" t="str">
        <f>IFERROR(VLOOKUP(A221,Bel!A:F,6,0),"")</f>
        <v/>
      </c>
      <c r="C221" s="32" t="str">
        <f>IFERROR(VLOOKUP(A221,Bel!A:G,7,0),"")</f>
        <v/>
      </c>
      <c r="D221" s="54"/>
      <c r="E221" s="35" t="str">
        <f>IFERROR(VLOOKUP(D221,Bel!$E:$G,3,0),"")</f>
        <v/>
      </c>
      <c r="F221" s="38"/>
      <c r="G221" s="1"/>
    </row>
    <row r="222" spans="1:7" customFormat="1" ht="15.75">
      <c r="A222" s="101"/>
      <c r="B222" s="10" t="str">
        <f>IFERROR(VLOOKUP(A222,Bel!A:F,6,0),"")</f>
        <v/>
      </c>
      <c r="C222" s="32" t="str">
        <f>IFERROR(VLOOKUP(A222,Bel!A:G,7,0),"")</f>
        <v/>
      </c>
      <c r="D222" s="54"/>
      <c r="E222" s="35" t="str">
        <f>IFERROR(VLOOKUP(D222,Bel!$E:$G,3,0),"")</f>
        <v/>
      </c>
      <c r="F222" s="38"/>
      <c r="G222" s="1"/>
    </row>
    <row r="223" spans="1:7" customFormat="1" ht="15.75">
      <c r="A223" s="101"/>
      <c r="B223" s="10" t="str">
        <f>IFERROR(VLOOKUP(A223,Bel!A:F,6,0),"")</f>
        <v/>
      </c>
      <c r="C223" s="32" t="str">
        <f>IFERROR(VLOOKUP(A223,Bel!A:G,7,0),"")</f>
        <v/>
      </c>
      <c r="D223" s="54"/>
      <c r="E223" s="35" t="str">
        <f>IFERROR(VLOOKUP(D223,Bel!$E:$G,3,0),"")</f>
        <v/>
      </c>
      <c r="F223" s="38"/>
      <c r="G223" s="1"/>
    </row>
    <row r="224" spans="1:7" customFormat="1" ht="15.75">
      <c r="A224" s="101"/>
      <c r="B224" s="10" t="str">
        <f>IFERROR(VLOOKUP(A224,Bel!A:F,6,0),"")</f>
        <v/>
      </c>
      <c r="C224" s="32" t="str">
        <f>IFERROR(VLOOKUP(A224,Bel!A:G,7,0),"")</f>
        <v/>
      </c>
      <c r="D224" s="54"/>
      <c r="E224" s="35" t="str">
        <f>IFERROR(VLOOKUP(D224,Bel!$E:$G,3,0),"")</f>
        <v/>
      </c>
      <c r="F224" s="38"/>
      <c r="G224" s="1"/>
    </row>
    <row r="225" spans="1:7" customFormat="1" ht="15.75">
      <c r="A225" s="101"/>
      <c r="B225" s="10" t="str">
        <f>IFERROR(VLOOKUP(A225,Bel!A:F,6,0),"")</f>
        <v/>
      </c>
      <c r="C225" s="32" t="str">
        <f>IFERROR(VLOOKUP(A225,Bel!A:G,7,0),"")</f>
        <v/>
      </c>
      <c r="D225" s="54"/>
      <c r="E225" s="35" t="str">
        <f>IFERROR(VLOOKUP(D225,Bel!$E:$G,3,0),"")</f>
        <v/>
      </c>
      <c r="F225" s="38"/>
      <c r="G225" s="1"/>
    </row>
    <row r="226" spans="1:7" customFormat="1" ht="15.75">
      <c r="A226" s="101"/>
      <c r="B226" s="10" t="str">
        <f>IFERROR(VLOOKUP(A226,Bel!A:F,6,0),"")</f>
        <v/>
      </c>
      <c r="C226" s="32" t="str">
        <f>IFERROR(VLOOKUP(A226,Bel!A:G,7,0),"")</f>
        <v/>
      </c>
      <c r="D226" s="54"/>
      <c r="E226" s="35" t="str">
        <f>IFERROR(VLOOKUP(D226,Bel!$E:$G,3,0),"")</f>
        <v/>
      </c>
      <c r="F226" s="38"/>
      <c r="G226" s="1"/>
    </row>
    <row r="227" spans="1:7" customFormat="1" ht="15.75">
      <c r="A227" s="101"/>
      <c r="B227" s="10" t="str">
        <f>IFERROR(VLOOKUP(A227,Bel!A:F,6,0),"")</f>
        <v/>
      </c>
      <c r="C227" s="32" t="str">
        <f>IFERROR(VLOOKUP(A227,Bel!A:G,7,0),"")</f>
        <v/>
      </c>
      <c r="D227" s="54"/>
      <c r="E227" s="35" t="str">
        <f>IFERROR(VLOOKUP(D227,Bel!$E:$G,3,0),"")</f>
        <v/>
      </c>
      <c r="F227" s="38"/>
      <c r="G227" s="1"/>
    </row>
    <row r="228" spans="1:7" customFormat="1" ht="15.75">
      <c r="A228" s="101"/>
      <c r="B228" s="10" t="str">
        <f>IFERROR(VLOOKUP(A228,Bel!A:F,6,0),"")</f>
        <v/>
      </c>
      <c r="C228" s="32" t="str">
        <f>IFERROR(VLOOKUP(A228,Bel!A:G,7,0),"")</f>
        <v/>
      </c>
      <c r="D228" s="54"/>
      <c r="E228" s="35" t="str">
        <f>IFERROR(VLOOKUP(D228,Bel!$E:$G,3,0),"")</f>
        <v/>
      </c>
      <c r="F228" s="38"/>
      <c r="G228" s="1"/>
    </row>
    <row r="229" spans="1:7" customFormat="1" ht="15.75">
      <c r="A229" s="101"/>
      <c r="B229" s="10" t="str">
        <f>IFERROR(VLOOKUP(A229,Bel!A:F,6,0),"")</f>
        <v/>
      </c>
      <c r="C229" s="32" t="str">
        <f>IFERROR(VLOOKUP(A229,Bel!A:G,7,0),"")</f>
        <v/>
      </c>
      <c r="D229" s="54"/>
      <c r="E229" s="35" t="str">
        <f>IFERROR(VLOOKUP(D229,Bel!$E:$G,3,0),"")</f>
        <v/>
      </c>
      <c r="F229" s="38"/>
      <c r="G229" s="1"/>
    </row>
    <row r="230" spans="1:7" customFormat="1" ht="15.75">
      <c r="A230" s="101"/>
      <c r="B230" s="10" t="str">
        <f>IFERROR(VLOOKUP(A230,Bel!A:F,6,0),"")</f>
        <v/>
      </c>
      <c r="C230" s="32" t="str">
        <f>IFERROR(VLOOKUP(A230,Bel!A:G,7,0),"")</f>
        <v/>
      </c>
      <c r="D230" s="54"/>
      <c r="E230" s="35" t="str">
        <f>IFERROR(VLOOKUP(D230,Bel!$E:$G,3,0),"")</f>
        <v/>
      </c>
      <c r="F230" s="38"/>
      <c r="G230" s="1"/>
    </row>
    <row r="231" spans="1:7" customFormat="1" ht="15.75">
      <c r="A231" s="101"/>
      <c r="B231" s="10" t="str">
        <f>IFERROR(VLOOKUP(A231,Bel!A:F,6,0),"")</f>
        <v/>
      </c>
      <c r="C231" s="32" t="str">
        <f>IFERROR(VLOOKUP(A231,Bel!A:G,7,0),"")</f>
        <v/>
      </c>
      <c r="D231" s="54"/>
      <c r="E231" s="35" t="str">
        <f>IFERROR(VLOOKUP(D231,Bel!$E:$G,3,0),"")</f>
        <v/>
      </c>
      <c r="F231" s="38"/>
      <c r="G231" s="1"/>
    </row>
    <row r="232" spans="1:7" customFormat="1" ht="15.75">
      <c r="A232" s="101"/>
      <c r="B232" s="10" t="str">
        <f>IFERROR(VLOOKUP(A232,Bel!A:F,6,0),"")</f>
        <v/>
      </c>
      <c r="C232" s="32" t="str">
        <f>IFERROR(VLOOKUP(A232,Bel!A:G,7,0),"")</f>
        <v/>
      </c>
      <c r="D232" s="54"/>
      <c r="E232" s="35" t="str">
        <f>IFERROR(VLOOKUP(D232,Bel!$E:$G,3,0),"")</f>
        <v/>
      </c>
      <c r="F232" s="38"/>
      <c r="G232" s="1"/>
    </row>
    <row r="233" spans="1:7" customFormat="1" ht="15.75">
      <c r="A233" s="101"/>
      <c r="B233" s="10" t="str">
        <f>IFERROR(VLOOKUP(A233,Bel!A:F,6,0),"")</f>
        <v/>
      </c>
      <c r="C233" s="32" t="str">
        <f>IFERROR(VLOOKUP(A233,Bel!A:G,7,0),"")</f>
        <v/>
      </c>
      <c r="D233" s="54"/>
      <c r="E233" s="35" t="str">
        <f>IFERROR(VLOOKUP(D233,Bel!$E:$G,3,0),"")</f>
        <v/>
      </c>
      <c r="F233" s="38"/>
      <c r="G233" s="1"/>
    </row>
    <row r="234" spans="1:7" customFormat="1" ht="15.75">
      <c r="A234" s="101"/>
      <c r="B234" s="10" t="str">
        <f>IFERROR(VLOOKUP(A234,Bel!A:F,6,0),"")</f>
        <v/>
      </c>
      <c r="C234" s="32" t="str">
        <f>IFERROR(VLOOKUP(A234,Bel!A:G,7,0),"")</f>
        <v/>
      </c>
      <c r="D234" s="54"/>
      <c r="E234" s="35" t="str">
        <f>IFERROR(VLOOKUP(D234,Bel!$E:$G,3,0),"")</f>
        <v/>
      </c>
      <c r="F234" s="38"/>
      <c r="G234" s="1"/>
    </row>
    <row r="235" spans="1:7" customFormat="1" ht="15.75">
      <c r="A235" s="101"/>
      <c r="B235" s="10" t="str">
        <f>IFERROR(VLOOKUP(A235,Bel!A:F,6,0),"")</f>
        <v/>
      </c>
      <c r="C235" s="32" t="str">
        <f>IFERROR(VLOOKUP(A235,Bel!A:G,7,0),"")</f>
        <v/>
      </c>
      <c r="D235" s="54"/>
      <c r="E235" s="35" t="str">
        <f>IFERROR(VLOOKUP(D235,Bel!$E:$G,3,0),"")</f>
        <v/>
      </c>
      <c r="F235" s="38"/>
      <c r="G235" s="1"/>
    </row>
    <row r="236" spans="1:7" customFormat="1" ht="15.75">
      <c r="A236" s="101"/>
      <c r="B236" s="10" t="str">
        <f>IFERROR(VLOOKUP(A236,Bel!A:F,6,0),"")</f>
        <v/>
      </c>
      <c r="C236" s="32" t="str">
        <f>IFERROR(VLOOKUP(A236,Bel!A:G,7,0),"")</f>
        <v/>
      </c>
      <c r="D236" s="54"/>
      <c r="E236" s="35" t="str">
        <f>IFERROR(VLOOKUP(D236,Bel!$E:$G,3,0),"")</f>
        <v/>
      </c>
      <c r="F236" s="38"/>
      <c r="G236" s="1"/>
    </row>
    <row r="237" spans="1:7" customFormat="1" ht="15.75">
      <c r="A237" s="101"/>
      <c r="B237" s="10" t="str">
        <f>IFERROR(VLOOKUP(A237,Bel!A:F,6,0),"")</f>
        <v/>
      </c>
      <c r="C237" s="32" t="str">
        <f>IFERROR(VLOOKUP(A237,Bel!A:G,7,0),"")</f>
        <v/>
      </c>
      <c r="D237" s="54"/>
      <c r="E237" s="35" t="str">
        <f>IFERROR(VLOOKUP(D237,Bel!$E:$G,3,0),"")</f>
        <v/>
      </c>
      <c r="F237" s="38"/>
      <c r="G237" s="1"/>
    </row>
    <row r="238" spans="1:7" customFormat="1" ht="15.75">
      <c r="A238" s="101"/>
      <c r="B238" s="10" t="str">
        <f>IFERROR(VLOOKUP(A238,Bel!A:F,6,0),"")</f>
        <v/>
      </c>
      <c r="C238" s="32" t="str">
        <f>IFERROR(VLOOKUP(A238,Bel!A:G,7,0),"")</f>
        <v/>
      </c>
      <c r="D238" s="54"/>
      <c r="E238" s="35" t="str">
        <f>IFERROR(VLOOKUP(D238,Bel!$E:$G,3,0),"")</f>
        <v/>
      </c>
      <c r="F238" s="38"/>
      <c r="G238" s="1"/>
    </row>
    <row r="239" spans="1:7" customFormat="1" ht="15.75">
      <c r="A239" s="101"/>
      <c r="B239" s="10" t="str">
        <f>IFERROR(VLOOKUP(A239,Bel!A:F,6,0),"")</f>
        <v/>
      </c>
      <c r="C239" s="32" t="str">
        <f>IFERROR(VLOOKUP(A239,Bel!A:G,7,0),"")</f>
        <v/>
      </c>
      <c r="D239" s="54"/>
      <c r="E239" s="35" t="str">
        <f>IFERROR(VLOOKUP(D239,Bel!$E:$G,3,0),"")</f>
        <v/>
      </c>
      <c r="F239" s="38"/>
      <c r="G239" s="1"/>
    </row>
    <row r="240" spans="1:7" customFormat="1" ht="15.75">
      <c r="A240" s="101"/>
      <c r="B240" s="10" t="str">
        <f>IFERROR(VLOOKUP(A240,Bel!A:F,6,0),"")</f>
        <v/>
      </c>
      <c r="C240" s="32" t="str">
        <f>IFERROR(VLOOKUP(A240,Bel!A:G,7,0),"")</f>
        <v/>
      </c>
      <c r="D240" s="54"/>
      <c r="E240" s="35" t="str">
        <f>IFERROR(VLOOKUP(D240,Bel!$E:$G,3,0),"")</f>
        <v/>
      </c>
      <c r="F240" s="38"/>
      <c r="G240" s="1"/>
    </row>
    <row r="241" spans="1:7" customFormat="1" ht="15.75">
      <c r="A241" s="101"/>
      <c r="B241" s="10" t="str">
        <f>IFERROR(VLOOKUP(A241,Bel!A:F,6,0),"")</f>
        <v/>
      </c>
      <c r="C241" s="32" t="str">
        <f>IFERROR(VLOOKUP(A241,Bel!A:G,7,0),"")</f>
        <v/>
      </c>
      <c r="D241" s="54"/>
      <c r="E241" s="35" t="str">
        <f>IFERROR(VLOOKUP(D241,Bel!$E:$G,3,0),"")</f>
        <v/>
      </c>
      <c r="F241" s="38"/>
      <c r="G241" s="1"/>
    </row>
    <row r="242" spans="1:7" customFormat="1" ht="15.75">
      <c r="A242" s="101"/>
      <c r="B242" s="10" t="str">
        <f>IFERROR(VLOOKUP(A242,Bel!A:F,6,0),"")</f>
        <v/>
      </c>
      <c r="C242" s="32" t="str">
        <f>IFERROR(VLOOKUP(A242,Bel!A:G,7,0),"")</f>
        <v/>
      </c>
      <c r="D242" s="54"/>
      <c r="E242" s="35" t="str">
        <f>IFERROR(VLOOKUP(D242,Bel!$E:$G,3,0),"")</f>
        <v/>
      </c>
      <c r="F242" s="38"/>
      <c r="G242" s="1"/>
    </row>
    <row r="243" spans="1:7" customFormat="1" ht="15.75">
      <c r="A243" s="101"/>
      <c r="B243" s="10" t="str">
        <f>IFERROR(VLOOKUP(A243,Bel!A:F,6,0),"")</f>
        <v/>
      </c>
      <c r="C243" s="32" t="str">
        <f>IFERROR(VLOOKUP(A243,Bel!A:G,7,0),"")</f>
        <v/>
      </c>
      <c r="D243" s="54"/>
      <c r="E243" s="35" t="str">
        <f>IFERROR(VLOOKUP(D243,Bel!$E:$G,3,0),"")</f>
        <v/>
      </c>
      <c r="F243" s="38"/>
      <c r="G243" s="1"/>
    </row>
    <row r="244" spans="1:7" customFormat="1" ht="15.75">
      <c r="A244" s="101"/>
      <c r="B244" s="10" t="str">
        <f>IFERROR(VLOOKUP(A244,Bel!A:F,6,0),"")</f>
        <v/>
      </c>
      <c r="C244" s="32" t="str">
        <f>IFERROR(VLOOKUP(A244,Bel!A:G,7,0),"")</f>
        <v/>
      </c>
      <c r="D244" s="54"/>
      <c r="E244" s="35" t="str">
        <f>IFERROR(VLOOKUP(D244,Bel!$E:$G,3,0),"")</f>
        <v/>
      </c>
      <c r="F244" s="38"/>
      <c r="G244" s="1"/>
    </row>
    <row r="245" spans="1:7" customFormat="1" ht="15.75">
      <c r="A245" s="101"/>
      <c r="B245" s="10" t="str">
        <f>IFERROR(VLOOKUP(A245,Bel!A:F,6,0),"")</f>
        <v/>
      </c>
      <c r="C245" s="32" t="str">
        <f>IFERROR(VLOOKUP(A245,Bel!A:G,7,0),"")</f>
        <v/>
      </c>
      <c r="D245" s="54"/>
      <c r="E245" s="35" t="str">
        <f>IFERROR(VLOOKUP(D245,Bel!$E:$G,3,0),"")</f>
        <v/>
      </c>
      <c r="F245" s="38"/>
      <c r="G245" s="1"/>
    </row>
    <row r="246" spans="1:7" customFormat="1" ht="15.75">
      <c r="A246" s="101"/>
      <c r="B246" s="10" t="str">
        <f>IFERROR(VLOOKUP(A246,Bel!A:F,6,0),"")</f>
        <v/>
      </c>
      <c r="C246" s="32" t="str">
        <f>IFERROR(VLOOKUP(A246,Bel!A:G,7,0),"")</f>
        <v/>
      </c>
      <c r="D246" s="54"/>
      <c r="E246" s="35" t="str">
        <f>IFERROR(VLOOKUP(D246,Bel!$E:$G,3,0),"")</f>
        <v/>
      </c>
      <c r="F246" s="38"/>
      <c r="G246" s="1"/>
    </row>
    <row r="247" spans="1:7" customFormat="1" ht="15.75">
      <c r="A247" s="101"/>
      <c r="B247" s="10" t="str">
        <f>IFERROR(VLOOKUP(A247,Bel!A:F,6,0),"")</f>
        <v/>
      </c>
      <c r="C247" s="32" t="str">
        <f>IFERROR(VLOOKUP(A247,Bel!A:G,7,0),"")</f>
        <v/>
      </c>
      <c r="D247" s="54"/>
      <c r="E247" s="35" t="str">
        <f>IFERROR(VLOOKUP(D247,Bel!$E:$G,3,0),"")</f>
        <v/>
      </c>
      <c r="F247" s="38"/>
      <c r="G247" s="1"/>
    </row>
    <row r="248" spans="1:7" customFormat="1" ht="15.75">
      <c r="A248" s="101"/>
      <c r="B248" s="10" t="str">
        <f>IFERROR(VLOOKUP(A248,Bel!A:F,6,0),"")</f>
        <v/>
      </c>
      <c r="C248" s="32" t="str">
        <f>IFERROR(VLOOKUP(A248,Bel!A:G,7,0),"")</f>
        <v/>
      </c>
      <c r="D248" s="54"/>
      <c r="E248" s="35" t="str">
        <f>IFERROR(VLOOKUP(D248,Bel!$E:$G,3,0),"")</f>
        <v/>
      </c>
      <c r="F248" s="38"/>
      <c r="G248" s="1"/>
    </row>
    <row r="249" spans="1:7" customFormat="1" ht="15.75">
      <c r="A249" s="101"/>
      <c r="B249" s="10" t="str">
        <f>IFERROR(VLOOKUP(A249,Bel!A:F,6,0),"")</f>
        <v/>
      </c>
      <c r="C249" s="32" t="str">
        <f>IFERROR(VLOOKUP(A249,Bel!A:G,7,0),"")</f>
        <v/>
      </c>
      <c r="D249" s="54"/>
      <c r="E249" s="35" t="str">
        <f>IFERROR(VLOOKUP(D249,Bel!$E:$G,3,0),"")</f>
        <v/>
      </c>
      <c r="F249" s="38"/>
      <c r="G249" s="1"/>
    </row>
    <row r="250" spans="1:7" customFormat="1" ht="15.75">
      <c r="A250" s="101"/>
      <c r="B250" s="10" t="str">
        <f>IFERROR(VLOOKUP(A250,Bel!A:F,6,0),"")</f>
        <v/>
      </c>
      <c r="C250" s="32" t="str">
        <f>IFERROR(VLOOKUP(A250,Bel!A:G,7,0),"")</f>
        <v/>
      </c>
      <c r="D250" s="54"/>
      <c r="E250" s="35" t="str">
        <f>IFERROR(VLOOKUP(D250,Bel!$E:$G,3,0),"")</f>
        <v/>
      </c>
      <c r="F250" s="38"/>
      <c r="G250" s="1"/>
    </row>
    <row r="251" spans="1:7" customFormat="1" ht="15.75">
      <c r="A251" s="101"/>
      <c r="B251" s="10" t="str">
        <f>IFERROR(VLOOKUP(A251,Bel!A:F,6,0),"")</f>
        <v/>
      </c>
      <c r="C251" s="32" t="str">
        <f>IFERROR(VLOOKUP(A251,Bel!A:G,7,0),"")</f>
        <v/>
      </c>
      <c r="D251" s="54"/>
      <c r="E251" s="35" t="str">
        <f>IFERROR(VLOOKUP(D251,Bel!$E:$G,3,0),"")</f>
        <v/>
      </c>
      <c r="F251" s="38"/>
      <c r="G251" s="1"/>
    </row>
    <row r="252" spans="1:7" customFormat="1" ht="15.75">
      <c r="A252" s="101"/>
      <c r="B252" s="10" t="str">
        <f>IFERROR(VLOOKUP(A252,Bel!A:F,6,0),"")</f>
        <v/>
      </c>
      <c r="C252" s="32" t="str">
        <f>IFERROR(VLOOKUP(A252,Bel!A:G,7,0),"")</f>
        <v/>
      </c>
      <c r="D252" s="54"/>
      <c r="E252" s="35" t="str">
        <f>IFERROR(VLOOKUP(D252,Bel!$E:$G,3,0),"")</f>
        <v/>
      </c>
      <c r="F252" s="38"/>
      <c r="G252" s="1"/>
    </row>
    <row r="253" spans="1:7" customFormat="1" ht="15.75">
      <c r="A253" s="101"/>
      <c r="B253" s="10" t="str">
        <f>IFERROR(VLOOKUP(A253,Bel!A:F,6,0),"")</f>
        <v/>
      </c>
      <c r="C253" s="32" t="str">
        <f>IFERROR(VLOOKUP(A253,Bel!A:G,7,0),"")</f>
        <v/>
      </c>
      <c r="D253" s="54"/>
      <c r="E253" s="35" t="str">
        <f>IFERROR(VLOOKUP(D253,Bel!$E:$G,3,0),"")</f>
        <v/>
      </c>
      <c r="F253" s="38"/>
      <c r="G253" s="1"/>
    </row>
    <row r="254" spans="1:7" customFormat="1" ht="15.75">
      <c r="A254" s="101"/>
      <c r="B254" s="10" t="str">
        <f>IFERROR(VLOOKUP(A254,Bel!A:F,6,0),"")</f>
        <v/>
      </c>
      <c r="C254" s="32" t="str">
        <f>IFERROR(VLOOKUP(A254,Bel!A:G,7,0),"")</f>
        <v/>
      </c>
      <c r="D254" s="54"/>
      <c r="E254" s="35" t="str">
        <f>IFERROR(VLOOKUP(D254,Bel!$E:$G,3,0),"")</f>
        <v/>
      </c>
      <c r="F254" s="38"/>
      <c r="G254" s="1"/>
    </row>
    <row r="255" spans="1:7" customFormat="1" ht="15.75">
      <c r="A255" s="101"/>
      <c r="B255" s="10" t="str">
        <f>IFERROR(VLOOKUP(A255,Bel!A:F,6,0),"")</f>
        <v/>
      </c>
      <c r="C255" s="32" t="str">
        <f>IFERROR(VLOOKUP(A255,Bel!A:G,7,0),"")</f>
        <v/>
      </c>
      <c r="D255" s="54"/>
      <c r="E255" s="35" t="str">
        <f>IFERROR(VLOOKUP(D255,Bel!$E:$G,3,0),"")</f>
        <v/>
      </c>
      <c r="F255" s="38"/>
      <c r="G255" s="1"/>
    </row>
    <row r="256" spans="1:7" customFormat="1" ht="15.75">
      <c r="A256" s="101"/>
      <c r="B256" s="10" t="str">
        <f>IFERROR(VLOOKUP(A256,Bel!A:F,6,0),"")</f>
        <v/>
      </c>
      <c r="C256" s="32" t="str">
        <f>IFERROR(VLOOKUP(A256,Bel!A:G,7,0),"")</f>
        <v/>
      </c>
      <c r="D256" s="54"/>
      <c r="E256" s="35" t="str">
        <f>IFERROR(VLOOKUP(D256,Bel!$E:$G,3,0),"")</f>
        <v/>
      </c>
      <c r="F256" s="38"/>
      <c r="G256" s="1"/>
    </row>
    <row r="257" spans="1:7" customFormat="1" ht="15.75">
      <c r="A257" s="101"/>
      <c r="B257" s="10" t="str">
        <f>IFERROR(VLOOKUP(A257,Bel!A:F,6,0),"")</f>
        <v/>
      </c>
      <c r="C257" s="32" t="str">
        <f>IFERROR(VLOOKUP(A257,Bel!A:G,7,0),"")</f>
        <v/>
      </c>
      <c r="D257" s="54"/>
      <c r="E257" s="35" t="str">
        <f>IFERROR(VLOOKUP(D257,Bel!$E:$G,3,0),"")</f>
        <v/>
      </c>
      <c r="F257" s="38"/>
      <c r="G257" s="1"/>
    </row>
    <row r="258" spans="1:7" customFormat="1" ht="15.75">
      <c r="A258" s="101"/>
      <c r="B258" s="10" t="str">
        <f>IFERROR(VLOOKUP(A258,Bel!A:F,6,0),"")</f>
        <v/>
      </c>
      <c r="C258" s="32" t="str">
        <f>IFERROR(VLOOKUP(A258,Bel!A:G,7,0),"")</f>
        <v/>
      </c>
      <c r="D258" s="54"/>
      <c r="E258" s="35" t="str">
        <f>IFERROR(VLOOKUP(D258,Bel!$E:$G,3,0),"")</f>
        <v/>
      </c>
      <c r="F258" s="38"/>
      <c r="G258" s="1"/>
    </row>
    <row r="259" spans="1:7" customFormat="1" ht="15.75">
      <c r="A259" s="101"/>
      <c r="B259" s="10" t="str">
        <f>IFERROR(VLOOKUP(A259,Bel!A:F,6,0),"")</f>
        <v/>
      </c>
      <c r="C259" s="32" t="str">
        <f>IFERROR(VLOOKUP(A259,Bel!A:G,7,0),"")</f>
        <v/>
      </c>
      <c r="D259" s="54"/>
      <c r="E259" s="35" t="str">
        <f>IFERROR(VLOOKUP(D259,Bel!$E:$G,3,0),"")</f>
        <v/>
      </c>
      <c r="F259" s="38"/>
      <c r="G259" s="1"/>
    </row>
    <row r="260" spans="1:7" customFormat="1" ht="15.75">
      <c r="A260" s="101"/>
      <c r="B260" s="10" t="str">
        <f>IFERROR(VLOOKUP(A260,Bel!A:F,6,0),"")</f>
        <v/>
      </c>
      <c r="C260" s="32" t="str">
        <f>IFERROR(VLOOKUP(A260,Bel!A:G,7,0),"")</f>
        <v/>
      </c>
      <c r="D260" s="54"/>
      <c r="E260" s="35" t="str">
        <f>IFERROR(VLOOKUP(D260,Bel!$E:$G,3,0),"")</f>
        <v/>
      </c>
      <c r="F260" s="38"/>
      <c r="G260" s="1"/>
    </row>
    <row r="261" spans="1:7" customFormat="1" ht="15.75">
      <c r="A261" s="101"/>
      <c r="B261" s="10" t="str">
        <f>IFERROR(VLOOKUP(A261,Bel!A:F,6,0),"")</f>
        <v/>
      </c>
      <c r="C261" s="32" t="str">
        <f>IFERROR(VLOOKUP(A261,Bel!A:G,7,0),"")</f>
        <v/>
      </c>
      <c r="D261" s="54"/>
      <c r="E261" s="35" t="str">
        <f>IFERROR(VLOOKUP(D261,Bel!$E:$G,3,0),"")</f>
        <v/>
      </c>
      <c r="F261" s="38"/>
      <c r="G261" s="1"/>
    </row>
    <row r="262" spans="1:7" customFormat="1" ht="15.75">
      <c r="A262" s="101"/>
      <c r="B262" s="10" t="str">
        <f>IFERROR(VLOOKUP(A262,Bel!A:F,6,0),"")</f>
        <v/>
      </c>
      <c r="C262" s="32" t="str">
        <f>IFERROR(VLOOKUP(A262,Bel!A:G,7,0),"")</f>
        <v/>
      </c>
      <c r="D262" s="54"/>
      <c r="E262" s="35" t="str">
        <f>IFERROR(VLOOKUP(D262,Bel!$E:$G,3,0),"")</f>
        <v/>
      </c>
      <c r="F262" s="38"/>
      <c r="G262" s="1"/>
    </row>
    <row r="263" spans="1:7" customFormat="1" ht="15.75">
      <c r="A263" s="101"/>
      <c r="B263" s="10" t="str">
        <f>IFERROR(VLOOKUP(A263,Bel!A:F,6,0),"")</f>
        <v/>
      </c>
      <c r="C263" s="32" t="str">
        <f>IFERROR(VLOOKUP(A263,Bel!A:G,7,0),"")</f>
        <v/>
      </c>
      <c r="D263" s="54"/>
      <c r="E263" s="35" t="str">
        <f>IFERROR(VLOOKUP(D263,Bel!$E:$G,3,0),"")</f>
        <v/>
      </c>
      <c r="F263" s="38"/>
      <c r="G263" s="1"/>
    </row>
    <row r="264" spans="1:7" customFormat="1" ht="15.75">
      <c r="A264" s="101"/>
      <c r="B264" s="10" t="str">
        <f>IFERROR(VLOOKUP(A264,Bel!A:F,6,0),"")</f>
        <v/>
      </c>
      <c r="C264" s="32" t="str">
        <f>IFERROR(VLOOKUP(A264,Bel!A:G,7,0),"")</f>
        <v/>
      </c>
      <c r="D264" s="54"/>
      <c r="E264" s="35" t="str">
        <f>IFERROR(VLOOKUP(D264,Bel!$E:$G,3,0),"")</f>
        <v/>
      </c>
      <c r="F264" s="38"/>
      <c r="G264" s="1"/>
    </row>
    <row r="265" spans="1:7" customFormat="1" ht="15.75">
      <c r="A265" s="101"/>
      <c r="B265" s="10" t="str">
        <f>IFERROR(VLOOKUP(A265,Bel!A:F,6,0),"")</f>
        <v/>
      </c>
      <c r="C265" s="32" t="str">
        <f>IFERROR(VLOOKUP(A265,Bel!A:G,7,0),"")</f>
        <v/>
      </c>
      <c r="D265" s="54"/>
      <c r="E265" s="35" t="str">
        <f>IFERROR(VLOOKUP(D265,Bel!$E:$G,3,0),"")</f>
        <v/>
      </c>
      <c r="F265" s="38"/>
      <c r="G265" s="1"/>
    </row>
    <row r="266" spans="1:7" customFormat="1" ht="15.75">
      <c r="A266" s="101"/>
      <c r="B266" s="10" t="str">
        <f>IFERROR(VLOOKUP(A266,Bel!A:F,6,0),"")</f>
        <v/>
      </c>
      <c r="C266" s="32" t="str">
        <f>IFERROR(VLOOKUP(A266,Bel!A:G,7,0),"")</f>
        <v/>
      </c>
      <c r="D266" s="54"/>
      <c r="E266" s="35" t="str">
        <f>IFERROR(VLOOKUP(D266,Bel!$E:$G,3,0),"")</f>
        <v/>
      </c>
      <c r="F266" s="38"/>
      <c r="G266" s="1"/>
    </row>
    <row r="267" spans="1:7" customFormat="1" ht="15.75">
      <c r="A267" s="101"/>
      <c r="B267" s="10" t="str">
        <f>IFERROR(VLOOKUP(A267,Bel!A:F,6,0),"")</f>
        <v/>
      </c>
      <c r="C267" s="32" t="str">
        <f>IFERROR(VLOOKUP(A267,Bel!A:G,7,0),"")</f>
        <v/>
      </c>
      <c r="D267" s="54"/>
      <c r="E267" s="35" t="str">
        <f>IFERROR(VLOOKUP(D267,Bel!$E:$G,3,0),"")</f>
        <v/>
      </c>
      <c r="F267" s="38"/>
      <c r="G267" s="1"/>
    </row>
    <row r="268" spans="1:7" customFormat="1" ht="15.75">
      <c r="A268" s="101"/>
      <c r="B268" s="10" t="str">
        <f>IFERROR(VLOOKUP(A268,Bel!A:F,6,0),"")</f>
        <v/>
      </c>
      <c r="C268" s="32" t="str">
        <f>IFERROR(VLOOKUP(A268,Bel!A:G,7,0),"")</f>
        <v/>
      </c>
      <c r="D268" s="54"/>
      <c r="E268" s="35" t="str">
        <f>IFERROR(VLOOKUP(D268,Bel!$E:$G,3,0),"")</f>
        <v/>
      </c>
      <c r="F268" s="38"/>
      <c r="G268" s="1"/>
    </row>
    <row r="269" spans="1:7" customFormat="1" ht="15.75">
      <c r="A269" s="101"/>
      <c r="B269" s="10" t="str">
        <f>IFERROR(VLOOKUP(A269,Bel!A:F,6,0),"")</f>
        <v/>
      </c>
      <c r="C269" s="32" t="str">
        <f>IFERROR(VLOOKUP(A269,Bel!A:G,7,0),"")</f>
        <v/>
      </c>
      <c r="D269" s="54"/>
      <c r="E269" s="35" t="str">
        <f>IFERROR(VLOOKUP(D269,Bel!$E:$G,3,0),"")</f>
        <v/>
      </c>
      <c r="F269" s="38"/>
      <c r="G269" s="1"/>
    </row>
    <row r="270" spans="1:7" customFormat="1" ht="15.75">
      <c r="A270" s="101"/>
      <c r="B270" s="10" t="str">
        <f>IFERROR(VLOOKUP(A270,Bel!A:F,6,0),"")</f>
        <v/>
      </c>
      <c r="C270" s="32" t="str">
        <f>IFERROR(VLOOKUP(A270,Bel!A:G,7,0),"")</f>
        <v/>
      </c>
      <c r="D270" s="54"/>
      <c r="E270" s="35" t="str">
        <f>IFERROR(VLOOKUP(D270,Bel!$E:$G,3,0),"")</f>
        <v/>
      </c>
      <c r="F270" s="38"/>
      <c r="G270" s="1"/>
    </row>
    <row r="271" spans="1:7" customFormat="1" ht="15.75">
      <c r="A271" s="101"/>
      <c r="B271" s="10" t="str">
        <f>IFERROR(VLOOKUP(A271,Bel!A:F,6,0),"")</f>
        <v/>
      </c>
      <c r="C271" s="32" t="str">
        <f>IFERROR(VLOOKUP(A271,Bel!A:G,7,0),"")</f>
        <v/>
      </c>
      <c r="D271" s="54"/>
      <c r="E271" s="35" t="str">
        <f>IFERROR(VLOOKUP(D271,Bel!$E:$G,3,0),"")</f>
        <v/>
      </c>
      <c r="F271" s="38"/>
      <c r="G271" s="1"/>
    </row>
    <row r="272" spans="1:7" customFormat="1" ht="15.75">
      <c r="A272" s="101"/>
      <c r="B272" s="10" t="str">
        <f>IFERROR(VLOOKUP(A272,Bel!A:F,6,0),"")</f>
        <v/>
      </c>
      <c r="C272" s="32" t="str">
        <f>IFERROR(VLOOKUP(A272,Bel!A:G,7,0),"")</f>
        <v/>
      </c>
      <c r="D272" s="54"/>
      <c r="E272" s="35" t="str">
        <f>IFERROR(VLOOKUP(D272,Bel!$E:$G,3,0),"")</f>
        <v/>
      </c>
      <c r="F272" s="38"/>
      <c r="G272" s="1"/>
    </row>
    <row r="273" spans="1:7" customFormat="1" ht="15.75">
      <c r="A273" s="101"/>
      <c r="B273" s="10" t="str">
        <f>IFERROR(VLOOKUP(A273,Bel!A:F,6,0),"")</f>
        <v/>
      </c>
      <c r="C273" s="32" t="str">
        <f>IFERROR(VLOOKUP(A273,Bel!A:G,7,0),"")</f>
        <v/>
      </c>
      <c r="D273" s="54"/>
      <c r="E273" s="35" t="str">
        <f>IFERROR(VLOOKUP(D273,Bel!$E:$G,3,0),"")</f>
        <v/>
      </c>
      <c r="F273" s="38"/>
      <c r="G273" s="1"/>
    </row>
    <row r="274" spans="1:7" customFormat="1" ht="15.75">
      <c r="A274" s="101"/>
      <c r="B274" s="10" t="str">
        <f>IFERROR(VLOOKUP(A274,Bel!A:F,6,0),"")</f>
        <v/>
      </c>
      <c r="C274" s="32" t="str">
        <f>IFERROR(VLOOKUP(A274,Bel!A:G,7,0),"")</f>
        <v/>
      </c>
      <c r="D274" s="54"/>
      <c r="E274" s="35" t="str">
        <f>IFERROR(VLOOKUP(D274,Bel!$E:$G,3,0),"")</f>
        <v/>
      </c>
      <c r="F274" s="38"/>
      <c r="G274" s="1"/>
    </row>
    <row r="275" spans="1:7" customFormat="1" ht="15.75">
      <c r="A275" s="101"/>
      <c r="B275" s="10" t="str">
        <f>IFERROR(VLOOKUP(A275,Bel!A:F,6,0),"")</f>
        <v/>
      </c>
      <c r="C275" s="32" t="str">
        <f>IFERROR(VLOOKUP(A275,Bel!A:G,7,0),"")</f>
        <v/>
      </c>
      <c r="D275" s="54"/>
      <c r="E275" s="35" t="str">
        <f>IFERROR(VLOOKUP(D275,Bel!$E:$G,3,0),"")</f>
        <v/>
      </c>
      <c r="F275" s="38"/>
      <c r="G275" s="1"/>
    </row>
    <row r="276" spans="1:7" customFormat="1" ht="15.75">
      <c r="A276" s="101"/>
      <c r="B276" s="10" t="str">
        <f>IFERROR(VLOOKUP(A276,Bel!A:F,6,0),"")</f>
        <v/>
      </c>
      <c r="C276" s="32" t="str">
        <f>IFERROR(VLOOKUP(A276,Bel!A:G,7,0),"")</f>
        <v/>
      </c>
      <c r="D276" s="54"/>
      <c r="E276" s="35" t="str">
        <f>IFERROR(VLOOKUP(D276,Bel!$E:$G,3,0),"")</f>
        <v/>
      </c>
      <c r="F276" s="38"/>
      <c r="G276" s="1"/>
    </row>
    <row r="277" spans="1:7" customFormat="1" ht="15.75">
      <c r="A277" s="101"/>
      <c r="B277" s="10" t="str">
        <f>IFERROR(VLOOKUP(A277,Bel!A:F,6,0),"")</f>
        <v/>
      </c>
      <c r="C277" s="32" t="str">
        <f>IFERROR(VLOOKUP(A277,Bel!A:G,7,0),"")</f>
        <v/>
      </c>
      <c r="D277" s="54"/>
      <c r="E277" s="35" t="str">
        <f>IFERROR(VLOOKUP(D277,Bel!$E:$G,3,0),"")</f>
        <v/>
      </c>
      <c r="F277" s="38"/>
      <c r="G277" s="1"/>
    </row>
    <row r="278" spans="1:7" customFormat="1" ht="15.75">
      <c r="A278" s="101"/>
      <c r="B278" s="10" t="str">
        <f>IFERROR(VLOOKUP(A278,Bel!A:F,6,0),"")</f>
        <v/>
      </c>
      <c r="C278" s="32" t="str">
        <f>IFERROR(VLOOKUP(A278,Bel!A:G,7,0),"")</f>
        <v/>
      </c>
      <c r="D278" s="54"/>
      <c r="E278" s="35" t="str">
        <f>IFERROR(VLOOKUP(D278,Bel!$E:$G,3,0),"")</f>
        <v/>
      </c>
      <c r="F278" s="38"/>
      <c r="G278" s="1"/>
    </row>
    <row r="279" spans="1:7" customFormat="1" ht="15.75">
      <c r="A279" s="101"/>
      <c r="B279" s="10" t="str">
        <f>IFERROR(VLOOKUP(A279,Bel!A:F,6,0),"")</f>
        <v/>
      </c>
      <c r="C279" s="32" t="str">
        <f>IFERROR(VLOOKUP(A279,Bel!A:G,7,0),"")</f>
        <v/>
      </c>
      <c r="D279" s="54"/>
      <c r="E279" s="35" t="str">
        <f>IFERROR(VLOOKUP(D279,Bel!$E:$G,3,0),"")</f>
        <v/>
      </c>
      <c r="F279" s="38"/>
      <c r="G279" s="1"/>
    </row>
    <row r="280" spans="1:7" customFormat="1" ht="15.75">
      <c r="A280" s="101"/>
      <c r="B280" s="10" t="str">
        <f>IFERROR(VLOOKUP(A280,Bel!A:F,6,0),"")</f>
        <v/>
      </c>
      <c r="C280" s="32" t="str">
        <f>IFERROR(VLOOKUP(A280,Bel!A:G,7,0),"")</f>
        <v/>
      </c>
      <c r="D280" s="54"/>
      <c r="E280" s="35" t="str">
        <f>IFERROR(VLOOKUP(D280,Bel!$E:$G,3,0),"")</f>
        <v/>
      </c>
      <c r="F280" s="38"/>
      <c r="G280" s="1"/>
    </row>
    <row r="281" spans="1:7" customFormat="1" ht="15.75">
      <c r="A281" s="101"/>
      <c r="B281" s="10" t="str">
        <f>IFERROR(VLOOKUP(A281,Bel!A:F,6,0),"")</f>
        <v/>
      </c>
      <c r="C281" s="32" t="str">
        <f>IFERROR(VLOOKUP(A281,Bel!A:G,7,0),"")</f>
        <v/>
      </c>
      <c r="D281" s="54"/>
      <c r="E281" s="35" t="str">
        <f>IFERROR(VLOOKUP(D281,Bel!$E:$G,3,0),"")</f>
        <v/>
      </c>
      <c r="F281" s="38"/>
      <c r="G281" s="1"/>
    </row>
    <row r="282" spans="1:7" customFormat="1" ht="15.75">
      <c r="A282" s="101"/>
      <c r="B282" s="10" t="str">
        <f>IFERROR(VLOOKUP(A282,Bel!A:F,6,0),"")</f>
        <v/>
      </c>
      <c r="C282" s="32" t="str">
        <f>IFERROR(VLOOKUP(A282,Bel!A:G,7,0),"")</f>
        <v/>
      </c>
      <c r="D282" s="54"/>
      <c r="E282" s="35" t="str">
        <f>IFERROR(VLOOKUP(D282,Bel!$E:$G,3,0),"")</f>
        <v/>
      </c>
      <c r="F282" s="38"/>
      <c r="G282" s="1"/>
    </row>
    <row r="283" spans="1:7" customFormat="1" ht="15.75">
      <c r="A283" s="101"/>
      <c r="B283" s="10" t="str">
        <f>IFERROR(VLOOKUP(A283,Bel!A:F,6,0),"")</f>
        <v/>
      </c>
      <c r="C283" s="32" t="str">
        <f>IFERROR(VLOOKUP(A283,Bel!A:G,7,0),"")</f>
        <v/>
      </c>
      <c r="D283" s="54"/>
      <c r="E283" s="35" t="str">
        <f>IFERROR(VLOOKUP(D283,Bel!$E:$G,3,0),"")</f>
        <v/>
      </c>
      <c r="F283" s="38"/>
      <c r="G283" s="1"/>
    </row>
    <row r="284" spans="1:7" customFormat="1" ht="15.75">
      <c r="A284" s="101"/>
      <c r="B284" s="10" t="str">
        <f>IFERROR(VLOOKUP(A284,Bel!A:F,6,0),"")</f>
        <v/>
      </c>
      <c r="C284" s="32" t="str">
        <f>IFERROR(VLOOKUP(A284,Bel!A:G,7,0),"")</f>
        <v/>
      </c>
      <c r="D284" s="54"/>
      <c r="E284" s="35" t="str">
        <f>IFERROR(VLOOKUP(D284,Bel!$E:$G,3,0),"")</f>
        <v/>
      </c>
      <c r="F284" s="38"/>
      <c r="G284" s="1"/>
    </row>
    <row r="285" spans="1:7" customFormat="1" ht="15.75">
      <c r="A285" s="101"/>
      <c r="B285" s="10" t="str">
        <f>IFERROR(VLOOKUP(A285,Bel!A:F,6,0),"")</f>
        <v/>
      </c>
      <c r="C285" s="32" t="str">
        <f>IFERROR(VLOOKUP(A285,Bel!A:G,7,0),"")</f>
        <v/>
      </c>
      <c r="D285" s="54"/>
      <c r="E285" s="35" t="str">
        <f>IFERROR(VLOOKUP(D285,Bel!$E:$G,3,0),"")</f>
        <v/>
      </c>
      <c r="F285" s="38"/>
      <c r="G285" s="1"/>
    </row>
    <row r="286" spans="1:7" customFormat="1" ht="15.75">
      <c r="A286" s="101"/>
      <c r="B286" s="10" t="str">
        <f>IFERROR(VLOOKUP(A286,Bel!A:F,6,0),"")</f>
        <v/>
      </c>
      <c r="C286" s="32" t="str">
        <f>IFERROR(VLOOKUP(A286,Bel!A:G,7,0),"")</f>
        <v/>
      </c>
      <c r="D286" s="54"/>
      <c r="E286" s="35" t="str">
        <f>IFERROR(VLOOKUP(D286,Bel!$E:$G,3,0),"")</f>
        <v/>
      </c>
      <c r="F286" s="38"/>
      <c r="G286" s="1"/>
    </row>
    <row r="287" spans="1:7" customFormat="1" ht="15.75">
      <c r="A287" s="101"/>
      <c r="B287" s="10" t="str">
        <f>IFERROR(VLOOKUP(A287,Bel!A:F,6,0),"")</f>
        <v/>
      </c>
      <c r="C287" s="32" t="str">
        <f>IFERROR(VLOOKUP(A287,Bel!A:G,7,0),"")</f>
        <v/>
      </c>
      <c r="D287" s="54"/>
      <c r="E287" s="35" t="str">
        <f>IFERROR(VLOOKUP(D287,Bel!$E:$G,3,0),"")</f>
        <v/>
      </c>
      <c r="F287" s="38"/>
      <c r="G287" s="1"/>
    </row>
    <row r="288" spans="1:7" customFormat="1" ht="15.75">
      <c r="A288" s="101"/>
      <c r="B288" s="10" t="str">
        <f>IFERROR(VLOOKUP(A288,Bel!A:F,6,0),"")</f>
        <v/>
      </c>
      <c r="C288" s="32" t="str">
        <f>IFERROR(VLOOKUP(A288,Bel!A:G,7,0),"")</f>
        <v/>
      </c>
      <c r="D288" s="54"/>
      <c r="E288" s="35" t="str">
        <f>IFERROR(VLOOKUP(D288,Bel!$E:$G,3,0),"")</f>
        <v/>
      </c>
      <c r="F288" s="38"/>
      <c r="G288" s="1"/>
    </row>
    <row r="289" spans="1:7" customFormat="1" ht="15.75">
      <c r="A289" s="101"/>
      <c r="B289" s="10" t="str">
        <f>IFERROR(VLOOKUP(A289,Bel!A:F,6,0),"")</f>
        <v/>
      </c>
      <c r="C289" s="32" t="str">
        <f>IFERROR(VLOOKUP(A289,Bel!A:G,7,0),"")</f>
        <v/>
      </c>
      <c r="D289" s="54"/>
      <c r="E289" s="35" t="str">
        <f>IFERROR(VLOOKUP(D289,Bel!$E:$G,3,0),"")</f>
        <v/>
      </c>
      <c r="F289" s="38"/>
      <c r="G289" s="1"/>
    </row>
    <row r="290" spans="1:7" customFormat="1" ht="15.75">
      <c r="A290" s="101"/>
      <c r="B290" s="10" t="str">
        <f>IFERROR(VLOOKUP(A290,Bel!A:F,6,0),"")</f>
        <v/>
      </c>
      <c r="C290" s="32" t="str">
        <f>IFERROR(VLOOKUP(A290,Bel!A:G,7,0),"")</f>
        <v/>
      </c>
      <c r="D290" s="54"/>
      <c r="E290" s="35" t="str">
        <f>IFERROR(VLOOKUP(D290,Bel!$E:$G,3,0),"")</f>
        <v/>
      </c>
      <c r="F290" s="38"/>
      <c r="G290" s="1"/>
    </row>
    <row r="291" spans="1:7" customFormat="1" ht="15.75">
      <c r="A291" s="101"/>
      <c r="B291" s="10" t="str">
        <f>IFERROR(VLOOKUP(A291,Bel!A:F,6,0),"")</f>
        <v/>
      </c>
      <c r="C291" s="32" t="str">
        <f>IFERROR(VLOOKUP(A291,Bel!A:G,7,0),"")</f>
        <v/>
      </c>
      <c r="D291" s="54"/>
      <c r="E291" s="35" t="str">
        <f>IFERROR(VLOOKUP(D291,Bel!$E:$G,3,0),"")</f>
        <v/>
      </c>
      <c r="F291" s="38"/>
      <c r="G291" s="1"/>
    </row>
    <row r="292" spans="1:7" customFormat="1" ht="15.75">
      <c r="A292" s="101"/>
      <c r="B292" s="10" t="str">
        <f>IFERROR(VLOOKUP(A292,Bel!A:F,6,0),"")</f>
        <v/>
      </c>
      <c r="C292" s="32" t="str">
        <f>IFERROR(VLOOKUP(A292,Bel!A:G,7,0),"")</f>
        <v/>
      </c>
      <c r="D292" s="54"/>
      <c r="E292" s="35" t="str">
        <f>IFERROR(VLOOKUP(D292,Bel!$E:$G,3,0),"")</f>
        <v/>
      </c>
      <c r="F292" s="38"/>
      <c r="G292" s="1"/>
    </row>
    <row r="293" spans="1:7" customFormat="1" ht="15.75">
      <c r="A293" s="101"/>
      <c r="B293" s="10" t="str">
        <f>IFERROR(VLOOKUP(A293,Bel!A:F,6,0),"")</f>
        <v/>
      </c>
      <c r="C293" s="32" t="str">
        <f>IFERROR(VLOOKUP(A293,Bel!A:G,7,0),"")</f>
        <v/>
      </c>
      <c r="D293" s="54"/>
      <c r="E293" s="35" t="str">
        <f>IFERROR(VLOOKUP(D293,Bel!$E:$G,3,0),"")</f>
        <v/>
      </c>
      <c r="F293" s="38"/>
      <c r="G293" s="1"/>
    </row>
    <row r="294" spans="1:7" customFormat="1" ht="15.75">
      <c r="A294" s="101"/>
      <c r="B294" s="10" t="str">
        <f>IFERROR(VLOOKUP(A294,Bel!A:F,6,0),"")</f>
        <v/>
      </c>
      <c r="C294" s="32" t="str">
        <f>IFERROR(VLOOKUP(A294,Bel!A:G,7,0),"")</f>
        <v/>
      </c>
      <c r="D294" s="54"/>
      <c r="E294" s="35" t="str">
        <f>IFERROR(VLOOKUP(D294,Bel!$E:$G,3,0),"")</f>
        <v/>
      </c>
      <c r="F294" s="38"/>
      <c r="G294" s="1"/>
    </row>
    <row r="295" spans="1:7" customFormat="1" ht="15.75">
      <c r="A295" s="101"/>
      <c r="B295" s="10" t="str">
        <f>IFERROR(VLOOKUP(A295,Bel!A:F,6,0),"")</f>
        <v/>
      </c>
      <c r="C295" s="32" t="str">
        <f>IFERROR(VLOOKUP(A295,Bel!A:G,7,0),"")</f>
        <v/>
      </c>
      <c r="D295" s="54"/>
      <c r="E295" s="35" t="str">
        <f>IFERROR(VLOOKUP(D295,Bel!$E:$G,3,0),"")</f>
        <v/>
      </c>
      <c r="F295" s="38"/>
      <c r="G295" s="1"/>
    </row>
    <row r="296" spans="1:7" customFormat="1" ht="15.75">
      <c r="A296" s="101"/>
      <c r="B296" s="10" t="str">
        <f>IFERROR(VLOOKUP(A296,Bel!A:F,6,0),"")</f>
        <v/>
      </c>
      <c r="C296" s="32" t="str">
        <f>IFERROR(VLOOKUP(A296,Bel!A:G,7,0),"")</f>
        <v/>
      </c>
      <c r="D296" s="54"/>
      <c r="E296" s="35" t="str">
        <f>IFERROR(VLOOKUP(D296,Bel!$E:$G,3,0),"")</f>
        <v/>
      </c>
      <c r="F296" s="38"/>
      <c r="G296" s="1"/>
    </row>
    <row r="297" spans="1:7" customFormat="1" ht="15.75">
      <c r="A297" s="101"/>
      <c r="B297" s="10" t="str">
        <f>IFERROR(VLOOKUP(A297,Bel!A:F,6,0),"")</f>
        <v/>
      </c>
      <c r="C297" s="32" t="str">
        <f>IFERROR(VLOOKUP(A297,Bel!A:G,7,0),"")</f>
        <v/>
      </c>
      <c r="D297" s="54"/>
      <c r="E297" s="35" t="str">
        <f>IFERROR(VLOOKUP(D297,Bel!$E:$G,3,0),"")</f>
        <v/>
      </c>
      <c r="F297" s="38"/>
      <c r="G297" s="1"/>
    </row>
    <row r="298" spans="1:7" customFormat="1" ht="15.75">
      <c r="A298" s="101"/>
      <c r="B298" s="10" t="str">
        <f>IFERROR(VLOOKUP(A298,Bel!A:F,6,0),"")</f>
        <v/>
      </c>
      <c r="C298" s="32" t="str">
        <f>IFERROR(VLOOKUP(A298,Bel!A:G,7,0),"")</f>
        <v/>
      </c>
      <c r="D298" s="54"/>
      <c r="E298" s="35" t="str">
        <f>IFERROR(VLOOKUP(D298,Bel!$E:$G,3,0),"")</f>
        <v/>
      </c>
      <c r="F298" s="38"/>
      <c r="G298" s="1"/>
    </row>
    <row r="299" spans="1:7" customFormat="1" ht="15.75">
      <c r="A299" s="101"/>
      <c r="B299" s="10" t="str">
        <f>IFERROR(VLOOKUP(A299,Bel!A:F,6,0),"")</f>
        <v/>
      </c>
      <c r="C299" s="32" t="str">
        <f>IFERROR(VLOOKUP(A299,Bel!A:G,7,0),"")</f>
        <v/>
      </c>
      <c r="D299" s="54"/>
      <c r="E299" s="35" t="str">
        <f>IFERROR(VLOOKUP(D299,Bel!$E:$G,3,0),"")</f>
        <v/>
      </c>
      <c r="F299" s="38"/>
      <c r="G299" s="1"/>
    </row>
    <row r="300" spans="1:7" customFormat="1" ht="15.75">
      <c r="A300" s="101"/>
      <c r="B300" s="10" t="str">
        <f>IFERROR(VLOOKUP(A300,Bel!A:F,6,0),"")</f>
        <v/>
      </c>
      <c r="C300" s="32" t="str">
        <f>IFERROR(VLOOKUP(A300,Bel!A:G,7,0),"")</f>
        <v/>
      </c>
      <c r="D300" s="54"/>
      <c r="E300" s="35" t="str">
        <f>IFERROR(VLOOKUP(D300,Bel!$E:$G,3,0),"")</f>
        <v/>
      </c>
      <c r="F300" s="38"/>
      <c r="G300" s="1"/>
    </row>
    <row r="301" spans="1:7" customFormat="1" ht="15.75">
      <c r="A301" s="101"/>
      <c r="B301" s="10" t="str">
        <f>IFERROR(VLOOKUP(A301,Bel!A:F,6,0),"")</f>
        <v/>
      </c>
      <c r="C301" s="32" t="str">
        <f>IFERROR(VLOOKUP(A301,Bel!A:G,7,0),"")</f>
        <v/>
      </c>
      <c r="D301" s="54"/>
      <c r="E301" s="35" t="str">
        <f>IFERROR(VLOOKUP(D301,Bel!$E:$G,3,0),"")</f>
        <v/>
      </c>
      <c r="F301" s="38"/>
      <c r="G301" s="1"/>
    </row>
    <row r="302" spans="1:7" customFormat="1" ht="15.75">
      <c r="A302" s="101"/>
      <c r="B302" s="10" t="str">
        <f>IFERROR(VLOOKUP(A302,Bel!A:F,6,0),"")</f>
        <v/>
      </c>
      <c r="C302" s="32" t="str">
        <f>IFERROR(VLOOKUP(A302,Bel!A:G,7,0),"")</f>
        <v/>
      </c>
      <c r="D302" s="54"/>
      <c r="E302" s="35" t="str">
        <f>IFERROR(VLOOKUP(D302,Bel!$E:$G,3,0),"")</f>
        <v/>
      </c>
      <c r="F302" s="38"/>
      <c r="G302" s="1"/>
    </row>
    <row r="303" spans="1:7" customFormat="1" ht="15.75">
      <c r="A303" s="101"/>
      <c r="B303" s="10" t="str">
        <f>IFERROR(VLOOKUP(A303,Bel!A:F,6,0),"")</f>
        <v/>
      </c>
      <c r="C303" s="32" t="str">
        <f>IFERROR(VLOOKUP(A303,Bel!A:G,7,0),"")</f>
        <v/>
      </c>
      <c r="D303" s="54"/>
      <c r="E303" s="35" t="str">
        <f>IFERROR(VLOOKUP(D303,Bel!$E:$G,3,0),"")</f>
        <v/>
      </c>
      <c r="F303" s="38"/>
      <c r="G303" s="1"/>
    </row>
    <row r="304" spans="1:7" customFormat="1" ht="15.75">
      <c r="A304" s="101"/>
      <c r="B304" s="10" t="str">
        <f>IFERROR(VLOOKUP(A304,Bel!A:F,6,0),"")</f>
        <v/>
      </c>
      <c r="C304" s="32" t="str">
        <f>IFERROR(VLOOKUP(A304,Bel!A:G,7,0),"")</f>
        <v/>
      </c>
      <c r="D304" s="54"/>
      <c r="E304" s="35" t="str">
        <f>IFERROR(VLOOKUP(D304,Bel!$E:$G,3,0),"")</f>
        <v/>
      </c>
      <c r="F304" s="38"/>
      <c r="G304" s="1"/>
    </row>
    <row r="305" spans="1:10" customFormat="1" ht="15.75">
      <c r="A305" s="101"/>
      <c r="B305" s="10" t="str">
        <f>IFERROR(VLOOKUP(A305,Bel!A:F,6,0),"")</f>
        <v/>
      </c>
      <c r="C305" s="32" t="str">
        <f>IFERROR(VLOOKUP(A305,Bel!A:G,7,0),"")</f>
        <v/>
      </c>
      <c r="D305" s="54"/>
      <c r="E305" s="35" t="str">
        <f>IFERROR(VLOOKUP(D305,Bel!$E:$G,3,0),"")</f>
        <v/>
      </c>
      <c r="F305" s="38"/>
      <c r="G305" s="1"/>
    </row>
    <row r="306" spans="1:10" customFormat="1" ht="15.75">
      <c r="A306" s="101"/>
      <c r="B306" s="10" t="str">
        <f>IFERROR(VLOOKUP(A306,Bel!A:F,6,0),"")</f>
        <v/>
      </c>
      <c r="C306" s="32" t="str">
        <f>IFERROR(VLOOKUP(A306,Bel!A:G,7,0),"")</f>
        <v/>
      </c>
      <c r="D306" s="54"/>
      <c r="E306" s="35" t="str">
        <f>IFERROR(VLOOKUP(D306,Bel!$E:$G,3,0),"")</f>
        <v/>
      </c>
      <c r="F306" s="38"/>
      <c r="G306" s="1"/>
    </row>
    <row r="307" spans="1:10" customFormat="1" ht="15.75">
      <c r="A307" s="101"/>
      <c r="B307" s="10" t="str">
        <f>IFERROR(VLOOKUP(A307,Bel!A:F,6,0),"")</f>
        <v/>
      </c>
      <c r="C307" s="32" t="str">
        <f>IFERROR(VLOOKUP(A307,Bel!A:G,7,0),"")</f>
        <v/>
      </c>
      <c r="D307" s="54"/>
      <c r="E307" s="35" t="str">
        <f>IFERROR(VLOOKUP(D307,Bel!$E:$G,3,0),"")</f>
        <v/>
      </c>
      <c r="F307" s="38"/>
      <c r="G307" s="1"/>
    </row>
    <row r="308" spans="1:10" customFormat="1" ht="15.75">
      <c r="A308" s="101"/>
      <c r="B308" s="10" t="str">
        <f>IFERROR(VLOOKUP(A308,Bel!A:F,6,0),"")</f>
        <v/>
      </c>
      <c r="C308" s="32" t="str">
        <f>IFERROR(VLOOKUP(A308,Bel!A:G,7,0),"")</f>
        <v/>
      </c>
      <c r="D308" s="54"/>
      <c r="E308" s="35" t="str">
        <f>IFERROR(VLOOKUP(D308,Bel!$E:$G,3,0),"")</f>
        <v/>
      </c>
      <c r="F308" s="38"/>
      <c r="G308" s="1"/>
    </row>
    <row r="309" spans="1:10" customFormat="1" ht="15.75">
      <c r="A309" s="101"/>
      <c r="B309" s="10" t="str">
        <f>IFERROR(VLOOKUP(A309,Bel!A:F,6,0),"")</f>
        <v/>
      </c>
      <c r="C309" s="32" t="str">
        <f>IFERROR(VLOOKUP(A309,Bel!A:G,7,0),"")</f>
        <v/>
      </c>
      <c r="D309" s="54"/>
      <c r="E309" s="35" t="str">
        <f>IFERROR(VLOOKUP(D309,Bel!$E:$G,3,0),"")</f>
        <v/>
      </c>
      <c r="F309" s="38"/>
      <c r="G309" s="1"/>
    </row>
    <row r="310" spans="1:10" customFormat="1" ht="15.75">
      <c r="A310" s="101"/>
      <c r="B310" s="10" t="str">
        <f>IFERROR(VLOOKUP(A310,Bel!A:F,6,0),"")</f>
        <v/>
      </c>
      <c r="C310" s="32" t="str">
        <f>IFERROR(VLOOKUP(A310,Bel!A:G,7,0),"")</f>
        <v/>
      </c>
      <c r="D310" s="54"/>
      <c r="E310" s="35" t="str">
        <f>IFERROR(VLOOKUP(D310,Bel!$E:$G,3,0),"")</f>
        <v/>
      </c>
      <c r="F310" s="38"/>
      <c r="G310" s="1"/>
    </row>
    <row r="311" spans="1:10" customFormat="1" ht="15.75">
      <c r="A311" s="101"/>
      <c r="B311" s="10" t="str">
        <f>IFERROR(VLOOKUP(A311,Bel!A:F,6,0),"")</f>
        <v/>
      </c>
      <c r="C311" s="32" t="str">
        <f>IFERROR(VLOOKUP(A311,Bel!A:G,7,0),"")</f>
        <v/>
      </c>
      <c r="D311" s="54"/>
      <c r="E311" s="35" t="str">
        <f>IFERROR(VLOOKUP(D311,Bel!$E:$G,3,0),"")</f>
        <v/>
      </c>
      <c r="F311" s="38"/>
      <c r="G311" s="1"/>
    </row>
    <row r="312" spans="1:10" customFormat="1" ht="15.75">
      <c r="A312" s="101"/>
      <c r="B312" s="10" t="str">
        <f>IFERROR(VLOOKUP(A312,Bel!A:F,6,0),"")</f>
        <v/>
      </c>
      <c r="C312" s="32" t="str">
        <f>IFERROR(VLOOKUP(A312,Bel!A:G,7,0),"")</f>
        <v/>
      </c>
      <c r="D312" s="54"/>
      <c r="E312" s="35" t="str">
        <f>IFERROR(VLOOKUP(D312,Bel!$E:$G,3,0),"")</f>
        <v/>
      </c>
      <c r="F312" s="38"/>
      <c r="G312" s="1"/>
    </row>
    <row r="313" spans="1:10" customFormat="1" ht="17.25">
      <c r="A313" s="101"/>
      <c r="B313" s="10" t="str">
        <f>IFERROR(VLOOKUP(A313,Bel!A:F,6,0),"")</f>
        <v/>
      </c>
      <c r="C313" s="32" t="str">
        <f>IFERROR(VLOOKUP(A313,Bel!A:G,7,0),"")</f>
        <v/>
      </c>
      <c r="D313" s="54"/>
      <c r="E313" s="35" t="str">
        <f>IFERROR(VLOOKUP(D313,Bel!$E:$G,3,0),"")</f>
        <v/>
      </c>
      <c r="F313" s="38"/>
      <c r="G313" s="1"/>
      <c r="J313" s="67" t="s">
        <v>449</v>
      </c>
    </row>
    <row r="314" spans="1:10" customFormat="1" ht="15.75">
      <c r="A314" s="101"/>
      <c r="B314" s="10" t="str">
        <f>IFERROR(VLOOKUP(A314,Bel!A:F,6,0),"")</f>
        <v/>
      </c>
      <c r="C314" s="32" t="str">
        <f>IFERROR(VLOOKUP(A314,Bel!A:G,7,0),"")</f>
        <v/>
      </c>
      <c r="D314" s="54"/>
      <c r="E314" s="35" t="str">
        <f>IFERROR(VLOOKUP(D314,Bel!$E:$G,3,0),"")</f>
        <v/>
      </c>
      <c r="F314" s="38"/>
      <c r="G314" s="1"/>
    </row>
    <row r="315" spans="1:10" customFormat="1" ht="15.75">
      <c r="A315" s="101"/>
      <c r="B315" s="10" t="str">
        <f>IFERROR(VLOOKUP(A315,Bel!A:F,6,0),"")</f>
        <v/>
      </c>
      <c r="C315" s="32" t="str">
        <f>IFERROR(VLOOKUP(A315,Bel!A:G,7,0),"")</f>
        <v/>
      </c>
      <c r="D315" s="54"/>
      <c r="E315" s="35" t="str">
        <f>IFERROR(VLOOKUP(D315,Bel!$E:$G,3,0),"")</f>
        <v/>
      </c>
      <c r="F315" s="38"/>
      <c r="G315" s="1"/>
      <c r="J315" s="68" t="s">
        <v>450</v>
      </c>
    </row>
    <row r="316" spans="1:10" customFormat="1" ht="15.75">
      <c r="A316" s="101"/>
      <c r="B316" s="10" t="str">
        <f>IFERROR(VLOOKUP(A316,Bel!A:F,6,0),"")</f>
        <v/>
      </c>
      <c r="C316" s="32" t="str">
        <f>IFERROR(VLOOKUP(A316,Bel!A:G,7,0),"")</f>
        <v/>
      </c>
      <c r="D316" s="54"/>
      <c r="E316" s="35" t="str">
        <f>IFERROR(VLOOKUP(D316,Bel!$E:$G,3,0),"")</f>
        <v/>
      </c>
      <c r="F316" s="38"/>
      <c r="G316" s="1"/>
      <c r="J316" s="68" t="s">
        <v>451</v>
      </c>
    </row>
    <row r="317" spans="1:10" customFormat="1" ht="15.75">
      <c r="A317" s="101"/>
      <c r="B317" s="10" t="str">
        <f>IFERROR(VLOOKUP(A317,Bel!A:F,6,0),"")</f>
        <v/>
      </c>
      <c r="C317" s="32" t="str">
        <f>IFERROR(VLOOKUP(A317,Bel!A:G,7,0),"")</f>
        <v/>
      </c>
      <c r="D317" s="54"/>
      <c r="E317" s="35" t="str">
        <f>IFERROR(VLOOKUP(D317,Bel!$E:$G,3,0),"")</f>
        <v/>
      </c>
      <c r="F317" s="38"/>
      <c r="G317" s="1"/>
    </row>
    <row r="318" spans="1:10" customFormat="1" ht="15.75">
      <c r="A318" s="101"/>
      <c r="B318" s="10" t="str">
        <f>IFERROR(VLOOKUP(A318,Bel!A:F,6,0),"")</f>
        <v/>
      </c>
      <c r="C318" s="32" t="str">
        <f>IFERROR(VLOOKUP(A318,Bel!A:G,7,0),"")</f>
        <v/>
      </c>
      <c r="D318" s="54"/>
      <c r="E318" s="35" t="str">
        <f>IFERROR(VLOOKUP(D318,Bel!$E:$G,3,0),"")</f>
        <v/>
      </c>
      <c r="F318" s="38"/>
      <c r="G318" s="1"/>
      <c r="J318" s="68" t="s">
        <v>452</v>
      </c>
    </row>
    <row r="319" spans="1:10" customFormat="1" ht="15.75">
      <c r="A319" s="101"/>
      <c r="B319" s="10" t="str">
        <f>IFERROR(VLOOKUP(A319,Bel!A:F,6,0),"")</f>
        <v/>
      </c>
      <c r="C319" s="32" t="str">
        <f>IFERROR(VLOOKUP(A319,Bel!A:G,7,0),"")</f>
        <v/>
      </c>
      <c r="D319" s="54"/>
      <c r="E319" s="35" t="str">
        <f>IFERROR(VLOOKUP(D319,Bel!$E:$G,3,0),"")</f>
        <v/>
      </c>
      <c r="F319" s="38"/>
      <c r="G319" s="1"/>
    </row>
    <row r="320" spans="1:10" customFormat="1" ht="15.75">
      <c r="A320" s="101"/>
      <c r="B320" s="10" t="str">
        <f>IFERROR(VLOOKUP(A320,Bel!A:F,6,0),"")</f>
        <v/>
      </c>
      <c r="C320" s="32" t="str">
        <f>IFERROR(VLOOKUP(A320,Bel!A:G,7,0),"")</f>
        <v/>
      </c>
      <c r="D320" s="54"/>
      <c r="E320" s="35" t="str">
        <f>IFERROR(VLOOKUP(D320,Bel!$E:$G,3,0),"")</f>
        <v/>
      </c>
      <c r="F320" s="38"/>
      <c r="G320" s="1"/>
    </row>
    <row r="321" spans="1:10" customFormat="1" ht="17.25">
      <c r="A321" s="101"/>
      <c r="B321" s="10" t="str">
        <f>IFERROR(VLOOKUP(A321,Bel!A:F,6,0),"")</f>
        <v/>
      </c>
      <c r="C321" s="32" t="str">
        <f>IFERROR(VLOOKUP(A321,Bel!A:G,7,0),"")</f>
        <v/>
      </c>
      <c r="D321" s="54"/>
      <c r="E321" s="35" t="str">
        <f>IFERROR(VLOOKUP(D321,Bel!$E:$G,3,0),"")</f>
        <v/>
      </c>
      <c r="F321" s="38"/>
      <c r="G321" s="1"/>
      <c r="J321" s="67" t="s">
        <v>448</v>
      </c>
    </row>
    <row r="322" spans="1:10" customFormat="1" ht="15.75">
      <c r="A322" s="101"/>
      <c r="B322" s="10" t="str">
        <f>IFERROR(VLOOKUP(A322,Bel!A:F,6,0),"")</f>
        <v/>
      </c>
      <c r="C322" s="32" t="str">
        <f>IFERROR(VLOOKUP(A322,Bel!A:G,7,0),"")</f>
        <v/>
      </c>
      <c r="D322" s="54"/>
      <c r="E322" s="35" t="str">
        <f>IFERROR(VLOOKUP(D322,Bel!$E:$G,3,0),"")</f>
        <v/>
      </c>
      <c r="F322" s="38"/>
      <c r="G322" s="1"/>
    </row>
    <row r="323" spans="1:10" customFormat="1" ht="15.75">
      <c r="A323" s="101"/>
      <c r="B323" s="10" t="str">
        <f>IFERROR(VLOOKUP(A323,Bel!A:F,6,0),"")</f>
        <v/>
      </c>
      <c r="C323" s="32" t="str">
        <f>IFERROR(VLOOKUP(A323,Bel!A:G,7,0),"")</f>
        <v/>
      </c>
      <c r="D323" s="54"/>
      <c r="E323" s="35" t="str">
        <f>IFERROR(VLOOKUP(D323,Bel!$E:$G,3,0),"")</f>
        <v/>
      </c>
      <c r="F323" s="38"/>
      <c r="G323" s="1"/>
      <c r="J323" s="68" t="s">
        <v>453</v>
      </c>
    </row>
    <row r="324" spans="1:10" customFormat="1" ht="15.75">
      <c r="A324" s="101"/>
      <c r="B324" s="10" t="str">
        <f>IFERROR(VLOOKUP(A324,Bel!A:F,6,0),"")</f>
        <v/>
      </c>
      <c r="C324" s="32" t="str">
        <f>IFERROR(VLOOKUP(A324,Bel!A:G,7,0),"")</f>
        <v/>
      </c>
      <c r="D324" s="54"/>
      <c r="E324" s="35" t="str">
        <f>IFERROR(VLOOKUP(D324,Bel!$E:$G,3,0),"")</f>
        <v/>
      </c>
      <c r="F324" s="38"/>
      <c r="G324" s="1"/>
      <c r="J324" s="68" t="s">
        <v>454</v>
      </c>
    </row>
    <row r="325" spans="1:10" customFormat="1" ht="15.75">
      <c r="A325" s="101"/>
      <c r="B325" s="10" t="str">
        <f>IFERROR(VLOOKUP(A325,Bel!A:F,6,0),"")</f>
        <v/>
      </c>
      <c r="C325" s="32" t="str">
        <f>IFERROR(VLOOKUP(A325,Bel!A:G,7,0),"")</f>
        <v/>
      </c>
      <c r="D325" s="54"/>
      <c r="E325" s="35" t="str">
        <f>IFERROR(VLOOKUP(D325,Bel!$E:$G,3,0),"")</f>
        <v/>
      </c>
      <c r="F325" s="38"/>
      <c r="G325" s="1"/>
      <c r="J325" s="68" t="s">
        <v>455</v>
      </c>
    </row>
    <row r="326" spans="1:10" customFormat="1" ht="15.75">
      <c r="A326" s="101"/>
      <c r="B326" s="10" t="str">
        <f>IFERROR(VLOOKUP(A326,Bel!A:F,6,0),"")</f>
        <v/>
      </c>
      <c r="C326" s="32" t="str">
        <f>IFERROR(VLOOKUP(A326,Bel!A:G,7,0),"")</f>
        <v/>
      </c>
      <c r="D326" s="54"/>
      <c r="E326" s="35" t="str">
        <f>IFERROR(VLOOKUP(D326,Bel!$E:$G,3,0),"")</f>
        <v/>
      </c>
      <c r="F326" s="38"/>
      <c r="G326" s="1"/>
    </row>
    <row r="327" spans="1:10" customFormat="1" ht="15.75">
      <c r="A327" s="101"/>
      <c r="B327" s="10" t="str">
        <f>IFERROR(VLOOKUP(A327,Bel!A:F,6,0),"")</f>
        <v/>
      </c>
      <c r="C327" s="32" t="str">
        <f>IFERROR(VLOOKUP(A327,Bel!A:G,7,0),"")</f>
        <v/>
      </c>
      <c r="D327" s="54"/>
      <c r="E327" s="35" t="str">
        <f>IFERROR(VLOOKUP(D327,Bel!$E:$G,3,0),"")</f>
        <v/>
      </c>
      <c r="F327" s="38"/>
      <c r="G327" s="1"/>
      <c r="J327" s="68" t="s">
        <v>456</v>
      </c>
    </row>
    <row r="328" spans="1:10" customFormat="1" ht="15.75">
      <c r="A328" s="101"/>
      <c r="B328" s="10" t="str">
        <f>IFERROR(VLOOKUP(A328,Bel!A:F,6,0),"")</f>
        <v/>
      </c>
      <c r="C328" s="32" t="str">
        <f>IFERROR(VLOOKUP(A328,Bel!A:G,7,0),"")</f>
        <v/>
      </c>
      <c r="D328" s="54"/>
      <c r="E328" s="35" t="str">
        <f>IFERROR(VLOOKUP(D328,Bel!$E:$G,3,0),"")</f>
        <v/>
      </c>
      <c r="F328" s="38"/>
      <c r="G328" s="1"/>
    </row>
    <row r="329" spans="1:10" customFormat="1" ht="15.75">
      <c r="A329" s="101"/>
      <c r="B329" s="10" t="str">
        <f>IFERROR(VLOOKUP(A329,Bel!A:F,6,0),"")</f>
        <v/>
      </c>
      <c r="C329" s="32" t="str">
        <f>IFERROR(VLOOKUP(A329,Bel!A:G,7,0),"")</f>
        <v/>
      </c>
      <c r="D329" s="54"/>
      <c r="E329" s="35" t="str">
        <f>IFERROR(VLOOKUP(D329,Bel!$E:$G,3,0),"")</f>
        <v/>
      </c>
      <c r="F329" s="38"/>
      <c r="G329" s="1"/>
    </row>
    <row r="330" spans="1:10" customFormat="1" ht="15.75">
      <c r="A330" s="101"/>
      <c r="B330" s="10" t="str">
        <f>IFERROR(VLOOKUP(A330,Bel!A:F,6,0),"")</f>
        <v/>
      </c>
      <c r="C330" s="32" t="str">
        <f>IFERROR(VLOOKUP(A330,Bel!A:G,7,0),"")</f>
        <v/>
      </c>
      <c r="D330" s="54"/>
      <c r="E330" s="35" t="str">
        <f>IFERROR(VLOOKUP(D330,Bel!$E:$G,3,0),"")</f>
        <v/>
      </c>
      <c r="F330" s="38"/>
      <c r="G330" s="1"/>
    </row>
    <row r="331" spans="1:10" customFormat="1" ht="15.75">
      <c r="A331" s="101"/>
      <c r="B331" s="10" t="str">
        <f>IFERROR(VLOOKUP(A331,Bel!A:F,6,0),"")</f>
        <v/>
      </c>
      <c r="C331" s="32" t="str">
        <f>IFERROR(VLOOKUP(A331,Bel!A:G,7,0),"")</f>
        <v/>
      </c>
      <c r="D331" s="54"/>
      <c r="E331" s="35" t="str">
        <f>IFERROR(VLOOKUP(D331,Bel!$E:$G,3,0),"")</f>
        <v/>
      </c>
      <c r="F331" s="38"/>
      <c r="G331" s="1"/>
    </row>
    <row r="332" spans="1:10" customFormat="1" ht="15.75">
      <c r="A332" s="101"/>
      <c r="B332" s="10" t="str">
        <f>IFERROR(VLOOKUP(A332,Bel!A:F,6,0),"")</f>
        <v/>
      </c>
      <c r="C332" s="32" t="str">
        <f>IFERROR(VLOOKUP(A332,Bel!A:G,7,0),"")</f>
        <v/>
      </c>
      <c r="D332" s="54"/>
      <c r="E332" s="35" t="str">
        <f>IFERROR(VLOOKUP(D332,Bel!$E:$G,3,0),"")</f>
        <v/>
      </c>
      <c r="F332" s="38"/>
      <c r="G332" s="1"/>
    </row>
    <row r="333" spans="1:10" customFormat="1" ht="15.75">
      <c r="A333" s="101" t="s">
        <v>437</v>
      </c>
      <c r="B333" s="10" t="str">
        <f>IFERROR(VLOOKUP(A333,Bel!A:F,6,0),"")</f>
        <v/>
      </c>
      <c r="C333" s="32" t="str">
        <f>IFERROR(VLOOKUP(A333,Bel!A:G,7,0),"")</f>
        <v/>
      </c>
      <c r="D333" s="54"/>
      <c r="E333" s="35" t="str">
        <f>IFERROR(VLOOKUP(D333,Bel!$E:$G,3,0),"")</f>
        <v/>
      </c>
      <c r="F333" s="38"/>
      <c r="G333" s="1"/>
      <c r="J333" t="s">
        <v>437</v>
      </c>
    </row>
    <row r="334" spans="1:10" customFormat="1" ht="15.75">
      <c r="A334" s="101"/>
      <c r="B334" s="10" t="str">
        <f>IFERROR(VLOOKUP(A334,Bel!A:F,6,0),"")</f>
        <v/>
      </c>
      <c r="C334" s="32" t="str">
        <f>IFERROR(VLOOKUP(A334,Bel!A:G,7,0),"")</f>
        <v/>
      </c>
      <c r="D334" s="54"/>
      <c r="E334" s="35" t="str">
        <f>IFERROR(VLOOKUP(D334,Bel!$E:$G,3,0),"")</f>
        <v/>
      </c>
      <c r="F334" s="38"/>
      <c r="G334" s="1"/>
      <c r="J334" t="s">
        <v>438</v>
      </c>
    </row>
    <row r="335" spans="1:10" customFormat="1" ht="15.75">
      <c r="A335" s="101"/>
      <c r="B335" s="10" t="str">
        <f>IFERROR(VLOOKUP(A335,Bel!A:F,6,0),"")</f>
        <v/>
      </c>
      <c r="C335" s="32" t="str">
        <f>IFERROR(VLOOKUP(A335,Bel!A:G,7,0),"")</f>
        <v/>
      </c>
      <c r="D335" s="54"/>
      <c r="E335" s="35" t="str">
        <f>IFERROR(VLOOKUP(D335,Bel!$E:$G,3,0),"")</f>
        <v/>
      </c>
      <c r="F335" s="38"/>
      <c r="G335" s="1"/>
      <c r="H335">
        <v>3</v>
      </c>
      <c r="J335" t="s">
        <v>439</v>
      </c>
    </row>
    <row r="336" spans="1:10" customFormat="1" ht="15.75">
      <c r="A336" s="101"/>
      <c r="B336" s="10" t="str">
        <f>IFERROR(VLOOKUP(A336,Bel!A:F,6,0),"")</f>
        <v/>
      </c>
      <c r="C336" s="32" t="str">
        <f>IFERROR(VLOOKUP(A336,Bel!A:G,7,0),"")</f>
        <v/>
      </c>
      <c r="D336" s="54"/>
      <c r="E336" s="35" t="str">
        <f>IFERROR(VLOOKUP(D336,Bel!$E:$G,3,0),"")</f>
        <v/>
      </c>
      <c r="F336" s="38"/>
      <c r="G336" s="1"/>
      <c r="H336">
        <v>4</v>
      </c>
      <c r="J336" t="s">
        <v>440</v>
      </c>
    </row>
    <row r="337" spans="1:10" customFormat="1" ht="15.75">
      <c r="A337" s="101"/>
      <c r="B337" s="10" t="str">
        <f>IFERROR(VLOOKUP(A337,Bel!A:F,6,0),"")</f>
        <v/>
      </c>
      <c r="C337" s="32" t="str">
        <f>IFERROR(VLOOKUP(A337,Bel!A:G,7,0),"")</f>
        <v/>
      </c>
      <c r="D337" s="54"/>
      <c r="E337" s="35" t="str">
        <f>IFERROR(VLOOKUP(D337,Bel!$E:$G,3,0),"")</f>
        <v/>
      </c>
      <c r="F337" s="38"/>
      <c r="G337" s="1"/>
      <c r="H337">
        <v>5</v>
      </c>
    </row>
    <row r="338" spans="1:10" customFormat="1" ht="15.75">
      <c r="A338" s="101"/>
      <c r="B338" s="10" t="str">
        <f>IFERROR(VLOOKUP(A338,Bel!A:F,6,0),"")</f>
        <v/>
      </c>
      <c r="C338" s="32" t="str">
        <f>IFERROR(VLOOKUP(A338,Bel!A:G,7,0),"")</f>
        <v/>
      </c>
      <c r="D338" s="54"/>
      <c r="E338" s="35" t="str">
        <f>IFERROR(VLOOKUP(D338,Bel!$E:$G,3,0),"")</f>
        <v/>
      </c>
      <c r="F338" s="38"/>
      <c r="G338" s="1"/>
      <c r="H338">
        <v>11</v>
      </c>
    </row>
    <row r="339" spans="1:10" customFormat="1" ht="15.75">
      <c r="A339" s="101"/>
      <c r="B339" s="10" t="str">
        <f>IFERROR(VLOOKUP(A339,Bel!A:F,6,0),"")</f>
        <v/>
      </c>
      <c r="C339" s="32" t="str">
        <f>IFERROR(VLOOKUP(A339,Bel!A:G,7,0),"")</f>
        <v/>
      </c>
      <c r="D339" s="54"/>
      <c r="E339" s="35" t="str">
        <f>IFERROR(VLOOKUP(D339,Bel!$E:$G,3,0),"")</f>
        <v/>
      </c>
      <c r="F339" s="38"/>
      <c r="G339" s="1"/>
      <c r="H339">
        <v>12</v>
      </c>
      <c r="J339" t="s">
        <v>441</v>
      </c>
    </row>
    <row r="340" spans="1:10" customFormat="1" ht="15.75">
      <c r="A340" s="101"/>
      <c r="B340" s="10" t="str">
        <f>IFERROR(VLOOKUP(A340,Bel!A:F,6,0),"")</f>
        <v/>
      </c>
      <c r="C340" s="32" t="str">
        <f>IFERROR(VLOOKUP(A340,Bel!A:G,7,0),"")</f>
        <v/>
      </c>
      <c r="D340" s="54"/>
      <c r="E340" s="35" t="str">
        <f>IFERROR(VLOOKUP(D340,Bel!$E:$G,3,0),"")</f>
        <v/>
      </c>
      <c r="F340" s="38"/>
      <c r="G340" s="1"/>
      <c r="H340">
        <v>14</v>
      </c>
    </row>
    <row r="341" spans="1:10" customFormat="1" ht="15.75">
      <c r="A341" s="101"/>
      <c r="B341" s="10" t="str">
        <f>IFERROR(VLOOKUP(A341,Bel!A:F,6,0),"")</f>
        <v/>
      </c>
      <c r="C341" s="32" t="str">
        <f>IFERROR(VLOOKUP(A341,Bel!A:G,7,0),"")</f>
        <v/>
      </c>
      <c r="D341" s="54"/>
      <c r="E341" s="35" t="str">
        <f>IFERROR(VLOOKUP(D341,Bel!$E:$G,3,0),"")</f>
        <v/>
      </c>
      <c r="F341" s="38"/>
      <c r="G341" s="1"/>
      <c r="H341">
        <v>15</v>
      </c>
      <c r="J341" t="s">
        <v>442</v>
      </c>
    </row>
    <row r="342" spans="1:10" customFormat="1" ht="15.75">
      <c r="A342" s="101"/>
      <c r="B342" s="10" t="str">
        <f>IFERROR(VLOOKUP(A342,Bel!A:F,6,0),"")</f>
        <v/>
      </c>
      <c r="C342" s="32" t="str">
        <f>IFERROR(VLOOKUP(A342,Bel!A:G,7,0),"")</f>
        <v/>
      </c>
      <c r="D342" s="54"/>
      <c r="E342" s="35" t="str">
        <f>IFERROR(VLOOKUP(D342,Bel!$E:$G,3,0),"")</f>
        <v/>
      </c>
      <c r="F342" s="38"/>
      <c r="G342" s="1"/>
      <c r="H342">
        <v>20</v>
      </c>
    </row>
    <row r="343" spans="1:10" customFormat="1" ht="15.75">
      <c r="A343" s="101"/>
      <c r="B343" s="10" t="str">
        <f>IFERROR(VLOOKUP(A343,Bel!A:F,6,0),"")</f>
        <v/>
      </c>
      <c r="C343" s="32" t="str">
        <f>IFERROR(VLOOKUP(A343,Bel!A:G,7,0),"")</f>
        <v/>
      </c>
      <c r="D343" s="54"/>
      <c r="E343" s="35" t="str">
        <f>IFERROR(VLOOKUP(D343,Bel!$E:$G,3,0),"")</f>
        <v/>
      </c>
      <c r="F343" s="38"/>
      <c r="G343" s="1"/>
      <c r="H343">
        <v>23</v>
      </c>
      <c r="J343" t="s">
        <v>443</v>
      </c>
    </row>
    <row r="344" spans="1:10" customFormat="1" ht="15.75">
      <c r="A344" s="101"/>
      <c r="B344" s="10" t="str">
        <f>IFERROR(VLOOKUP(A344,Bel!A:F,6,0),"")</f>
        <v/>
      </c>
      <c r="C344" s="32" t="str">
        <f>IFERROR(VLOOKUP(A344,Bel!A:G,7,0),"")</f>
        <v/>
      </c>
      <c r="D344" s="54"/>
      <c r="E344" s="35" t="str">
        <f>IFERROR(VLOOKUP(D344,Bel!$E:$G,3,0),"")</f>
        <v/>
      </c>
      <c r="F344" s="38"/>
      <c r="G344" s="1"/>
      <c r="H344">
        <v>26</v>
      </c>
    </row>
    <row r="345" spans="1:10" customFormat="1" ht="15.75">
      <c r="A345" s="101"/>
      <c r="B345" s="10" t="str">
        <f>IFERROR(VLOOKUP(A345,Bel!A:F,6,0),"")</f>
        <v/>
      </c>
      <c r="C345" s="32" t="str">
        <f>IFERROR(VLOOKUP(A345,Bel!A:G,7,0),"")</f>
        <v/>
      </c>
      <c r="D345" s="54"/>
      <c r="E345" s="35" t="str">
        <f>IFERROR(VLOOKUP(D345,Bel!$E:$G,3,0),"")</f>
        <v/>
      </c>
      <c r="F345" s="38"/>
      <c r="G345" s="1"/>
      <c r="H345">
        <v>27</v>
      </c>
      <c r="J345" t="s">
        <v>444</v>
      </c>
    </row>
    <row r="346" spans="1:10" customFormat="1" ht="15.75">
      <c r="A346" s="101"/>
      <c r="B346" s="10" t="str">
        <f>IFERROR(VLOOKUP(A346,Bel!A:F,6,0),"")</f>
        <v/>
      </c>
      <c r="C346" s="32" t="str">
        <f>IFERROR(VLOOKUP(A346,Bel!A:G,7,0),"")</f>
        <v/>
      </c>
      <c r="D346" s="54"/>
      <c r="E346" s="35" t="str">
        <f>IFERROR(VLOOKUP(D346,Bel!$E:$G,3,0),"")</f>
        <v/>
      </c>
      <c r="F346" s="38"/>
      <c r="G346" s="1"/>
      <c r="H346">
        <v>32</v>
      </c>
      <c r="J346" t="s">
        <v>445</v>
      </c>
    </row>
    <row r="347" spans="1:10" customFormat="1" ht="15.75">
      <c r="A347" s="101"/>
      <c r="B347" s="10" t="str">
        <f>IFERROR(VLOOKUP(A347,Bel!A:F,6,0),"")</f>
        <v/>
      </c>
      <c r="C347" s="32" t="str">
        <f>IFERROR(VLOOKUP(A347,Bel!A:G,7,0),"")</f>
        <v/>
      </c>
      <c r="D347" s="54"/>
      <c r="E347" s="35" t="str">
        <f>IFERROR(VLOOKUP(D347,Bel!$E:$G,3,0),"")</f>
        <v/>
      </c>
      <c r="F347" s="38"/>
      <c r="G347" s="1"/>
      <c r="H347">
        <v>40</v>
      </c>
      <c r="J347" t="s">
        <v>446</v>
      </c>
    </row>
    <row r="348" spans="1:10" customFormat="1" ht="15.75">
      <c r="A348" s="101"/>
      <c r="B348" s="10" t="str">
        <f>IFERROR(VLOOKUP(A348,Bel!A:F,6,0),"")</f>
        <v/>
      </c>
      <c r="C348" s="32" t="str">
        <f>IFERROR(VLOOKUP(A348,Bel!A:G,7,0),"")</f>
        <v/>
      </c>
      <c r="D348" s="54"/>
      <c r="E348" s="35" t="str">
        <f>IFERROR(VLOOKUP(D348,Bel!$E:$G,3,0),"")</f>
        <v/>
      </c>
      <c r="F348" s="38"/>
      <c r="G348" s="1"/>
    </row>
    <row r="349" spans="1:10" customFormat="1" ht="15.75">
      <c r="A349" s="101"/>
      <c r="B349" s="10" t="str">
        <f>IFERROR(VLOOKUP(A349,Bel!A:F,6,0),"")</f>
        <v/>
      </c>
      <c r="C349" s="32" t="str">
        <f>IFERROR(VLOOKUP(A349,Bel!A:G,7,0),"")</f>
        <v/>
      </c>
      <c r="D349" s="54"/>
      <c r="E349" s="35" t="str">
        <f>IFERROR(VLOOKUP(D349,Bel!$E:$G,3,0),"")</f>
        <v/>
      </c>
      <c r="F349" s="38"/>
      <c r="G349" s="1"/>
      <c r="J349" t="s">
        <v>447</v>
      </c>
    </row>
    <row r="350" spans="1:10" customFormat="1" ht="15.75">
      <c r="A350" s="101"/>
      <c r="B350" s="10" t="str">
        <f>IFERROR(VLOOKUP(A350,Bel!A:F,6,0),"")</f>
        <v/>
      </c>
      <c r="C350" s="32" t="str">
        <f>IFERROR(VLOOKUP(A350,Bel!A:G,7,0),"")</f>
        <v/>
      </c>
      <c r="D350" s="54"/>
      <c r="E350" s="35" t="str">
        <f>IFERROR(VLOOKUP(D350,Bel!$E:$G,3,0),"")</f>
        <v/>
      </c>
      <c r="F350" s="38"/>
      <c r="G350" s="1"/>
    </row>
    <row r="351" spans="1:10" customFormat="1" ht="15.75">
      <c r="A351" s="101"/>
      <c r="B351" s="10" t="str">
        <f>IFERROR(VLOOKUP(A351,Bel!A:F,6,0),"")</f>
        <v/>
      </c>
      <c r="C351" s="32" t="str">
        <f>IFERROR(VLOOKUP(A351,Bel!A:G,7,0),"")</f>
        <v/>
      </c>
      <c r="D351" s="54"/>
      <c r="E351" s="35" t="str">
        <f>IFERROR(VLOOKUP(D351,Bel!$E:$G,3,0),"")</f>
        <v/>
      </c>
      <c r="F351" s="38"/>
      <c r="G351" s="1"/>
      <c r="H351" t="s">
        <v>448</v>
      </c>
    </row>
    <row r="352" spans="1:10" customFormat="1" ht="15.75">
      <c r="A352" s="101"/>
      <c r="B352" s="10" t="str">
        <f>IFERROR(VLOOKUP(A352,Bel!A:F,6,0),"")</f>
        <v/>
      </c>
      <c r="C352" s="32" t="str">
        <f>IFERROR(VLOOKUP(A352,Bel!A:G,7,0),"")</f>
        <v/>
      </c>
      <c r="D352" s="54"/>
      <c r="E352" s="35" t="str">
        <f>IFERROR(VLOOKUP(D352,Bel!$E:$G,3,0),"")</f>
        <v/>
      </c>
      <c r="F352" s="38"/>
      <c r="G352" s="1"/>
    </row>
    <row r="353" spans="1:7" customFormat="1" ht="15.75">
      <c r="A353" s="101"/>
      <c r="B353" s="10" t="str">
        <f>IFERROR(VLOOKUP(A353,Bel!A:F,6,0),"")</f>
        <v/>
      </c>
      <c r="C353" s="32" t="str">
        <f>IFERROR(VLOOKUP(A353,Bel!A:G,7,0),"")</f>
        <v/>
      </c>
      <c r="D353" s="54"/>
      <c r="E353" s="35" t="str">
        <f>IFERROR(VLOOKUP(D353,Bel!$E:$G,3,0),"")</f>
        <v/>
      </c>
      <c r="F353" s="38"/>
      <c r="G353" s="1"/>
    </row>
    <row r="354" spans="1:7" customFormat="1" ht="15.75">
      <c r="A354" s="101"/>
      <c r="B354" s="10" t="str">
        <f>IFERROR(VLOOKUP(A354,Bel!A:F,6,0),"")</f>
        <v/>
      </c>
      <c r="C354" s="32" t="str">
        <f>IFERROR(VLOOKUP(A354,Bel!A:G,7,0),"")</f>
        <v/>
      </c>
      <c r="D354" s="54"/>
      <c r="E354" s="35" t="str">
        <f>IFERROR(VLOOKUP(D354,Bel!$E:$G,3,0),"")</f>
        <v/>
      </c>
      <c r="F354" s="38"/>
      <c r="G354" s="1"/>
    </row>
    <row r="355" spans="1:7" customFormat="1" ht="15.75">
      <c r="A355" s="101"/>
      <c r="B355" s="10" t="str">
        <f>IFERROR(VLOOKUP(A355,Bel!A:F,6,0),"")</f>
        <v/>
      </c>
      <c r="C355" s="32" t="str">
        <f>IFERROR(VLOOKUP(A355,Bel!A:G,7,0),"")</f>
        <v/>
      </c>
      <c r="D355" s="54"/>
      <c r="E355" s="35" t="str">
        <f>IFERROR(VLOOKUP(D355,Bel!$E:$G,3,0),"")</f>
        <v/>
      </c>
      <c r="F355" s="38"/>
      <c r="G355" s="1"/>
    </row>
    <row r="356" spans="1:7" customFormat="1" ht="15.75">
      <c r="A356" s="101"/>
      <c r="B356" s="10" t="str">
        <f>IFERROR(VLOOKUP(A356,Bel!A:F,6,0),"")</f>
        <v/>
      </c>
      <c r="C356" s="32" t="str">
        <f>IFERROR(VLOOKUP(A356,Bel!A:G,7,0),"")</f>
        <v/>
      </c>
      <c r="D356" s="54"/>
      <c r="E356" s="35" t="str">
        <f>IFERROR(VLOOKUP(D356,Bel!$E:$G,3,0),"")</f>
        <v/>
      </c>
      <c r="F356" s="38"/>
      <c r="G356" s="1"/>
    </row>
    <row r="357" spans="1:7" customFormat="1" ht="15.75">
      <c r="A357" s="101"/>
      <c r="B357" s="10" t="str">
        <f>IFERROR(VLOOKUP(A357,Bel!A:F,6,0),"")</f>
        <v/>
      </c>
      <c r="C357" s="32" t="str">
        <f>IFERROR(VLOOKUP(A357,Bel!A:G,7,0),"")</f>
        <v/>
      </c>
      <c r="D357" s="54"/>
      <c r="E357" s="35" t="str">
        <f>IFERROR(VLOOKUP(D357,Bel!$E:$G,3,0),"")</f>
        <v/>
      </c>
      <c r="F357" s="38"/>
      <c r="G357" s="1"/>
    </row>
    <row r="358" spans="1:7" customFormat="1" ht="15.75">
      <c r="A358" s="101"/>
      <c r="B358" s="10" t="str">
        <f>IFERROR(VLOOKUP(A358,Bel!A:F,6,0),"")</f>
        <v/>
      </c>
      <c r="C358" s="32" t="str">
        <f>IFERROR(VLOOKUP(A358,Bel!A:G,7,0),"")</f>
        <v/>
      </c>
      <c r="D358" s="54"/>
      <c r="E358" s="35" t="str">
        <f>IFERROR(VLOOKUP(D358,Bel!$E:$G,3,0),"")</f>
        <v/>
      </c>
      <c r="F358" s="38"/>
      <c r="G358" s="1"/>
    </row>
    <row r="359" spans="1:7" customFormat="1" ht="15.75">
      <c r="A359" s="101"/>
      <c r="B359" s="10" t="str">
        <f>IFERROR(VLOOKUP(A359,Bel!A:F,6,0),"")</f>
        <v/>
      </c>
      <c r="C359" s="32" t="str">
        <f>IFERROR(VLOOKUP(A359,Bel!A:G,7,0),"")</f>
        <v/>
      </c>
      <c r="D359" s="54"/>
      <c r="E359" s="35" t="str">
        <f>IFERROR(VLOOKUP(D359,Bel!$E:$G,3,0),"")</f>
        <v/>
      </c>
      <c r="F359" s="38"/>
      <c r="G359" s="1"/>
    </row>
    <row r="360" spans="1:7" customFormat="1" ht="15.75">
      <c r="A360" s="101"/>
      <c r="B360" s="10" t="str">
        <f>IFERROR(VLOOKUP(A360,Bel!A:F,6,0),"")</f>
        <v/>
      </c>
      <c r="C360" s="32" t="str">
        <f>IFERROR(VLOOKUP(A360,Bel!A:G,7,0),"")</f>
        <v/>
      </c>
      <c r="D360" s="54"/>
      <c r="E360" s="35" t="str">
        <f>IFERROR(VLOOKUP(D360,Bel!$E:$G,3,0),"")</f>
        <v/>
      </c>
      <c r="F360" s="38"/>
      <c r="G360" s="1"/>
    </row>
    <row r="361" spans="1:7" customFormat="1" ht="15.75">
      <c r="A361" s="101"/>
      <c r="B361" s="10" t="str">
        <f>IFERROR(VLOOKUP(A361,Bel!A:F,6,0),"")</f>
        <v/>
      </c>
      <c r="C361" s="32" t="str">
        <f>IFERROR(VLOOKUP(A361,Bel!A:G,7,0),"")</f>
        <v/>
      </c>
      <c r="D361" s="54"/>
      <c r="E361" s="35" t="str">
        <f>IFERROR(VLOOKUP(D361,Bel!$E:$G,3,0),"")</f>
        <v/>
      </c>
      <c r="F361" s="38"/>
      <c r="G361" s="1"/>
    </row>
    <row r="362" spans="1:7" customFormat="1" ht="15.75">
      <c r="A362" s="101"/>
      <c r="B362" s="10" t="str">
        <f>IFERROR(VLOOKUP(A362,Bel!A:F,6,0),"")</f>
        <v/>
      </c>
      <c r="C362" s="32" t="str">
        <f>IFERROR(VLOOKUP(A362,Bel!A:G,7,0),"")</f>
        <v/>
      </c>
      <c r="D362" s="54"/>
      <c r="E362" s="35" t="str">
        <f>IFERROR(VLOOKUP(D362,Bel!$E:$G,3,0),"")</f>
        <v/>
      </c>
      <c r="F362" s="38"/>
      <c r="G362" s="1"/>
    </row>
    <row r="363" spans="1:7" customFormat="1" ht="15.75">
      <c r="A363" s="101"/>
      <c r="B363" s="10" t="str">
        <f>IFERROR(VLOOKUP(A363,Bel!A:F,6,0),"")</f>
        <v/>
      </c>
      <c r="C363" s="32" t="str">
        <f>IFERROR(VLOOKUP(A363,Bel!A:G,7,0),"")</f>
        <v/>
      </c>
      <c r="D363" s="54"/>
      <c r="E363" s="35" t="str">
        <f>IFERROR(VLOOKUP(D363,Bel!$E:$G,3,0),"")</f>
        <v/>
      </c>
      <c r="F363" s="38"/>
      <c r="G363" s="1"/>
    </row>
    <row r="364" spans="1:7" customFormat="1" ht="15.75">
      <c r="A364" s="101"/>
      <c r="B364" s="10" t="str">
        <f>IFERROR(VLOOKUP(A364,Bel!A:F,6,0),"")</f>
        <v/>
      </c>
      <c r="C364" s="32" t="str">
        <f>IFERROR(VLOOKUP(A364,Bel!A:G,7,0),"")</f>
        <v/>
      </c>
      <c r="D364" s="54"/>
      <c r="E364" s="35" t="str">
        <f>IFERROR(VLOOKUP(D364,Bel!$E:$G,3,0),"")</f>
        <v/>
      </c>
      <c r="F364" s="38"/>
      <c r="G364" s="1"/>
    </row>
    <row r="365" spans="1:7" customFormat="1" ht="15.75">
      <c r="A365" s="101"/>
      <c r="B365" s="10" t="str">
        <f>IFERROR(VLOOKUP(A365,Bel!A:F,6,0),"")</f>
        <v/>
      </c>
      <c r="C365" s="32" t="str">
        <f>IFERROR(VLOOKUP(A365,Bel!A:G,7,0),"")</f>
        <v/>
      </c>
      <c r="D365" s="54"/>
      <c r="E365" s="35" t="str">
        <f>IFERROR(VLOOKUP(D365,Bel!$E:$G,3,0),"")</f>
        <v/>
      </c>
      <c r="F365" s="38"/>
      <c r="G365" s="1"/>
    </row>
    <row r="366" spans="1:7" customFormat="1" ht="15.75">
      <c r="A366" s="101"/>
      <c r="B366" s="10" t="str">
        <f>IFERROR(VLOOKUP(A366,Bel!A:F,6,0),"")</f>
        <v/>
      </c>
      <c r="C366" s="32" t="str">
        <f>IFERROR(VLOOKUP(A366,Bel!A:G,7,0),"")</f>
        <v/>
      </c>
      <c r="D366" s="54"/>
      <c r="E366" s="35" t="str">
        <f>IFERROR(VLOOKUP(D366,Bel!$E:$G,3,0),"")</f>
        <v/>
      </c>
      <c r="F366" s="38"/>
      <c r="G366" s="1"/>
    </row>
    <row r="367" spans="1:7" customFormat="1" ht="15.75">
      <c r="A367" s="101"/>
      <c r="B367" s="10" t="str">
        <f>IFERROR(VLOOKUP(A367,Bel!A:F,6,0),"")</f>
        <v/>
      </c>
      <c r="C367" s="32" t="str">
        <f>IFERROR(VLOOKUP(A367,Bel!A:G,7,0),"")</f>
        <v/>
      </c>
      <c r="D367" s="54"/>
      <c r="E367" s="35" t="str">
        <f>IFERROR(VLOOKUP(D367,Bel!$E:$G,3,0),"")</f>
        <v/>
      </c>
      <c r="F367" s="38"/>
      <c r="G367" s="1"/>
    </row>
    <row r="368" spans="1:7" customFormat="1" ht="15.75">
      <c r="A368" s="101"/>
      <c r="B368" s="10" t="str">
        <f>IFERROR(VLOOKUP(A368,Bel!A:F,6,0),"")</f>
        <v/>
      </c>
      <c r="C368" s="32" t="str">
        <f>IFERROR(VLOOKUP(A368,Bel!A:G,7,0),"")</f>
        <v/>
      </c>
      <c r="D368" s="54"/>
      <c r="E368" s="35" t="str">
        <f>IFERROR(VLOOKUP(D368,Bel!$E:$G,3,0),"")</f>
        <v/>
      </c>
      <c r="F368" s="38"/>
      <c r="G368" s="1"/>
    </row>
    <row r="369" spans="1:7" customFormat="1" ht="15.75">
      <c r="A369" s="101"/>
      <c r="B369" s="10" t="str">
        <f>IFERROR(VLOOKUP(A369,Bel!A:F,6,0),"")</f>
        <v/>
      </c>
      <c r="C369" s="32" t="str">
        <f>IFERROR(VLOOKUP(A369,Bel!A:G,7,0),"")</f>
        <v/>
      </c>
      <c r="D369" s="54"/>
      <c r="E369" s="35" t="str">
        <f>IFERROR(VLOOKUP(D369,Bel!$E:$G,3,0),"")</f>
        <v/>
      </c>
      <c r="F369" s="38"/>
      <c r="G369" s="1"/>
    </row>
    <row r="370" spans="1:7" customFormat="1" ht="15.75">
      <c r="A370" s="101"/>
      <c r="B370" s="10" t="str">
        <f>IFERROR(VLOOKUP(A370,Bel!A:F,6,0),"")</f>
        <v/>
      </c>
      <c r="C370" s="32" t="str">
        <f>IFERROR(VLOOKUP(A370,Bel!A:G,7,0),"")</f>
        <v/>
      </c>
      <c r="D370" s="54"/>
      <c r="E370" s="35" t="str">
        <f>IFERROR(VLOOKUP(D370,Bel!$E:$G,3,0),"")</f>
        <v/>
      </c>
      <c r="F370" s="38"/>
      <c r="G370" s="1"/>
    </row>
    <row r="371" spans="1:7" customFormat="1" ht="15.75">
      <c r="A371" s="101"/>
      <c r="B371" s="10" t="str">
        <f>IFERROR(VLOOKUP(A371,Bel!A:F,6,0),"")</f>
        <v/>
      </c>
      <c r="C371" s="32" t="str">
        <f>IFERROR(VLOOKUP(A371,Bel!A:G,7,0),"")</f>
        <v/>
      </c>
      <c r="D371" s="54"/>
      <c r="E371" s="35" t="str">
        <f>IFERROR(VLOOKUP(D371,Bel!$E:$G,3,0),"")</f>
        <v/>
      </c>
      <c r="F371" s="38"/>
      <c r="G371" s="1"/>
    </row>
    <row r="372" spans="1:7" customFormat="1" ht="15.75">
      <c r="A372" s="101"/>
      <c r="B372" s="10" t="str">
        <f>IFERROR(VLOOKUP(A372,Bel!A:F,6,0),"")</f>
        <v/>
      </c>
      <c r="C372" s="32" t="str">
        <f>IFERROR(VLOOKUP(A372,Bel!A:G,7,0),"")</f>
        <v/>
      </c>
      <c r="D372" s="54"/>
      <c r="E372" s="35" t="str">
        <f>IFERROR(VLOOKUP(D372,Bel!$E:$G,3,0),"")</f>
        <v/>
      </c>
      <c r="F372" s="38"/>
      <c r="G372" s="1"/>
    </row>
    <row r="373" spans="1:7" customFormat="1" ht="15.75">
      <c r="A373" s="101"/>
      <c r="B373" s="10" t="str">
        <f>IFERROR(VLOOKUP(A373,Bel!A:F,6,0),"")</f>
        <v/>
      </c>
      <c r="C373" s="32" t="str">
        <f>IFERROR(VLOOKUP(A373,Bel!A:G,7,0),"")</f>
        <v/>
      </c>
      <c r="D373" s="54"/>
      <c r="E373" s="35" t="str">
        <f>IFERROR(VLOOKUP(D373,Bel!$E:$G,3,0),"")</f>
        <v/>
      </c>
      <c r="F373" s="38"/>
      <c r="G373" s="1"/>
    </row>
    <row r="374" spans="1:7" customFormat="1" ht="15.75">
      <c r="A374" s="101"/>
      <c r="B374" s="10" t="str">
        <f>IFERROR(VLOOKUP(A374,Bel!A:F,6,0),"")</f>
        <v/>
      </c>
      <c r="C374" s="32" t="str">
        <f>IFERROR(VLOOKUP(A374,Bel!A:G,7,0),"")</f>
        <v/>
      </c>
      <c r="D374" s="54"/>
      <c r="E374" s="35" t="str">
        <f>IFERROR(VLOOKUP(D374,Bel!$E:$G,3,0),"")</f>
        <v/>
      </c>
      <c r="F374" s="38"/>
      <c r="G374" s="1"/>
    </row>
    <row r="375" spans="1:7" customFormat="1" ht="15.75">
      <c r="A375" s="101"/>
      <c r="B375" s="10" t="str">
        <f>IFERROR(VLOOKUP(A375,Bel!A:F,6,0),"")</f>
        <v/>
      </c>
      <c r="C375" s="32" t="str">
        <f>IFERROR(VLOOKUP(A375,Bel!A:G,7,0),"")</f>
        <v/>
      </c>
      <c r="D375" s="54"/>
      <c r="E375" s="35" t="str">
        <f>IFERROR(VLOOKUP(D375,Bel!$E:$G,3,0),"")</f>
        <v/>
      </c>
      <c r="F375" s="38"/>
      <c r="G375" s="1"/>
    </row>
    <row r="376" spans="1:7" customFormat="1" ht="15.75">
      <c r="A376" s="101"/>
      <c r="B376" s="10" t="str">
        <f>IFERROR(VLOOKUP(A376,Bel!A:F,6,0),"")</f>
        <v/>
      </c>
      <c r="C376" s="32" t="str">
        <f>IFERROR(VLOOKUP(A376,Bel!A:G,7,0),"")</f>
        <v/>
      </c>
      <c r="D376" s="54"/>
      <c r="E376" s="35" t="str">
        <f>IFERROR(VLOOKUP(D376,Bel!$E:$G,3,0),"")</f>
        <v/>
      </c>
      <c r="F376" s="38"/>
      <c r="G376" s="1"/>
    </row>
    <row r="377" spans="1:7" customFormat="1" ht="15.75">
      <c r="A377" s="101"/>
      <c r="B377" s="10" t="str">
        <f>IFERROR(VLOOKUP(A377,Bel!A:F,6,0),"")</f>
        <v/>
      </c>
      <c r="C377" s="32" t="str">
        <f>IFERROR(VLOOKUP(A377,Bel!A:G,7,0),"")</f>
        <v/>
      </c>
      <c r="D377" s="54"/>
      <c r="E377" s="35" t="str">
        <f>IFERROR(VLOOKUP(D377,Bel!$E:$G,3,0),"")</f>
        <v/>
      </c>
      <c r="F377" s="38"/>
      <c r="G377" s="1"/>
    </row>
    <row r="378" spans="1:7" customFormat="1" ht="15.75">
      <c r="A378" s="101"/>
      <c r="B378" s="10" t="str">
        <f>IFERROR(VLOOKUP(A378,Bel!A:F,6,0),"")</f>
        <v/>
      </c>
      <c r="C378" s="32" t="str">
        <f>IFERROR(VLOOKUP(A378,Bel!A:G,7,0),"")</f>
        <v/>
      </c>
      <c r="D378" s="54"/>
      <c r="E378" s="35" t="str">
        <f>IFERROR(VLOOKUP(D378,Bel!$E:$G,3,0),"")</f>
        <v/>
      </c>
      <c r="F378" s="38"/>
      <c r="G378" s="1"/>
    </row>
    <row r="379" spans="1:7" customFormat="1" ht="15.75">
      <c r="A379" s="101"/>
      <c r="B379" s="10" t="str">
        <f>IFERROR(VLOOKUP(A379,Bel!A:F,6,0),"")</f>
        <v/>
      </c>
      <c r="C379" s="32" t="str">
        <f>IFERROR(VLOOKUP(A379,Bel!A:G,7,0),"")</f>
        <v/>
      </c>
      <c r="D379" s="54"/>
      <c r="E379" s="35" t="str">
        <f>IFERROR(VLOOKUP(D379,Bel!$E:$G,3,0),"")</f>
        <v/>
      </c>
      <c r="F379" s="38"/>
      <c r="G379" s="1"/>
    </row>
    <row r="380" spans="1:7" customFormat="1" ht="15.75">
      <c r="A380" s="101"/>
      <c r="B380" s="10" t="str">
        <f>IFERROR(VLOOKUP(A380,Bel!A:F,6,0),"")</f>
        <v/>
      </c>
      <c r="C380" s="32" t="str">
        <f>IFERROR(VLOOKUP(A380,Bel!A:G,7,0),"")</f>
        <v/>
      </c>
      <c r="D380" s="54"/>
      <c r="E380" s="35" t="str">
        <f>IFERROR(VLOOKUP(D380,Bel!$E:$G,3,0),"")</f>
        <v/>
      </c>
      <c r="F380" s="38"/>
      <c r="G380" s="1"/>
    </row>
    <row r="381" spans="1:7" customFormat="1" ht="15.75">
      <c r="A381" s="101"/>
      <c r="B381" s="10" t="str">
        <f>IFERROR(VLOOKUP(A381,Bel!A:F,6,0),"")</f>
        <v/>
      </c>
      <c r="C381" s="32" t="str">
        <f>IFERROR(VLOOKUP(A381,Bel!A:G,7,0),"")</f>
        <v/>
      </c>
      <c r="D381" s="54"/>
      <c r="E381" s="35" t="str">
        <f>IFERROR(VLOOKUP(D381,Bel!$E:$G,3,0),"")</f>
        <v/>
      </c>
      <c r="F381" s="38"/>
      <c r="G381" s="1"/>
    </row>
    <row r="382" spans="1:7" customFormat="1" ht="15.75">
      <c r="A382" s="101"/>
      <c r="B382" s="10" t="str">
        <f>IFERROR(VLOOKUP(A382,Bel!A:F,6,0),"")</f>
        <v/>
      </c>
      <c r="C382" s="32" t="str">
        <f>IFERROR(VLOOKUP(A382,Bel!A:G,7,0),"")</f>
        <v/>
      </c>
      <c r="D382" s="54"/>
      <c r="E382" s="35" t="str">
        <f>IFERROR(VLOOKUP(D382,Bel!$E:$G,3,0),"")</f>
        <v/>
      </c>
      <c r="F382" s="38"/>
      <c r="G382" s="1"/>
    </row>
    <row r="383" spans="1:7" customFormat="1" ht="15.75">
      <c r="A383" s="101"/>
      <c r="B383" s="10" t="str">
        <f>IFERROR(VLOOKUP(A383,Bel!A:F,6,0),"")</f>
        <v/>
      </c>
      <c r="C383" s="32" t="str">
        <f>IFERROR(VLOOKUP(A383,Bel!A:G,7,0),"")</f>
        <v/>
      </c>
      <c r="D383" s="54"/>
      <c r="E383" s="35" t="str">
        <f>IFERROR(VLOOKUP(D383,Bel!$E:$G,3,0),"")</f>
        <v/>
      </c>
      <c r="F383" s="38"/>
      <c r="G383" s="1"/>
    </row>
    <row r="384" spans="1:7" customFormat="1" ht="15.75">
      <c r="A384" s="101"/>
      <c r="B384" s="10" t="str">
        <f>IFERROR(VLOOKUP(A384,Bel!A:F,6,0),"")</f>
        <v/>
      </c>
      <c r="C384" s="32" t="str">
        <f>IFERROR(VLOOKUP(A384,Bel!A:G,7,0),"")</f>
        <v/>
      </c>
      <c r="D384" s="54"/>
      <c r="E384" s="35" t="str">
        <f>IFERROR(VLOOKUP(D384,Bel!$E:$G,3,0),"")</f>
        <v/>
      </c>
      <c r="F384" s="38"/>
      <c r="G384" s="1"/>
    </row>
    <row r="385" spans="1:10" customFormat="1" ht="15.75">
      <c r="A385" s="101"/>
      <c r="B385" s="10" t="str">
        <f>IFERROR(VLOOKUP(A385,Bel!A:F,6,0),"")</f>
        <v/>
      </c>
      <c r="C385" s="32" t="str">
        <f>IFERROR(VLOOKUP(A385,Bel!A:G,7,0),"")</f>
        <v/>
      </c>
      <c r="D385" s="54"/>
      <c r="E385" s="35" t="str">
        <f>IFERROR(VLOOKUP(D385,Bel!$E:$G,3,0),"")</f>
        <v/>
      </c>
      <c r="F385" s="38"/>
      <c r="G385" s="1"/>
    </row>
    <row r="386" spans="1:10" customFormat="1" ht="15.75">
      <c r="A386" s="101"/>
      <c r="B386" s="10" t="str">
        <f>IFERROR(VLOOKUP(A386,Bel!A:F,6,0),"")</f>
        <v/>
      </c>
      <c r="C386" s="32" t="str">
        <f>IFERROR(VLOOKUP(A386,Bel!A:G,7,0),"")</f>
        <v/>
      </c>
      <c r="D386" s="54"/>
      <c r="E386" s="35" t="str">
        <f>IFERROR(VLOOKUP(D386,Bel!$E:$G,3,0),"")</f>
        <v/>
      </c>
      <c r="F386" s="38"/>
      <c r="G386" s="1"/>
    </row>
    <row r="387" spans="1:10" customFormat="1" ht="15.75">
      <c r="A387" s="101"/>
      <c r="B387" s="10" t="str">
        <f>IFERROR(VLOOKUP(A387,Bel!A:F,6,0),"")</f>
        <v/>
      </c>
      <c r="C387" s="32" t="str">
        <f>IFERROR(VLOOKUP(A387,Bel!A:G,7,0),"")</f>
        <v/>
      </c>
      <c r="D387" s="54"/>
      <c r="E387" s="35" t="str">
        <f>IFERROR(VLOOKUP(D387,Bel!$E:$G,3,0),"")</f>
        <v/>
      </c>
      <c r="F387" s="38"/>
      <c r="G387" s="1"/>
    </row>
    <row r="388" spans="1:10" customFormat="1" ht="15.75">
      <c r="A388" s="101"/>
      <c r="B388" s="10" t="str">
        <f>IFERROR(VLOOKUP(A388,Bel!A:F,6,0),"")</f>
        <v/>
      </c>
      <c r="C388" s="32" t="str">
        <f>IFERROR(VLOOKUP(A388,Bel!A:G,7,0),"")</f>
        <v/>
      </c>
      <c r="D388" s="54"/>
      <c r="E388" s="35" t="str">
        <f>IFERROR(VLOOKUP(D388,Bel!$E:$G,3,0),"")</f>
        <v/>
      </c>
      <c r="F388" s="38"/>
      <c r="G388" s="1"/>
    </row>
    <row r="389" spans="1:10" customFormat="1" ht="15.75">
      <c r="A389" s="101"/>
      <c r="B389" s="10" t="str">
        <f>IFERROR(VLOOKUP(A389,Bel!A:F,6,0),"")</f>
        <v/>
      </c>
      <c r="C389" s="32" t="str">
        <f>IFERROR(VLOOKUP(A389,Bel!A:G,7,0),"")</f>
        <v/>
      </c>
      <c r="D389" s="54"/>
      <c r="E389" s="35" t="str">
        <f>IFERROR(VLOOKUP(D389,Bel!$E:$G,3,0),"")</f>
        <v/>
      </c>
      <c r="F389" s="38"/>
      <c r="G389" s="1"/>
    </row>
    <row r="390" spans="1:10" ht="15.75">
      <c r="A390" s="101"/>
      <c r="B390" s="10" t="str">
        <f>IFERROR(VLOOKUP(A390,Bel!A:F,6,0),"")</f>
        <v/>
      </c>
      <c r="C390" s="32" t="str">
        <f>IFERROR(VLOOKUP(A390,Bel!A:G,7,0),"")</f>
        <v/>
      </c>
      <c r="D390" s="54"/>
      <c r="E390" s="35" t="str">
        <f>IFERROR(VLOOKUP(D390,Bel!$E:$G,3,0),"")</f>
        <v/>
      </c>
      <c r="F390" s="38"/>
      <c r="G390" s="1"/>
    </row>
    <row r="391" spans="1:10" ht="15.75">
      <c r="A391" s="101"/>
      <c r="B391" s="10" t="str">
        <f>IFERROR(VLOOKUP(A391,Bel!A:F,6,0),"")</f>
        <v/>
      </c>
      <c r="C391" s="32" t="str">
        <f>IFERROR(VLOOKUP(A391,Bel!A:G,7,0),"")</f>
        <v/>
      </c>
      <c r="D391" s="54"/>
      <c r="E391" s="35" t="str">
        <f>IFERROR(VLOOKUP(D391,Bel!$E:$G,3,0),"")</f>
        <v/>
      </c>
      <c r="F391" s="38"/>
      <c r="G391" s="1"/>
    </row>
    <row r="392" spans="1:10" ht="15.75">
      <c r="A392" s="101"/>
      <c r="B392" s="10" t="str">
        <f>IFERROR(VLOOKUP(A392,Bel!A:F,6,0),"")</f>
        <v/>
      </c>
      <c r="C392" s="32" t="str">
        <f>IFERROR(VLOOKUP(A392,Bel!A:G,7,0),"")</f>
        <v/>
      </c>
      <c r="D392" s="54"/>
      <c r="E392" s="35" t="str">
        <f>IFERROR(VLOOKUP(D392,Bel!$E:$G,3,0),"")</f>
        <v/>
      </c>
      <c r="F392" s="38"/>
      <c r="G392" s="1"/>
    </row>
    <row r="393" spans="1:10" ht="15.75">
      <c r="A393" s="101"/>
      <c r="B393" s="10" t="str">
        <f>IFERROR(VLOOKUP(A393,Bel!A:F,6,0),"")</f>
        <v/>
      </c>
      <c r="C393" s="32" t="str">
        <f>IFERROR(VLOOKUP(A393,Bel!A:G,7,0),"")</f>
        <v/>
      </c>
      <c r="D393" s="54"/>
      <c r="E393" s="35" t="str">
        <f>IFERROR(VLOOKUP(D393,Bel!$E:$G,3,0),"")</f>
        <v/>
      </c>
      <c r="F393" s="38"/>
      <c r="G393" s="1"/>
    </row>
    <row r="394" spans="1:10" ht="15.75">
      <c r="A394" s="101"/>
      <c r="B394" s="10" t="str">
        <f>IFERROR(VLOOKUP(A394,Bel!A:F,6,0),"")</f>
        <v/>
      </c>
      <c r="C394" s="32" t="str">
        <f>IFERROR(VLOOKUP(A394,Bel!A:G,7,0),"")</f>
        <v/>
      </c>
      <c r="D394" s="54"/>
      <c r="E394" s="35" t="str">
        <f>IFERROR(VLOOKUP(D394,Bel!$E:$G,3,0),"")</f>
        <v/>
      </c>
      <c r="F394" s="38"/>
      <c r="G394" s="1"/>
    </row>
    <row r="395" spans="1:10" ht="15.75">
      <c r="A395" s="101"/>
      <c r="B395" s="10" t="str">
        <f>IFERROR(VLOOKUP(A395,Bel!A:F,6,0),"")</f>
        <v/>
      </c>
      <c r="C395" s="32" t="str">
        <f>IFERROR(VLOOKUP(A395,Bel!A:G,7,0),"")</f>
        <v/>
      </c>
      <c r="D395" s="54"/>
      <c r="E395" s="35" t="str">
        <f>IFERROR(VLOOKUP(D395,Bel!$E:$G,3,0),"")</f>
        <v/>
      </c>
      <c r="F395" s="38"/>
      <c r="G395" s="1"/>
    </row>
    <row r="396" spans="1:10" ht="15.75">
      <c r="A396" s="101"/>
      <c r="B396" s="10" t="str">
        <f>IFERROR(VLOOKUP(A396,Bel!A:F,6,0),"")</f>
        <v/>
      </c>
      <c r="C396" s="32" t="str">
        <f>IFERROR(VLOOKUP(A396,Bel!A:G,7,0),"")</f>
        <v/>
      </c>
      <c r="D396" s="54"/>
      <c r="E396" s="35" t="str">
        <f>IFERROR(VLOOKUP(D396,Bel!$E:$G,3,0),"")</f>
        <v/>
      </c>
      <c r="F396" s="38"/>
      <c r="G396" s="1"/>
    </row>
    <row r="397" spans="1:10" ht="15.75">
      <c r="A397" s="101"/>
      <c r="B397" s="10" t="str">
        <f>IFERROR(VLOOKUP(A397,Bel!A:F,6,0),"")</f>
        <v/>
      </c>
      <c r="C397" s="32" t="str">
        <f>IFERROR(VLOOKUP(A397,Bel!A:G,7,0),"")</f>
        <v/>
      </c>
      <c r="D397" s="54"/>
      <c r="E397" s="35" t="str">
        <f>IFERROR(VLOOKUP(D397,Bel!$E:$G,3,0),"")</f>
        <v/>
      </c>
      <c r="F397" s="38"/>
      <c r="G397" s="1"/>
    </row>
    <row r="398" spans="1:10" ht="15.75">
      <c r="A398" s="101"/>
      <c r="B398" s="10" t="str">
        <f>IFERROR(VLOOKUP(A398,Bel!A:F,6,0),"")</f>
        <v/>
      </c>
      <c r="C398" s="32" t="str">
        <f>IFERROR(VLOOKUP(A398,Bel!A:G,7,0),"")</f>
        <v/>
      </c>
      <c r="D398" s="54"/>
      <c r="E398" s="35" t="str">
        <f>IFERROR(VLOOKUP(D398,Bel!$E:$G,3,0),"")</f>
        <v/>
      </c>
      <c r="F398" s="38"/>
      <c r="G398" s="1"/>
    </row>
    <row r="399" spans="1:10" ht="15.75">
      <c r="A399" s="97">
        <v>100814</v>
      </c>
      <c r="B399" s="10" t="str">
        <f>IFERROR(VLOOKUP(A399,Bel!A:F,6,0),"")</f>
        <v>Alpenliebe Caramel Candy Original 100Gm</v>
      </c>
      <c r="C399" s="32">
        <f>IFERROR(VLOOKUP(A399,Bel!A:G,7,0),"")</f>
        <v>229183</v>
      </c>
      <c r="D399" s="94">
        <v>3073780985604</v>
      </c>
      <c r="E399" s="35">
        <f>IFERROR(VLOOKUP(D399,Bel!$E:$G,3,0),"")</f>
        <v>94672</v>
      </c>
      <c r="F399" s="38"/>
      <c r="G399" s="1">
        <f t="shared" ref="G399:G462" si="0">A399</f>
        <v>100814</v>
      </c>
      <c r="H399"/>
      <c r="I399"/>
      <c r="J399"/>
    </row>
    <row r="400" spans="1:10" ht="15.75">
      <c r="A400" s="97"/>
      <c r="B400" s="10" t="str">
        <f>IFERROR(VLOOKUP(A400,Bel!A:F,6,0),"")</f>
        <v/>
      </c>
      <c r="C400" s="32" t="str">
        <f>IFERROR(VLOOKUP(A400,Bel!A:G,7,0),"")</f>
        <v/>
      </c>
      <c r="D400" s="94"/>
      <c r="E400" s="35" t="str">
        <f>IFERROR(VLOOKUP(D400,Bel!$E:$G,3,0),"")</f>
        <v/>
      </c>
      <c r="F400" s="38"/>
      <c r="G400" s="1">
        <f t="shared" si="0"/>
        <v>0</v>
      </c>
      <c r="H400"/>
      <c r="I400"/>
      <c r="J400"/>
    </row>
    <row r="401" spans="1:10" ht="15.75">
      <c r="A401" s="97"/>
      <c r="B401" s="10" t="str">
        <f>IFERROR(VLOOKUP(A401,Bel!A:F,6,0),"")</f>
        <v/>
      </c>
      <c r="C401" s="32" t="str">
        <f>IFERROR(VLOOKUP(A401,Bel!A:G,7,0),"")</f>
        <v/>
      </c>
      <c r="D401" s="94"/>
      <c r="E401" s="35" t="str">
        <f>IFERROR(VLOOKUP(D401,Bel!$E:$G,3,0),"")</f>
        <v/>
      </c>
      <c r="F401" s="38"/>
      <c r="G401" s="1">
        <f t="shared" si="0"/>
        <v>0</v>
      </c>
      <c r="H401"/>
      <c r="I401"/>
      <c r="J401"/>
    </row>
    <row r="402" spans="1:10" ht="15.75">
      <c r="A402" s="97"/>
      <c r="B402" s="10" t="str">
        <f>IFERROR(VLOOKUP(A402,Bel!A:F,6,0),"")</f>
        <v/>
      </c>
      <c r="C402" s="32" t="str">
        <f>IFERROR(VLOOKUP(A402,Bel!A:G,7,0),"")</f>
        <v/>
      </c>
      <c r="D402" s="94"/>
      <c r="E402" s="35" t="str">
        <f>IFERROR(VLOOKUP(D402,Bel!$E:$G,3,0),"")</f>
        <v/>
      </c>
      <c r="F402" s="38"/>
      <c r="G402" s="1">
        <f t="shared" si="0"/>
        <v>0</v>
      </c>
      <c r="H402"/>
      <c r="I402"/>
      <c r="J402"/>
    </row>
    <row r="403" spans="1:10" ht="15.75">
      <c r="A403" s="97"/>
      <c r="B403" s="10" t="str">
        <f>IFERROR(VLOOKUP(A403,Bel!A:F,6,0),"")</f>
        <v/>
      </c>
      <c r="C403" s="32" t="str">
        <f>IFERROR(VLOOKUP(A403,Bel!A:G,7,0),"")</f>
        <v/>
      </c>
      <c r="D403" s="94"/>
      <c r="E403" s="35" t="str">
        <f>IFERROR(VLOOKUP(D403,Bel!$E:$G,3,0),"")</f>
        <v/>
      </c>
      <c r="F403" s="38"/>
      <c r="G403" s="1">
        <f t="shared" si="0"/>
        <v>0</v>
      </c>
      <c r="H403"/>
      <c r="I403"/>
      <c r="J403"/>
    </row>
    <row r="404" spans="1:10" ht="15.75">
      <c r="A404" s="97"/>
      <c r="B404" s="10" t="str">
        <f>IFERROR(VLOOKUP(A404,Bel!A:F,6,0),"")</f>
        <v/>
      </c>
      <c r="C404" s="32" t="str">
        <f>IFERROR(VLOOKUP(A404,Bel!A:G,7,0),"")</f>
        <v/>
      </c>
      <c r="D404" s="94"/>
      <c r="E404" s="35" t="str">
        <f>IFERROR(VLOOKUP(D404,Bel!$E:$G,3,0),"")</f>
        <v/>
      </c>
      <c r="F404" s="38"/>
      <c r="G404" s="1">
        <f t="shared" si="0"/>
        <v>0</v>
      </c>
      <c r="H404"/>
      <c r="I404"/>
      <c r="J404"/>
    </row>
    <row r="405" spans="1:10" ht="15.75">
      <c r="A405" s="97"/>
      <c r="B405" s="10" t="str">
        <f>IFERROR(VLOOKUP(A405,Bel!A:F,6,0),"")</f>
        <v/>
      </c>
      <c r="C405" s="32" t="str">
        <f>IFERROR(VLOOKUP(A405,Bel!A:G,7,0),"")</f>
        <v/>
      </c>
      <c r="D405" s="94"/>
      <c r="E405" s="35" t="str">
        <f>IFERROR(VLOOKUP(D405,Bel!$E:$G,3,0),"")</f>
        <v/>
      </c>
      <c r="F405" s="38"/>
      <c r="G405" s="1">
        <f t="shared" si="0"/>
        <v>0</v>
      </c>
      <c r="H405"/>
      <c r="I405"/>
      <c r="J405"/>
    </row>
    <row r="406" spans="1:10" ht="15.75">
      <c r="A406" s="97"/>
      <c r="B406" s="10" t="str">
        <f>IFERROR(VLOOKUP(A406,Bel!A:F,6,0),"")</f>
        <v/>
      </c>
      <c r="C406" s="32" t="str">
        <f>IFERROR(VLOOKUP(A406,Bel!A:G,7,0),"")</f>
        <v/>
      </c>
      <c r="D406" s="94"/>
      <c r="E406" s="35" t="str">
        <f>IFERROR(VLOOKUP(D406,Bel!$E:$G,3,0),"")</f>
        <v/>
      </c>
      <c r="F406" s="38"/>
      <c r="G406" s="1">
        <f t="shared" si="0"/>
        <v>0</v>
      </c>
      <c r="H406"/>
      <c r="I406"/>
      <c r="J406"/>
    </row>
    <row r="407" spans="1:10" ht="15.75">
      <c r="A407" s="97"/>
      <c r="B407" s="10" t="str">
        <f>IFERROR(VLOOKUP(A407,Bel!A:F,6,0),"")</f>
        <v/>
      </c>
      <c r="C407" s="32" t="str">
        <f>IFERROR(VLOOKUP(A407,Bel!A:G,7,0),"")</f>
        <v/>
      </c>
      <c r="D407" s="94"/>
      <c r="E407" s="35" t="str">
        <f>IFERROR(VLOOKUP(D407,Bel!$E:$G,3,0),"")</f>
        <v/>
      </c>
      <c r="F407" s="38"/>
      <c r="G407" s="1">
        <f t="shared" si="0"/>
        <v>0</v>
      </c>
      <c r="H407"/>
      <c r="I407"/>
      <c r="J407"/>
    </row>
    <row r="408" spans="1:10" ht="15.75">
      <c r="A408" s="97"/>
      <c r="B408" s="10" t="str">
        <f>IFERROR(VLOOKUP(A408,Bel!A:F,6,0),"")</f>
        <v/>
      </c>
      <c r="C408" s="32" t="str">
        <f>IFERROR(VLOOKUP(A408,Bel!A:G,7,0),"")</f>
        <v/>
      </c>
      <c r="D408" s="94"/>
      <c r="E408" s="35" t="str">
        <f>IFERROR(VLOOKUP(D408,Bel!$E:$G,3,0),"")</f>
        <v/>
      </c>
      <c r="F408" s="38"/>
      <c r="G408" s="1">
        <f t="shared" si="0"/>
        <v>0</v>
      </c>
      <c r="H408"/>
      <c r="I408"/>
      <c r="J408"/>
    </row>
    <row r="409" spans="1:10" ht="15.75">
      <c r="A409" s="97"/>
      <c r="B409" s="10" t="str">
        <f>IFERROR(VLOOKUP(A409,Bel!A:F,6,0),"")</f>
        <v/>
      </c>
      <c r="C409" s="32" t="str">
        <f>IFERROR(VLOOKUP(A409,Bel!A:G,7,0),"")</f>
        <v/>
      </c>
      <c r="D409" s="94"/>
      <c r="E409" s="35" t="str">
        <f>IFERROR(VLOOKUP(D409,Bel!$E:$G,3,0),"")</f>
        <v/>
      </c>
      <c r="F409" s="38"/>
      <c r="G409" s="1">
        <f t="shared" si="0"/>
        <v>0</v>
      </c>
      <c r="H409"/>
      <c r="I409"/>
      <c r="J409"/>
    </row>
    <row r="410" spans="1:10" ht="15.75">
      <c r="A410" s="97"/>
      <c r="B410" s="10" t="str">
        <f>IFERROR(VLOOKUP(A410,Bel!A:F,6,0),"")</f>
        <v/>
      </c>
      <c r="C410" s="32" t="str">
        <f>IFERROR(VLOOKUP(A410,Bel!A:G,7,0),"")</f>
        <v/>
      </c>
      <c r="D410" s="94"/>
      <c r="E410" s="35" t="str">
        <f>IFERROR(VLOOKUP(D410,Bel!$E:$G,3,0),"")</f>
        <v/>
      </c>
      <c r="F410" s="38"/>
      <c r="G410" s="1">
        <f t="shared" si="0"/>
        <v>0</v>
      </c>
      <c r="H410"/>
      <c r="I410"/>
      <c r="J410"/>
    </row>
    <row r="411" spans="1:10" ht="15.75">
      <c r="A411" s="97"/>
      <c r="B411" s="10" t="str">
        <f>IFERROR(VLOOKUP(A411,Bel!A:F,6,0),"")</f>
        <v/>
      </c>
      <c r="C411" s="32" t="str">
        <f>IFERROR(VLOOKUP(A411,Bel!A:G,7,0),"")</f>
        <v/>
      </c>
      <c r="D411" s="94"/>
      <c r="E411" s="35" t="str">
        <f>IFERROR(VLOOKUP(D411,Bel!$E:$G,3,0),"")</f>
        <v/>
      </c>
      <c r="F411" s="38"/>
      <c r="G411" s="1">
        <f t="shared" si="0"/>
        <v>0</v>
      </c>
      <c r="H411"/>
      <c r="I411"/>
      <c r="J411"/>
    </row>
    <row r="412" spans="1:10" ht="15.75">
      <c r="A412" s="97"/>
      <c r="B412" s="10" t="str">
        <f>IFERROR(VLOOKUP(A412,Bel!A:F,6,0),"")</f>
        <v/>
      </c>
      <c r="C412" s="32" t="str">
        <f>IFERROR(VLOOKUP(A412,Bel!A:G,7,0),"")</f>
        <v/>
      </c>
      <c r="D412" s="94"/>
      <c r="E412" s="35" t="str">
        <f>IFERROR(VLOOKUP(D412,Bel!$E:$G,3,0),"")</f>
        <v/>
      </c>
      <c r="F412" s="38"/>
      <c r="G412" s="1">
        <f t="shared" si="0"/>
        <v>0</v>
      </c>
      <c r="H412"/>
      <c r="I412"/>
      <c r="J412"/>
    </row>
    <row r="413" spans="1:10" ht="15.75">
      <c r="A413" s="97"/>
      <c r="B413" s="10" t="str">
        <f>IFERROR(VLOOKUP(A413,Bel!A:F,6,0),"")</f>
        <v/>
      </c>
      <c r="C413" s="32" t="str">
        <f>IFERROR(VLOOKUP(A413,Bel!A:G,7,0),"")</f>
        <v/>
      </c>
      <c r="D413" s="94"/>
      <c r="E413" s="35" t="str">
        <f>IFERROR(VLOOKUP(D413,Bel!$E:$G,3,0),"")</f>
        <v/>
      </c>
      <c r="F413" s="38"/>
      <c r="G413" s="1">
        <f t="shared" si="0"/>
        <v>0</v>
      </c>
      <c r="H413"/>
      <c r="I413"/>
      <c r="J413"/>
    </row>
    <row r="414" spans="1:10" ht="15.75">
      <c r="A414" s="97"/>
      <c r="B414" s="10" t="str">
        <f>IFERROR(VLOOKUP(A414,Bel!A:F,6,0),"")</f>
        <v/>
      </c>
      <c r="C414" s="32" t="str">
        <f>IFERROR(VLOOKUP(A414,Bel!A:G,7,0),"")</f>
        <v/>
      </c>
      <c r="D414" s="94"/>
      <c r="E414" s="35" t="str">
        <f>IFERROR(VLOOKUP(D414,Bel!$E:$G,3,0),"")</f>
        <v/>
      </c>
      <c r="F414" s="38"/>
      <c r="G414" s="1">
        <f t="shared" si="0"/>
        <v>0</v>
      </c>
      <c r="H414"/>
      <c r="I414"/>
      <c r="J414"/>
    </row>
    <row r="415" spans="1:10" ht="15.75">
      <c r="A415" s="97"/>
      <c r="B415" s="10" t="str">
        <f>IFERROR(VLOOKUP(A415,Bel!A:F,6,0),"")</f>
        <v/>
      </c>
      <c r="C415" s="32" t="str">
        <f>IFERROR(VLOOKUP(A415,Bel!A:G,7,0),"")</f>
        <v/>
      </c>
      <c r="D415" s="94"/>
      <c r="E415" s="35" t="str">
        <f>IFERROR(VLOOKUP(D415,Bel!$E:$G,3,0),"")</f>
        <v/>
      </c>
      <c r="F415" s="38"/>
      <c r="G415" s="1">
        <f t="shared" si="0"/>
        <v>0</v>
      </c>
      <c r="H415"/>
      <c r="I415"/>
      <c r="J415"/>
    </row>
    <row r="416" spans="1:10" ht="15.75">
      <c r="A416" s="97"/>
      <c r="B416" s="10" t="str">
        <f>IFERROR(VLOOKUP(A416,Bel!A:F,6,0),"")</f>
        <v/>
      </c>
      <c r="C416" s="32" t="str">
        <f>IFERROR(VLOOKUP(A416,Bel!A:G,7,0),"")</f>
        <v/>
      </c>
      <c r="D416" s="94"/>
      <c r="E416" s="35" t="str">
        <f>IFERROR(VLOOKUP(D416,Bel!$E:$G,3,0),"")</f>
        <v/>
      </c>
      <c r="F416" s="38"/>
      <c r="G416" s="1">
        <f t="shared" si="0"/>
        <v>0</v>
      </c>
      <c r="H416"/>
      <c r="I416"/>
      <c r="J416"/>
    </row>
    <row r="417" spans="1:10" ht="15.75">
      <c r="A417" s="97"/>
      <c r="B417" s="10" t="str">
        <f>IFERROR(VLOOKUP(A417,Bel!A:F,6,0),"")</f>
        <v/>
      </c>
      <c r="C417" s="32" t="str">
        <f>IFERROR(VLOOKUP(A417,Bel!A:G,7,0),"")</f>
        <v/>
      </c>
      <c r="D417" s="94"/>
      <c r="E417" s="35" t="str">
        <f>IFERROR(VLOOKUP(D417,Bel!$E:$G,3,0),"")</f>
        <v/>
      </c>
      <c r="F417" s="38"/>
      <c r="G417" s="1">
        <f t="shared" si="0"/>
        <v>0</v>
      </c>
      <c r="H417"/>
      <c r="I417"/>
      <c r="J417"/>
    </row>
    <row r="418" spans="1:10" ht="15.75">
      <c r="A418" s="97"/>
      <c r="B418" s="10" t="str">
        <f>IFERROR(VLOOKUP(A418,Bel!A:F,6,0),"")</f>
        <v/>
      </c>
      <c r="C418" s="32" t="str">
        <f>IFERROR(VLOOKUP(A418,Bel!A:G,7,0),"")</f>
        <v/>
      </c>
      <c r="D418" s="94"/>
      <c r="E418" s="35" t="str">
        <f>IFERROR(VLOOKUP(D418,Bel!$E:$G,3,0),"")</f>
        <v/>
      </c>
      <c r="F418" s="38"/>
      <c r="G418" s="1">
        <f t="shared" si="0"/>
        <v>0</v>
      </c>
      <c r="H418"/>
      <c r="I418"/>
      <c r="J418"/>
    </row>
    <row r="419" spans="1:10" ht="15.75">
      <c r="A419" s="97"/>
      <c r="B419" s="10" t="str">
        <f>IFERROR(VLOOKUP(A419,Bel!A:F,6,0),"")</f>
        <v/>
      </c>
      <c r="C419" s="32" t="str">
        <f>IFERROR(VLOOKUP(A419,Bel!A:G,7,0),"")</f>
        <v/>
      </c>
      <c r="D419" s="94"/>
      <c r="E419" s="35" t="str">
        <f>IFERROR(VLOOKUP(D419,Bel!$E:$G,3,0),"")</f>
        <v/>
      </c>
      <c r="F419" s="38"/>
      <c r="G419" s="1">
        <f t="shared" si="0"/>
        <v>0</v>
      </c>
      <c r="H419"/>
      <c r="I419"/>
      <c r="J419"/>
    </row>
    <row r="420" spans="1:10" ht="15.75">
      <c r="A420" s="97"/>
      <c r="B420" s="10" t="str">
        <f>IFERROR(VLOOKUP(A420,Bel!A:F,6,0),"")</f>
        <v/>
      </c>
      <c r="C420" s="32" t="str">
        <f>IFERROR(VLOOKUP(A420,Bel!A:G,7,0),"")</f>
        <v/>
      </c>
      <c r="D420" s="94"/>
      <c r="E420" s="35" t="str">
        <f>IFERROR(VLOOKUP(D420,Bel!$E:$G,3,0),"")</f>
        <v/>
      </c>
      <c r="F420" s="38"/>
      <c r="G420" s="1">
        <f t="shared" si="0"/>
        <v>0</v>
      </c>
      <c r="H420"/>
      <c r="I420"/>
      <c r="J420"/>
    </row>
    <row r="421" spans="1:10" ht="15.75">
      <c r="A421" s="97"/>
      <c r="B421" s="10" t="str">
        <f>IFERROR(VLOOKUP(A421,Bel!A:F,6,0),"")</f>
        <v/>
      </c>
      <c r="C421" s="32" t="str">
        <f>IFERROR(VLOOKUP(A421,Bel!A:G,7,0),"")</f>
        <v/>
      </c>
      <c r="D421" s="94"/>
      <c r="E421" s="35" t="str">
        <f>IFERROR(VLOOKUP(D421,Bel!$E:$G,3,0),"")</f>
        <v/>
      </c>
      <c r="F421" s="38"/>
      <c r="G421" s="1">
        <f t="shared" si="0"/>
        <v>0</v>
      </c>
      <c r="H421"/>
      <c r="I421"/>
      <c r="J421"/>
    </row>
    <row r="422" spans="1:10" ht="15.75">
      <c r="A422" s="97"/>
      <c r="B422" s="10" t="str">
        <f>IFERROR(VLOOKUP(A422,Bel!A:F,6,0),"")</f>
        <v/>
      </c>
      <c r="C422" s="32" t="str">
        <f>IFERROR(VLOOKUP(A422,Bel!A:G,7,0),"")</f>
        <v/>
      </c>
      <c r="D422" s="94"/>
      <c r="E422" s="35" t="str">
        <f>IFERROR(VLOOKUP(D422,Bel!$E:$G,3,0),"")</f>
        <v/>
      </c>
      <c r="F422" s="38"/>
      <c r="G422" s="1">
        <f t="shared" si="0"/>
        <v>0</v>
      </c>
      <c r="H422"/>
      <c r="I422"/>
      <c r="J422"/>
    </row>
    <row r="423" spans="1:10" ht="15.75">
      <c r="A423" s="97"/>
      <c r="B423" s="10" t="str">
        <f>IFERROR(VLOOKUP(A423,Bel!A:F,6,0),"")</f>
        <v/>
      </c>
      <c r="C423" s="32" t="str">
        <f>IFERROR(VLOOKUP(A423,Bel!A:G,7,0),"")</f>
        <v/>
      </c>
      <c r="D423" s="94"/>
      <c r="E423" s="35" t="str">
        <f>IFERROR(VLOOKUP(D423,Bel!$E:$G,3,0),"")</f>
        <v/>
      </c>
      <c r="F423" s="38"/>
      <c r="G423" s="1">
        <f t="shared" si="0"/>
        <v>0</v>
      </c>
      <c r="H423"/>
      <c r="I423"/>
      <c r="J423"/>
    </row>
    <row r="424" spans="1:10" ht="15.75">
      <c r="A424" s="97"/>
      <c r="B424" s="10" t="str">
        <f>IFERROR(VLOOKUP(A424,Bel!A:F,6,0),"")</f>
        <v/>
      </c>
      <c r="C424" s="32" t="str">
        <f>IFERROR(VLOOKUP(A424,Bel!A:G,7,0),"")</f>
        <v/>
      </c>
      <c r="D424" s="94"/>
      <c r="E424" s="35" t="str">
        <f>IFERROR(VLOOKUP(D424,Bel!$E:$G,3,0),"")</f>
        <v/>
      </c>
      <c r="F424" s="38"/>
      <c r="G424" s="1">
        <f t="shared" si="0"/>
        <v>0</v>
      </c>
      <c r="H424"/>
      <c r="I424"/>
      <c r="J424"/>
    </row>
    <row r="425" spans="1:10" ht="15.75">
      <c r="A425" s="97"/>
      <c r="B425" s="10" t="str">
        <f>IFERROR(VLOOKUP(A425,Bel!A:F,6,0),"")</f>
        <v/>
      </c>
      <c r="C425" s="32" t="str">
        <f>IFERROR(VLOOKUP(A425,Bel!A:G,7,0),"")</f>
        <v/>
      </c>
      <c r="D425" s="94"/>
      <c r="E425" s="35" t="str">
        <f>IFERROR(VLOOKUP(D425,Bel!$E:$G,3,0),"")</f>
        <v/>
      </c>
      <c r="F425" s="38"/>
      <c r="G425" s="1">
        <f t="shared" si="0"/>
        <v>0</v>
      </c>
      <c r="H425"/>
      <c r="I425"/>
      <c r="J425"/>
    </row>
    <row r="426" spans="1:10" ht="15.75">
      <c r="A426" s="97"/>
      <c r="B426" s="10" t="str">
        <f>IFERROR(VLOOKUP(A426,Bel!A:F,6,0),"")</f>
        <v/>
      </c>
      <c r="C426" s="32" t="str">
        <f>IFERROR(VLOOKUP(A426,Bel!A:G,7,0),"")</f>
        <v/>
      </c>
      <c r="D426" s="94"/>
      <c r="E426" s="35" t="str">
        <f>IFERROR(VLOOKUP(D426,Bel!$E:$G,3,0),"")</f>
        <v/>
      </c>
      <c r="F426" s="38"/>
      <c r="G426" s="1">
        <f t="shared" si="0"/>
        <v>0</v>
      </c>
      <c r="H426"/>
      <c r="I426"/>
      <c r="J426"/>
    </row>
    <row r="427" spans="1:10" ht="15.75">
      <c r="A427" s="97"/>
      <c r="B427" s="10" t="str">
        <f>IFERROR(VLOOKUP(A427,Bel!A:F,6,0),"")</f>
        <v/>
      </c>
      <c r="C427" s="32" t="str">
        <f>IFERROR(VLOOKUP(A427,Bel!A:G,7,0),"")</f>
        <v/>
      </c>
      <c r="D427" s="94"/>
      <c r="E427" s="35" t="str">
        <f>IFERROR(VLOOKUP(D427,Bel!$E:$G,3,0),"")</f>
        <v/>
      </c>
      <c r="F427" s="38"/>
      <c r="G427" s="1">
        <f t="shared" si="0"/>
        <v>0</v>
      </c>
      <c r="H427"/>
      <c r="I427"/>
      <c r="J427"/>
    </row>
    <row r="428" spans="1:10" ht="15.75">
      <c r="A428" s="97"/>
      <c r="B428" s="10" t="str">
        <f>IFERROR(VLOOKUP(A428,Bel!A:F,6,0),"")</f>
        <v/>
      </c>
      <c r="C428" s="32" t="str">
        <f>IFERROR(VLOOKUP(A428,Bel!A:G,7,0),"")</f>
        <v/>
      </c>
      <c r="D428" s="94"/>
      <c r="E428" s="35" t="str">
        <f>IFERROR(VLOOKUP(D428,Bel!$E:$G,3,0),"")</f>
        <v/>
      </c>
      <c r="F428" s="38"/>
      <c r="G428" s="1">
        <f t="shared" si="0"/>
        <v>0</v>
      </c>
      <c r="H428"/>
      <c r="I428"/>
      <c r="J428"/>
    </row>
    <row r="429" spans="1:10" ht="15.75">
      <c r="A429" s="97"/>
      <c r="B429" s="10" t="str">
        <f>IFERROR(VLOOKUP(A429,Bel!A:F,6,0),"")</f>
        <v/>
      </c>
      <c r="C429" s="32" t="str">
        <f>IFERROR(VLOOKUP(A429,Bel!A:G,7,0),"")</f>
        <v/>
      </c>
      <c r="D429" s="94"/>
      <c r="E429" s="35" t="str">
        <f>IFERROR(VLOOKUP(D429,Bel!$E:$G,3,0),"")</f>
        <v/>
      </c>
      <c r="F429" s="38"/>
      <c r="G429" s="1">
        <f t="shared" si="0"/>
        <v>0</v>
      </c>
      <c r="H429"/>
      <c r="I429"/>
      <c r="J429"/>
    </row>
    <row r="430" spans="1:10" ht="15.75">
      <c r="A430" s="97"/>
      <c r="B430" s="10" t="str">
        <f>IFERROR(VLOOKUP(A430,Bel!A:F,6,0),"")</f>
        <v/>
      </c>
      <c r="C430" s="32" t="str">
        <f>IFERROR(VLOOKUP(A430,Bel!A:G,7,0),"")</f>
        <v/>
      </c>
      <c r="D430" s="94"/>
      <c r="E430" s="35" t="str">
        <f>IFERROR(VLOOKUP(D430,Bel!$E:$G,3,0),"")</f>
        <v/>
      </c>
      <c r="F430" s="38"/>
      <c r="G430" s="1">
        <f t="shared" si="0"/>
        <v>0</v>
      </c>
      <c r="H430"/>
      <c r="I430"/>
      <c r="J430"/>
    </row>
    <row r="431" spans="1:10" ht="15.75">
      <c r="A431" s="97"/>
      <c r="B431" s="10" t="str">
        <f>IFERROR(VLOOKUP(A431,Bel!A:F,6,0),"")</f>
        <v/>
      </c>
      <c r="C431" s="32" t="str">
        <f>IFERROR(VLOOKUP(A431,Bel!A:G,7,0),"")</f>
        <v/>
      </c>
      <c r="D431" s="94"/>
      <c r="E431" s="35" t="str">
        <f>IFERROR(VLOOKUP(D431,Bel!$E:$G,3,0),"")</f>
        <v/>
      </c>
      <c r="F431" s="38"/>
      <c r="G431" s="1">
        <f t="shared" si="0"/>
        <v>0</v>
      </c>
      <c r="H431"/>
      <c r="I431"/>
      <c r="J431"/>
    </row>
    <row r="432" spans="1:10" ht="15.75">
      <c r="A432" s="97"/>
      <c r="B432" s="10" t="str">
        <f>IFERROR(VLOOKUP(A432,Bel!A:F,6,0),"")</f>
        <v/>
      </c>
      <c r="C432" s="32" t="str">
        <f>IFERROR(VLOOKUP(A432,Bel!A:G,7,0),"")</f>
        <v/>
      </c>
      <c r="D432" s="94"/>
      <c r="E432" s="35" t="str">
        <f>IFERROR(VLOOKUP(D432,Bel!$E:$G,3,0),"")</f>
        <v/>
      </c>
      <c r="F432" s="38"/>
      <c r="G432" s="1">
        <f t="shared" si="0"/>
        <v>0</v>
      </c>
      <c r="H432"/>
      <c r="I432"/>
      <c r="J432"/>
    </row>
    <row r="433" spans="1:10" ht="15.75">
      <c r="A433" s="97"/>
      <c r="B433" s="10" t="str">
        <f>IFERROR(VLOOKUP(A433,Bel!A:F,6,0),"")</f>
        <v/>
      </c>
      <c r="C433" s="32" t="str">
        <f>IFERROR(VLOOKUP(A433,Bel!A:G,7,0),"")</f>
        <v/>
      </c>
      <c r="D433" s="94"/>
      <c r="E433" s="35" t="str">
        <f>IFERROR(VLOOKUP(D433,Bel!$E:$G,3,0),"")</f>
        <v/>
      </c>
      <c r="F433" s="38"/>
      <c r="G433" s="1">
        <f t="shared" si="0"/>
        <v>0</v>
      </c>
      <c r="H433"/>
      <c r="I433"/>
      <c r="J433"/>
    </row>
    <row r="434" spans="1:10" ht="15.75">
      <c r="A434" s="97"/>
      <c r="B434" s="10" t="str">
        <f>IFERROR(VLOOKUP(A434,Bel!A:F,6,0),"")</f>
        <v/>
      </c>
      <c r="C434" s="32" t="str">
        <f>IFERROR(VLOOKUP(A434,Bel!A:G,7,0),"")</f>
        <v/>
      </c>
      <c r="D434" s="94"/>
      <c r="E434" s="35" t="str">
        <f>IFERROR(VLOOKUP(D434,Bel!$E:$G,3,0),"")</f>
        <v/>
      </c>
      <c r="F434" s="38"/>
      <c r="G434" s="1">
        <f t="shared" si="0"/>
        <v>0</v>
      </c>
      <c r="H434"/>
      <c r="I434"/>
      <c r="J434"/>
    </row>
    <row r="435" spans="1:10" ht="15.75">
      <c r="A435" s="97"/>
      <c r="B435" s="10" t="str">
        <f>IFERROR(VLOOKUP(A435,Bel!A:F,6,0),"")</f>
        <v/>
      </c>
      <c r="C435" s="32" t="str">
        <f>IFERROR(VLOOKUP(A435,Bel!A:G,7,0),"")</f>
        <v/>
      </c>
      <c r="D435" s="94"/>
      <c r="E435" s="35" t="str">
        <f>IFERROR(VLOOKUP(D435,Bel!$E:$G,3,0),"")</f>
        <v/>
      </c>
      <c r="F435" s="38"/>
      <c r="G435" s="1">
        <f t="shared" si="0"/>
        <v>0</v>
      </c>
      <c r="H435"/>
      <c r="I435"/>
      <c r="J435"/>
    </row>
    <row r="436" spans="1:10" ht="15.75">
      <c r="A436" s="97"/>
      <c r="B436" s="10" t="str">
        <f>IFERROR(VLOOKUP(A436,Bel!A:F,6,0),"")</f>
        <v/>
      </c>
      <c r="C436" s="32" t="str">
        <f>IFERROR(VLOOKUP(A436,Bel!A:G,7,0),"")</f>
        <v/>
      </c>
      <c r="D436" s="94"/>
      <c r="E436" s="35" t="str">
        <f>IFERROR(VLOOKUP(D436,Bel!$E:$G,3,0),"")</f>
        <v/>
      </c>
      <c r="F436" s="38"/>
      <c r="G436" s="1">
        <f t="shared" si="0"/>
        <v>0</v>
      </c>
      <c r="H436"/>
      <c r="I436"/>
      <c r="J436"/>
    </row>
    <row r="437" spans="1:10" ht="15.75">
      <c r="A437" s="97"/>
      <c r="B437" s="10" t="str">
        <f>IFERROR(VLOOKUP(A437,Bel!A:F,6,0),"")</f>
        <v/>
      </c>
      <c r="C437" s="32" t="str">
        <f>IFERROR(VLOOKUP(A437,Bel!A:G,7,0),"")</f>
        <v/>
      </c>
      <c r="D437" s="94"/>
      <c r="E437" s="35" t="str">
        <f>IFERROR(VLOOKUP(D437,Bel!$E:$G,3,0),"")</f>
        <v/>
      </c>
      <c r="F437" s="38"/>
      <c r="G437" s="1">
        <f t="shared" si="0"/>
        <v>0</v>
      </c>
      <c r="H437"/>
      <c r="I437"/>
      <c r="J437"/>
    </row>
    <row r="438" spans="1:10" ht="15.75">
      <c r="A438" s="97"/>
      <c r="B438" s="10" t="str">
        <f>IFERROR(VLOOKUP(A438,Bel!A:F,6,0),"")</f>
        <v/>
      </c>
      <c r="C438" s="32" t="str">
        <f>IFERROR(VLOOKUP(A438,Bel!A:G,7,0),"")</f>
        <v/>
      </c>
      <c r="D438" s="94"/>
      <c r="E438" s="35" t="str">
        <f>IFERROR(VLOOKUP(D438,Bel!$E:$G,3,0),"")</f>
        <v/>
      </c>
      <c r="F438" s="38"/>
      <c r="G438" s="1">
        <f t="shared" si="0"/>
        <v>0</v>
      </c>
      <c r="H438"/>
      <c r="I438"/>
      <c r="J438"/>
    </row>
    <row r="439" spans="1:10" ht="15.75">
      <c r="A439" s="97"/>
      <c r="B439" s="10" t="str">
        <f>IFERROR(VLOOKUP(A439,Bel!A:F,6,0),"")</f>
        <v/>
      </c>
      <c r="C439" s="32" t="str">
        <f>IFERROR(VLOOKUP(A439,Bel!A:G,7,0),"")</f>
        <v/>
      </c>
      <c r="D439" s="94"/>
      <c r="E439" s="35" t="str">
        <f>IFERROR(VLOOKUP(D439,Bel!$E:$G,3,0),"")</f>
        <v/>
      </c>
      <c r="F439" s="38"/>
      <c r="G439" s="1">
        <f t="shared" si="0"/>
        <v>0</v>
      </c>
      <c r="H439"/>
      <c r="I439"/>
      <c r="J439"/>
    </row>
    <row r="440" spans="1:10" ht="15.75">
      <c r="A440" s="97"/>
      <c r="B440" s="10" t="str">
        <f>IFERROR(VLOOKUP(A440,Bel!A:F,6,0),"")</f>
        <v/>
      </c>
      <c r="C440" s="32" t="str">
        <f>IFERROR(VLOOKUP(A440,Bel!A:G,7,0),"")</f>
        <v/>
      </c>
      <c r="D440" s="94"/>
      <c r="E440" s="35" t="str">
        <f>IFERROR(VLOOKUP(D440,Bel!$E:$G,3,0),"")</f>
        <v/>
      </c>
      <c r="F440" s="38"/>
      <c r="G440" s="1">
        <f t="shared" si="0"/>
        <v>0</v>
      </c>
      <c r="H440"/>
      <c r="I440"/>
      <c r="J440"/>
    </row>
    <row r="441" spans="1:10" ht="15.75">
      <c r="A441" s="97"/>
      <c r="B441" s="10" t="str">
        <f>IFERROR(VLOOKUP(A441,Bel!A:F,6,0),"")</f>
        <v/>
      </c>
      <c r="C441" s="32" t="str">
        <f>IFERROR(VLOOKUP(A441,Bel!A:G,7,0),"")</f>
        <v/>
      </c>
      <c r="D441" s="65"/>
      <c r="E441" s="35" t="str">
        <f>IFERROR(VLOOKUP(D441,Bel!$E:$G,3,0),"")</f>
        <v/>
      </c>
      <c r="F441" s="38"/>
      <c r="G441" s="1">
        <f t="shared" si="0"/>
        <v>0</v>
      </c>
      <c r="H441"/>
      <c r="I441"/>
      <c r="J441"/>
    </row>
    <row r="442" spans="1:10" ht="15.75">
      <c r="A442" s="97"/>
      <c r="B442" s="10" t="str">
        <f>IFERROR(VLOOKUP(A442,Bel!A:F,6,0),"")</f>
        <v/>
      </c>
      <c r="C442" s="32" t="str">
        <f>IFERROR(VLOOKUP(A442,Bel!A:G,7,0),"")</f>
        <v/>
      </c>
      <c r="D442" s="65"/>
      <c r="E442" s="35" t="str">
        <f>IFERROR(VLOOKUP(D442,Bel!$E:$G,3,0),"")</f>
        <v/>
      </c>
      <c r="F442" s="38"/>
      <c r="G442" s="1">
        <f t="shared" si="0"/>
        <v>0</v>
      </c>
      <c r="H442"/>
      <c r="I442"/>
      <c r="J442"/>
    </row>
    <row r="443" spans="1:10" ht="16.5" thickBot="1">
      <c r="A443" s="97"/>
      <c r="B443" s="10" t="str">
        <f>IFERROR(VLOOKUP(A443,Bel!A:F,6,0),"")</f>
        <v/>
      </c>
      <c r="C443" s="32" t="str">
        <f>IFERROR(VLOOKUP(A443,Bel!A:G,7,0),"")</f>
        <v/>
      </c>
      <c r="D443" s="52"/>
      <c r="E443" s="35" t="str">
        <f>IFERROR(VLOOKUP(D443,Bel!$E:$G,3,0),"")</f>
        <v/>
      </c>
      <c r="F443" s="38"/>
      <c r="G443" s="1">
        <f t="shared" si="0"/>
        <v>0</v>
      </c>
      <c r="H443"/>
      <c r="I443"/>
      <c r="J443"/>
    </row>
    <row r="444" spans="1:10" ht="16.5" thickBot="1">
      <c r="A444" s="102"/>
      <c r="B444" s="10" t="str">
        <f>IFERROR(VLOOKUP(A444,Bel!A:F,6,0),"")</f>
        <v/>
      </c>
      <c r="C444" s="32" t="str">
        <f>IFERROR(VLOOKUP(A444,Bel!A:G,7,0),"")</f>
        <v/>
      </c>
      <c r="D444" s="52"/>
      <c r="E444" s="35" t="str">
        <f>IFERROR(VLOOKUP(D444,Bel!$E:$G,3,0),"")</f>
        <v/>
      </c>
      <c r="F444" s="38"/>
      <c r="G444" s="1">
        <f t="shared" si="0"/>
        <v>0</v>
      </c>
      <c r="H444"/>
      <c r="I444"/>
      <c r="J444"/>
    </row>
    <row r="445" spans="1:10" ht="16.5" thickBot="1">
      <c r="A445" s="102"/>
      <c r="B445" s="10" t="str">
        <f>IFERROR(VLOOKUP(A445,Bel!A:F,6,0),"")</f>
        <v/>
      </c>
      <c r="C445" s="32" t="str">
        <f>IFERROR(VLOOKUP(A445,Bel!A:G,7,0),"")</f>
        <v/>
      </c>
      <c r="D445" s="52"/>
      <c r="E445" s="35" t="str">
        <f>IFERROR(VLOOKUP(D445,Bel!$E:$G,3,0),"")</f>
        <v/>
      </c>
      <c r="F445" s="38"/>
      <c r="G445" s="1">
        <f t="shared" si="0"/>
        <v>0</v>
      </c>
      <c r="H445"/>
      <c r="I445"/>
      <c r="J445"/>
    </row>
    <row r="446" spans="1:10" ht="16.5" thickBot="1">
      <c r="A446" s="102"/>
      <c r="B446" s="10" t="str">
        <f>IFERROR(VLOOKUP(A446,Bel!A:F,6,0),"")</f>
        <v/>
      </c>
      <c r="C446" s="32" t="str">
        <f>IFERROR(VLOOKUP(A446,Bel!A:G,7,0),"")</f>
        <v/>
      </c>
      <c r="D446" s="52"/>
      <c r="E446" s="35" t="str">
        <f>IFERROR(VLOOKUP(D446,Bel!$E:$G,3,0),"")</f>
        <v/>
      </c>
      <c r="F446" s="38"/>
      <c r="G446" s="1">
        <f t="shared" si="0"/>
        <v>0</v>
      </c>
      <c r="H446"/>
      <c r="I446"/>
      <c r="J446"/>
    </row>
    <row r="447" spans="1:10" ht="16.5" thickBot="1">
      <c r="A447" s="102"/>
      <c r="B447" s="10" t="str">
        <f>IFERROR(VLOOKUP(A447,Bel!A:F,6,0),"")</f>
        <v/>
      </c>
      <c r="C447" s="32" t="str">
        <f>IFERROR(VLOOKUP(A447,Bel!A:G,7,0),"")</f>
        <v/>
      </c>
      <c r="D447" s="52"/>
      <c r="E447" s="35" t="str">
        <f>IFERROR(VLOOKUP(D447,Bel!$E:$G,3,0),"")</f>
        <v/>
      </c>
      <c r="F447" s="38"/>
      <c r="G447" s="1">
        <f t="shared" si="0"/>
        <v>0</v>
      </c>
      <c r="H447"/>
      <c r="I447"/>
      <c r="J447"/>
    </row>
    <row r="448" spans="1:10" ht="16.5" thickBot="1">
      <c r="A448" s="102"/>
      <c r="B448" s="10" t="str">
        <f>IFERROR(VLOOKUP(A448,Bel!A:F,6,0),"")</f>
        <v/>
      </c>
      <c r="C448" s="32" t="str">
        <f>IFERROR(VLOOKUP(A448,Bel!A:G,7,0),"")</f>
        <v/>
      </c>
      <c r="D448" s="52"/>
      <c r="E448" s="35" t="str">
        <f>IFERROR(VLOOKUP(D448,Bel!$E:$G,3,0),"")</f>
        <v/>
      </c>
      <c r="F448" s="38"/>
      <c r="G448" s="1">
        <f t="shared" si="0"/>
        <v>0</v>
      </c>
      <c r="H448"/>
      <c r="I448"/>
      <c r="J448"/>
    </row>
    <row r="449" spans="1:10" ht="15.75">
      <c r="A449" s="102"/>
      <c r="B449" s="10" t="str">
        <f>IFERROR(VLOOKUP(A449,Bel!A:F,6,0),"")</f>
        <v/>
      </c>
      <c r="C449" s="32" t="str">
        <f>IFERROR(VLOOKUP(A449,Bel!A:G,7,0),"")</f>
        <v/>
      </c>
      <c r="D449" s="78"/>
      <c r="E449" s="35" t="str">
        <f>IFERROR(VLOOKUP(D449,Bel!$E:$G,3,0),"")</f>
        <v/>
      </c>
      <c r="F449" s="38"/>
      <c r="G449" s="1">
        <f t="shared" si="0"/>
        <v>0</v>
      </c>
      <c r="H449"/>
      <c r="I449"/>
      <c r="J449"/>
    </row>
    <row r="450" spans="1:10" ht="15.75">
      <c r="A450" s="97"/>
      <c r="B450" s="10" t="str">
        <f>IFERROR(VLOOKUP(A450,Bel!A:F,6,0),"")</f>
        <v/>
      </c>
      <c r="C450" s="32" t="str">
        <f>IFERROR(VLOOKUP(A450,Bel!A:G,7,0),"")</f>
        <v/>
      </c>
      <c r="D450" s="78"/>
      <c r="E450" s="35" t="str">
        <f>IFERROR(VLOOKUP(D450,Bel!$E:$G,3,0),"")</f>
        <v/>
      </c>
      <c r="F450" s="38"/>
      <c r="G450" s="1">
        <f t="shared" si="0"/>
        <v>0</v>
      </c>
      <c r="H450"/>
      <c r="I450"/>
      <c r="J450"/>
    </row>
    <row r="451" spans="1:10" ht="15.75">
      <c r="A451" s="97"/>
      <c r="B451" s="89" t="s">
        <v>120</v>
      </c>
      <c r="C451" s="32" t="str">
        <f>IFERROR(VLOOKUP(A451,Bel!A:G,7,0),"")</f>
        <v/>
      </c>
      <c r="D451" s="65"/>
      <c r="E451" s="35" t="str">
        <f>IFERROR(VLOOKUP(D451,Bel!$E:$G,3,0),"")</f>
        <v/>
      </c>
      <c r="F451" s="38"/>
      <c r="G451" s="1">
        <f t="shared" si="0"/>
        <v>0</v>
      </c>
      <c r="H451"/>
      <c r="I451"/>
      <c r="J451"/>
    </row>
    <row r="452" spans="1:10" ht="15.75">
      <c r="A452" s="97"/>
      <c r="B452" s="89" t="s">
        <v>316</v>
      </c>
      <c r="C452" s="32" t="str">
        <f>IFERROR(VLOOKUP(A452,Bel!A:G,7,0),"")</f>
        <v/>
      </c>
      <c r="D452" s="65"/>
      <c r="E452" s="35" t="str">
        <f>IFERROR(VLOOKUP(D452,Bel!$E:$G,3,0),"")</f>
        <v/>
      </c>
      <c r="F452" s="38"/>
      <c r="G452" s="1">
        <f t="shared" si="0"/>
        <v>0</v>
      </c>
      <c r="H452"/>
      <c r="I452"/>
      <c r="J452"/>
    </row>
    <row r="453" spans="1:10" ht="15.75">
      <c r="A453" s="97"/>
      <c r="B453" s="89" t="s">
        <v>124</v>
      </c>
      <c r="C453" s="32" t="str">
        <f>IFERROR(VLOOKUP(A453,Bel!A:G,7,0),"")</f>
        <v/>
      </c>
      <c r="D453" s="65"/>
      <c r="E453" s="35" t="str">
        <f>IFERROR(VLOOKUP(D453,Bel!$E:$G,3,0),"")</f>
        <v/>
      </c>
      <c r="F453" s="38"/>
      <c r="G453" s="1">
        <f t="shared" si="0"/>
        <v>0</v>
      </c>
      <c r="H453"/>
      <c r="I453"/>
      <c r="J453"/>
    </row>
    <row r="454" spans="1:10" ht="15.75">
      <c r="A454" s="97"/>
      <c r="B454" s="89" t="s">
        <v>308</v>
      </c>
      <c r="C454" s="32" t="str">
        <f>IFERROR(VLOOKUP(A454,Bel!A:G,7,0),"")</f>
        <v/>
      </c>
      <c r="D454" s="65"/>
      <c r="E454" s="35" t="str">
        <f>IFERROR(VLOOKUP(D454,Bel!$E:$G,3,0),"")</f>
        <v/>
      </c>
      <c r="F454" s="38"/>
      <c r="G454" s="1">
        <f t="shared" si="0"/>
        <v>0</v>
      </c>
      <c r="H454"/>
      <c r="I454"/>
      <c r="J454"/>
    </row>
    <row r="455" spans="1:10" ht="15.75">
      <c r="A455" s="97"/>
      <c r="B455" s="89" t="s">
        <v>306</v>
      </c>
      <c r="C455" s="32" t="str">
        <f>IFERROR(VLOOKUP(A455,Bel!A:G,7,0),"")</f>
        <v/>
      </c>
      <c r="D455" s="65"/>
      <c r="E455" s="35" t="str">
        <f>IFERROR(VLOOKUP(D455,Bel!$E:$G,3,0),"")</f>
        <v/>
      </c>
      <c r="F455" s="38"/>
      <c r="G455" s="1">
        <f t="shared" si="0"/>
        <v>0</v>
      </c>
      <c r="H455"/>
      <c r="I455"/>
      <c r="J455"/>
    </row>
    <row r="456" spans="1:10" ht="15.75">
      <c r="A456" s="97"/>
      <c r="B456" s="89" t="s">
        <v>275</v>
      </c>
      <c r="C456" s="32" t="str">
        <f>IFERROR(VLOOKUP(A456,Bel!A:G,7,0),"")</f>
        <v/>
      </c>
      <c r="D456" s="65"/>
      <c r="E456" s="35" t="str">
        <f>IFERROR(VLOOKUP(D456,Bel!$E:$G,3,0),"")</f>
        <v/>
      </c>
      <c r="F456" s="38"/>
      <c r="G456" s="1">
        <f t="shared" si="0"/>
        <v>0</v>
      </c>
      <c r="H456"/>
      <c r="I456"/>
      <c r="J456"/>
    </row>
    <row r="457" spans="1:10" ht="15.75">
      <c r="A457" s="97"/>
      <c r="B457" s="89" t="s">
        <v>176</v>
      </c>
      <c r="C457" s="32" t="str">
        <f>IFERROR(VLOOKUP(A457,Bel!A:G,7,0),"")</f>
        <v/>
      </c>
      <c r="D457" s="65"/>
      <c r="E457" s="35" t="str">
        <f>IFERROR(VLOOKUP(D457,Bel!$E:$G,3,0),"")</f>
        <v/>
      </c>
      <c r="F457" s="38"/>
      <c r="G457" s="1">
        <f t="shared" si="0"/>
        <v>0</v>
      </c>
      <c r="H457"/>
      <c r="I457"/>
      <c r="J457"/>
    </row>
    <row r="458" spans="1:10" ht="15.75">
      <c r="A458" s="97"/>
      <c r="B458" s="89" t="s">
        <v>232</v>
      </c>
      <c r="C458" s="32" t="str">
        <f>IFERROR(VLOOKUP(A458,Bel!A:G,7,0),"")</f>
        <v/>
      </c>
      <c r="D458" s="65"/>
      <c r="E458" s="35" t="str">
        <f>IFERROR(VLOOKUP(D458,Bel!$E:$G,3,0),"")</f>
        <v/>
      </c>
      <c r="F458" s="38"/>
      <c r="G458" s="1">
        <f t="shared" si="0"/>
        <v>0</v>
      </c>
      <c r="H458"/>
      <c r="I458"/>
      <c r="J458"/>
    </row>
    <row r="459" spans="1:10" ht="15.75">
      <c r="A459" s="97"/>
      <c r="B459" s="89" t="s">
        <v>236</v>
      </c>
      <c r="C459" s="32" t="str">
        <f>IFERROR(VLOOKUP(A459,Bel!A:G,7,0),"")</f>
        <v/>
      </c>
      <c r="D459" s="65"/>
      <c r="E459" s="35" t="str">
        <f>IFERROR(VLOOKUP(D459,Bel!$E:$G,3,0),"")</f>
        <v/>
      </c>
      <c r="F459" s="38"/>
      <c r="G459" s="1">
        <f t="shared" si="0"/>
        <v>0</v>
      </c>
      <c r="H459"/>
      <c r="I459"/>
      <c r="J459"/>
    </row>
    <row r="460" spans="1:10" ht="15.75">
      <c r="A460" s="97"/>
      <c r="B460" s="89" t="s">
        <v>249</v>
      </c>
      <c r="C460" s="32" t="str">
        <f>IFERROR(VLOOKUP(A460,Bel!A:G,7,0),"")</f>
        <v/>
      </c>
      <c r="D460" s="65"/>
      <c r="E460" s="35" t="str">
        <f>IFERROR(VLOOKUP(D460,Bel!$E:$G,3,0),"")</f>
        <v/>
      </c>
      <c r="F460" s="38"/>
      <c r="G460" s="1">
        <f t="shared" si="0"/>
        <v>0</v>
      </c>
      <c r="H460"/>
      <c r="I460"/>
      <c r="J460"/>
    </row>
    <row r="461" spans="1:10" ht="15.75">
      <c r="A461" s="97"/>
      <c r="B461" s="89" t="s">
        <v>254</v>
      </c>
      <c r="C461" s="32" t="str">
        <f>IFERROR(VLOOKUP(A461,Bel!A:G,7,0),"")</f>
        <v/>
      </c>
      <c r="D461" s="65"/>
      <c r="E461" s="35" t="str">
        <f>IFERROR(VLOOKUP(D461,Bel!$E:$G,3,0),"")</f>
        <v/>
      </c>
      <c r="F461" s="38"/>
      <c r="G461" s="1">
        <f t="shared" si="0"/>
        <v>0</v>
      </c>
      <c r="H461"/>
      <c r="I461"/>
      <c r="J461"/>
    </row>
    <row r="462" spans="1:10" ht="15.75">
      <c r="A462" s="97"/>
      <c r="B462" s="89" t="s">
        <v>472</v>
      </c>
      <c r="C462" s="32" t="str">
        <f>IFERROR(VLOOKUP(A462,Bel!A:G,7,0),"")</f>
        <v/>
      </c>
      <c r="D462" s="65"/>
      <c r="E462" s="35" t="str">
        <f>IFERROR(VLOOKUP(D462,Bel!$E:$G,3,0),"")</f>
        <v/>
      </c>
      <c r="F462" s="38"/>
      <c r="G462" s="1">
        <f t="shared" si="0"/>
        <v>0</v>
      </c>
      <c r="H462"/>
      <c r="I462"/>
      <c r="J462"/>
    </row>
    <row r="463" spans="1:10" ht="15.75">
      <c r="A463" s="97"/>
      <c r="B463" s="89" t="s">
        <v>246</v>
      </c>
      <c r="C463" s="32" t="str">
        <f>IFERROR(VLOOKUP(A463,Bel!A:G,7,0),"")</f>
        <v/>
      </c>
      <c r="D463" s="65"/>
      <c r="E463" s="35" t="str">
        <f>IFERROR(VLOOKUP(D463,Bel!$E:$G,3,0),"")</f>
        <v/>
      </c>
      <c r="F463" s="38"/>
      <c r="G463" s="1">
        <f t="shared" ref="G463:G526" si="1">A463</f>
        <v>0</v>
      </c>
      <c r="H463"/>
      <c r="I463"/>
      <c r="J463"/>
    </row>
    <row r="464" spans="1:10" ht="15.75">
      <c r="A464" s="97"/>
      <c r="B464" s="89" t="s">
        <v>291</v>
      </c>
      <c r="C464" s="32" t="str">
        <f>IFERROR(VLOOKUP(A464,Bel!A:G,7,0),"")</f>
        <v/>
      </c>
      <c r="D464" s="65"/>
      <c r="E464" s="35" t="str">
        <f>IFERROR(VLOOKUP(D464,Bel!$E:$G,3,0),"")</f>
        <v/>
      </c>
      <c r="F464" s="38"/>
      <c r="G464" s="1">
        <f t="shared" si="1"/>
        <v>0</v>
      </c>
      <c r="H464"/>
      <c r="I464"/>
      <c r="J464"/>
    </row>
    <row r="465" spans="1:10" ht="15.75">
      <c r="A465" s="97"/>
      <c r="B465" s="89" t="s">
        <v>233</v>
      </c>
      <c r="C465" s="32" t="str">
        <f>IFERROR(VLOOKUP(A465,Bel!A:G,7,0),"")</f>
        <v/>
      </c>
      <c r="D465" s="65"/>
      <c r="E465" s="35" t="str">
        <f>IFERROR(VLOOKUP(D465,Bel!$E:$G,3,0),"")</f>
        <v/>
      </c>
      <c r="F465" s="38"/>
      <c r="G465" s="1">
        <f t="shared" si="1"/>
        <v>0</v>
      </c>
      <c r="H465"/>
      <c r="I465"/>
      <c r="J465"/>
    </row>
    <row r="466" spans="1:10" ht="15.75">
      <c r="A466" s="97"/>
      <c r="B466" s="89" t="s">
        <v>235</v>
      </c>
      <c r="C466" s="32" t="str">
        <f>IFERROR(VLOOKUP(A466,Bel!A:G,7,0),"")</f>
        <v/>
      </c>
      <c r="D466" s="65"/>
      <c r="E466" s="35" t="str">
        <f>IFERROR(VLOOKUP(D466,Bel!$E:$G,3,0),"")</f>
        <v/>
      </c>
      <c r="F466" s="38"/>
      <c r="G466" s="1">
        <f t="shared" si="1"/>
        <v>0</v>
      </c>
      <c r="H466"/>
      <c r="I466"/>
      <c r="J466"/>
    </row>
    <row r="467" spans="1:10" ht="15.75">
      <c r="A467" s="97"/>
      <c r="B467" s="89" t="s">
        <v>234</v>
      </c>
      <c r="C467" s="32" t="str">
        <f>IFERROR(VLOOKUP(A467,Bel!A:G,7,0),"")</f>
        <v/>
      </c>
      <c r="D467" s="65"/>
      <c r="E467" s="35" t="str">
        <f>IFERROR(VLOOKUP(D467,Bel!$E:$G,3,0),"")</f>
        <v/>
      </c>
      <c r="F467" s="38"/>
      <c r="G467" s="1">
        <f t="shared" si="1"/>
        <v>0</v>
      </c>
      <c r="H467"/>
      <c r="I467"/>
      <c r="J467"/>
    </row>
    <row r="468" spans="1:10" ht="15.75">
      <c r="A468" s="97"/>
      <c r="B468" s="89" t="s">
        <v>237</v>
      </c>
      <c r="C468" s="32" t="str">
        <f>IFERROR(VLOOKUP(A468,Bel!A:G,7,0),"")</f>
        <v/>
      </c>
      <c r="D468" s="65"/>
      <c r="E468" s="35" t="str">
        <f>IFERROR(VLOOKUP(D468,Bel!$E:$G,3,0),"")</f>
        <v/>
      </c>
      <c r="F468" s="38"/>
      <c r="G468" s="1">
        <f t="shared" si="1"/>
        <v>0</v>
      </c>
      <c r="H468"/>
      <c r="I468"/>
      <c r="J468"/>
    </row>
    <row r="469" spans="1:10" ht="15.75">
      <c r="A469" s="97"/>
      <c r="B469" s="89" t="s">
        <v>247</v>
      </c>
      <c r="C469" s="32" t="str">
        <f>IFERROR(VLOOKUP(A469,Bel!A:G,7,0),"")</f>
        <v/>
      </c>
      <c r="D469" s="65"/>
      <c r="E469" s="35" t="str">
        <f>IFERROR(VLOOKUP(D469,Bel!$E:$G,3,0),"")</f>
        <v/>
      </c>
      <c r="F469" s="38"/>
      <c r="G469" s="1">
        <f t="shared" si="1"/>
        <v>0</v>
      </c>
      <c r="H469"/>
      <c r="I469"/>
      <c r="J469"/>
    </row>
    <row r="470" spans="1:10" ht="15.75">
      <c r="A470" s="97"/>
      <c r="B470" s="89" t="s">
        <v>225</v>
      </c>
      <c r="C470" s="32" t="str">
        <f>IFERROR(VLOOKUP(A470,Bel!A:G,7,0),"")</f>
        <v/>
      </c>
      <c r="D470" s="65"/>
      <c r="E470" s="35" t="str">
        <f>IFERROR(VLOOKUP(D470,Bel!$E:$G,3,0),"")</f>
        <v/>
      </c>
      <c r="F470" s="38"/>
      <c r="G470" s="1">
        <f t="shared" si="1"/>
        <v>0</v>
      </c>
      <c r="H470"/>
      <c r="I470"/>
      <c r="J470"/>
    </row>
    <row r="471" spans="1:10" ht="15.75">
      <c r="A471" s="97"/>
      <c r="B471" s="89" t="s">
        <v>227</v>
      </c>
      <c r="C471" s="32" t="str">
        <f>IFERROR(VLOOKUP(A471,Bel!A:G,7,0),"")</f>
        <v/>
      </c>
      <c r="D471" s="65"/>
      <c r="E471" s="35" t="str">
        <f>IFERROR(VLOOKUP(D471,Bel!$E:$G,3,0),"")</f>
        <v/>
      </c>
      <c r="F471" s="38"/>
      <c r="G471" s="1">
        <f t="shared" si="1"/>
        <v>0</v>
      </c>
      <c r="H471"/>
      <c r="I471"/>
      <c r="J471"/>
    </row>
    <row r="472" spans="1:10" ht="15.75">
      <c r="A472" s="97"/>
      <c r="B472" s="89" t="s">
        <v>255</v>
      </c>
      <c r="C472" s="32" t="str">
        <f>IFERROR(VLOOKUP(A472,Bel!A:G,7,0),"")</f>
        <v/>
      </c>
      <c r="D472" s="65"/>
      <c r="E472" s="35" t="str">
        <f>IFERROR(VLOOKUP(D472,Bel!$E:$G,3,0),"")</f>
        <v/>
      </c>
      <c r="F472" s="38"/>
      <c r="G472" s="1">
        <f t="shared" si="1"/>
        <v>0</v>
      </c>
      <c r="H472"/>
      <c r="I472"/>
      <c r="J472"/>
    </row>
    <row r="473" spans="1:10" ht="15.75">
      <c r="A473" s="97"/>
      <c r="B473" s="89" t="s">
        <v>241</v>
      </c>
      <c r="C473" s="32" t="str">
        <f>IFERROR(VLOOKUP(A473,Bel!A:G,7,0),"")</f>
        <v/>
      </c>
      <c r="D473" s="65"/>
      <c r="E473" s="35" t="str">
        <f>IFERROR(VLOOKUP(D473,Bel!$E:$G,3,0),"")</f>
        <v/>
      </c>
      <c r="F473" s="38"/>
      <c r="G473" s="1">
        <f t="shared" si="1"/>
        <v>0</v>
      </c>
      <c r="H473"/>
      <c r="I473"/>
      <c r="J473"/>
    </row>
    <row r="474" spans="1:10" ht="15.75">
      <c r="A474" s="97"/>
      <c r="B474" s="89" t="s">
        <v>240</v>
      </c>
      <c r="C474" s="32" t="str">
        <f>IFERROR(VLOOKUP(A474,Bel!A:G,7,0),"")</f>
        <v/>
      </c>
      <c r="D474" s="65"/>
      <c r="E474" s="35" t="str">
        <f>IFERROR(VLOOKUP(D474,Bel!$E:$G,3,0),"")</f>
        <v/>
      </c>
      <c r="F474" s="38"/>
      <c r="G474" s="1">
        <f t="shared" si="1"/>
        <v>0</v>
      </c>
      <c r="H474"/>
      <c r="I474"/>
      <c r="J474"/>
    </row>
    <row r="475" spans="1:10" ht="15.75">
      <c r="A475" s="97"/>
      <c r="B475" s="89" t="s">
        <v>144</v>
      </c>
      <c r="C475" s="32" t="str">
        <f>IFERROR(VLOOKUP(A475,Bel!A:G,7,0),"")</f>
        <v/>
      </c>
      <c r="D475" s="65"/>
      <c r="E475" s="35" t="str">
        <f>IFERROR(VLOOKUP(D475,Bel!$E:$G,3,0),"")</f>
        <v/>
      </c>
      <c r="F475" s="38"/>
      <c r="G475" s="1">
        <f t="shared" si="1"/>
        <v>0</v>
      </c>
      <c r="H475"/>
      <c r="I475"/>
      <c r="J475"/>
    </row>
    <row r="476" spans="1:10" ht="15.75">
      <c r="A476" s="97"/>
      <c r="B476" s="89" t="s">
        <v>115</v>
      </c>
      <c r="C476" s="32" t="str">
        <f>IFERROR(VLOOKUP(A476,Bel!A:G,7,0),"")</f>
        <v/>
      </c>
      <c r="D476" s="65"/>
      <c r="E476" s="35" t="str">
        <f>IFERROR(VLOOKUP(D476,Bel!$E:$G,3,0),"")</f>
        <v/>
      </c>
      <c r="F476" s="38"/>
      <c r="G476" s="1">
        <f t="shared" si="1"/>
        <v>0</v>
      </c>
      <c r="H476"/>
      <c r="I476"/>
      <c r="J476"/>
    </row>
    <row r="477" spans="1:10" ht="15.75">
      <c r="A477" s="97"/>
      <c r="B477" s="89" t="s">
        <v>145</v>
      </c>
      <c r="C477" s="32" t="str">
        <f>IFERROR(VLOOKUP(A477,Bel!A:G,7,0),"")</f>
        <v/>
      </c>
      <c r="D477" s="65"/>
      <c r="E477" s="35" t="str">
        <f>IFERROR(VLOOKUP(D477,Bel!$E:$G,3,0),"")</f>
        <v/>
      </c>
      <c r="F477" s="38"/>
      <c r="G477" s="1">
        <f t="shared" si="1"/>
        <v>0</v>
      </c>
      <c r="H477"/>
      <c r="I477"/>
      <c r="J477"/>
    </row>
    <row r="478" spans="1:10" ht="15.75">
      <c r="A478" s="97"/>
      <c r="B478" s="89" t="s">
        <v>116</v>
      </c>
      <c r="C478" s="32" t="str">
        <f>IFERROR(VLOOKUP(A478,Bel!A:G,7,0),"")</f>
        <v/>
      </c>
      <c r="D478" s="65"/>
      <c r="E478" s="35" t="str">
        <f>IFERROR(VLOOKUP(D478,Bel!$E:$G,3,0),"")</f>
        <v/>
      </c>
      <c r="F478" s="38"/>
      <c r="G478" s="1">
        <f t="shared" si="1"/>
        <v>0</v>
      </c>
      <c r="H478"/>
      <c r="I478"/>
      <c r="J478"/>
    </row>
    <row r="479" spans="1:10" ht="15.75">
      <c r="A479" s="97"/>
      <c r="B479" s="89" t="s">
        <v>287</v>
      </c>
      <c r="C479" s="32" t="str">
        <f>IFERROR(VLOOKUP(A479,Bel!A:G,7,0),"")</f>
        <v/>
      </c>
      <c r="D479" s="65"/>
      <c r="E479" s="35" t="str">
        <f>IFERROR(VLOOKUP(D479,Bel!$E:$G,3,0),"")</f>
        <v/>
      </c>
      <c r="F479" s="38"/>
      <c r="G479" s="1">
        <f t="shared" si="1"/>
        <v>0</v>
      </c>
      <c r="H479"/>
      <c r="I479"/>
      <c r="J479"/>
    </row>
    <row r="480" spans="1:10" ht="15.75">
      <c r="A480" s="97"/>
      <c r="B480" s="89" t="s">
        <v>117</v>
      </c>
      <c r="C480" s="32" t="str">
        <f>IFERROR(VLOOKUP(A480,Bel!A:G,7,0),"")</f>
        <v/>
      </c>
      <c r="D480" s="65"/>
      <c r="E480" s="35" t="str">
        <f>IFERROR(VLOOKUP(D480,Bel!$E:$G,3,0),"")</f>
        <v/>
      </c>
      <c r="F480" s="38"/>
      <c r="G480" s="1">
        <f t="shared" si="1"/>
        <v>0</v>
      </c>
      <c r="H480"/>
      <c r="I480"/>
      <c r="J480"/>
    </row>
    <row r="481" spans="1:10" ht="15.75">
      <c r="A481" s="97"/>
      <c r="B481" s="89" t="s">
        <v>199</v>
      </c>
      <c r="C481" s="32" t="str">
        <f>IFERROR(VLOOKUP(A481,Bel!A:G,7,0),"")</f>
        <v/>
      </c>
      <c r="D481" s="65"/>
      <c r="E481" s="35" t="str">
        <f>IFERROR(VLOOKUP(D481,Bel!$E:$G,3,0),"")</f>
        <v/>
      </c>
      <c r="F481" s="38"/>
      <c r="G481" s="1">
        <f t="shared" si="1"/>
        <v>0</v>
      </c>
      <c r="H481"/>
      <c r="I481"/>
      <c r="J481"/>
    </row>
    <row r="482" spans="1:10" ht="15.75">
      <c r="A482" s="97"/>
      <c r="B482" s="89" t="s">
        <v>200</v>
      </c>
      <c r="C482" s="32" t="str">
        <f>IFERROR(VLOOKUP(A482,Bel!A:G,7,0),"")</f>
        <v/>
      </c>
      <c r="D482" s="65"/>
      <c r="E482" s="35" t="str">
        <f>IFERROR(VLOOKUP(D482,Bel!$E:$G,3,0),"")</f>
        <v/>
      </c>
      <c r="F482" s="38"/>
      <c r="G482" s="1">
        <f t="shared" si="1"/>
        <v>0</v>
      </c>
      <c r="H482"/>
      <c r="I482"/>
      <c r="J482"/>
    </row>
    <row r="483" spans="1:10" ht="15.75">
      <c r="A483" s="97"/>
      <c r="B483" s="89" t="s">
        <v>202</v>
      </c>
      <c r="C483" s="32" t="str">
        <f>IFERROR(VLOOKUP(A483,Bel!A:G,7,0),"")</f>
        <v/>
      </c>
      <c r="D483" s="65"/>
      <c r="E483" s="35" t="str">
        <f>IFERROR(VLOOKUP(D483,Bel!$E:$G,3,0),"")</f>
        <v/>
      </c>
      <c r="F483" s="38"/>
      <c r="G483" s="1">
        <f t="shared" si="1"/>
        <v>0</v>
      </c>
      <c r="H483"/>
      <c r="I483"/>
      <c r="J483"/>
    </row>
    <row r="484" spans="1:10" ht="15.75">
      <c r="A484" s="97"/>
      <c r="B484" s="89" t="s">
        <v>201</v>
      </c>
      <c r="C484" s="32" t="str">
        <f>IFERROR(VLOOKUP(A484,Bel!A:G,7,0),"")</f>
        <v/>
      </c>
      <c r="D484" s="65"/>
      <c r="E484" s="35" t="str">
        <f>IFERROR(VLOOKUP(D484,Bel!$E:$G,3,0),"")</f>
        <v/>
      </c>
      <c r="F484" s="38"/>
      <c r="G484" s="1">
        <f t="shared" si="1"/>
        <v>0</v>
      </c>
      <c r="H484"/>
      <c r="I484"/>
      <c r="J484"/>
    </row>
    <row r="485" spans="1:10" ht="15.75">
      <c r="A485" s="97"/>
      <c r="B485" s="89" t="s">
        <v>473</v>
      </c>
      <c r="C485" s="32" t="str">
        <f>IFERROR(VLOOKUP(A485,Bel!A:G,7,0),"")</f>
        <v/>
      </c>
      <c r="D485" s="65"/>
      <c r="E485" s="35" t="str">
        <f>IFERROR(VLOOKUP(D485,Bel!$E:$G,3,0),"")</f>
        <v/>
      </c>
      <c r="F485" s="38"/>
      <c r="G485" s="1">
        <f t="shared" si="1"/>
        <v>0</v>
      </c>
      <c r="H485"/>
      <c r="I485"/>
      <c r="J485"/>
    </row>
    <row r="486" spans="1:10" ht="15.75">
      <c r="A486" s="97"/>
      <c r="B486" s="89" t="s">
        <v>169</v>
      </c>
      <c r="C486" s="32" t="str">
        <f>IFERROR(VLOOKUP(A486,Bel!A:G,7,0),"")</f>
        <v/>
      </c>
      <c r="D486" s="65"/>
      <c r="E486" s="35" t="str">
        <f>IFERROR(VLOOKUP(D486,Bel!$E:$G,3,0),"")</f>
        <v/>
      </c>
      <c r="F486" s="38"/>
      <c r="G486" s="1">
        <f t="shared" si="1"/>
        <v>0</v>
      </c>
      <c r="H486"/>
      <c r="I486"/>
      <c r="J486"/>
    </row>
    <row r="487" spans="1:10" ht="15.75">
      <c r="A487" s="97"/>
      <c r="B487" s="89" t="s">
        <v>172</v>
      </c>
      <c r="C487" s="32" t="str">
        <f>IFERROR(VLOOKUP(A487,Bel!A:G,7,0),"")</f>
        <v/>
      </c>
      <c r="D487" s="65"/>
      <c r="E487" s="35" t="str">
        <f>IFERROR(VLOOKUP(D487,Bel!$E:$G,3,0),"")</f>
        <v/>
      </c>
      <c r="F487" s="38"/>
      <c r="G487" s="1">
        <f t="shared" si="1"/>
        <v>0</v>
      </c>
      <c r="H487"/>
      <c r="I487"/>
      <c r="J487"/>
    </row>
    <row r="488" spans="1:10" ht="15.75">
      <c r="A488" s="97"/>
      <c r="B488" s="89" t="s">
        <v>173</v>
      </c>
      <c r="C488" s="32" t="str">
        <f>IFERROR(VLOOKUP(A488,Bel!A:G,7,0),"")</f>
        <v/>
      </c>
      <c r="D488" s="65"/>
      <c r="E488" s="35" t="str">
        <f>IFERROR(VLOOKUP(D488,Bel!$E:$G,3,0),"")</f>
        <v/>
      </c>
      <c r="F488" s="38"/>
      <c r="G488" s="1">
        <f t="shared" si="1"/>
        <v>0</v>
      </c>
      <c r="H488"/>
      <c r="I488"/>
      <c r="J488"/>
    </row>
    <row r="489" spans="1:10" ht="15.75">
      <c r="A489" s="97"/>
      <c r="B489" s="89" t="s">
        <v>174</v>
      </c>
      <c r="C489" s="32" t="str">
        <f>IFERROR(VLOOKUP(A489,Bel!A:G,7,0),"")</f>
        <v/>
      </c>
      <c r="D489" s="65"/>
      <c r="E489" s="35" t="str">
        <f>IFERROR(VLOOKUP(D489,Bel!$E:$G,3,0),"")</f>
        <v/>
      </c>
      <c r="F489" s="38"/>
      <c r="G489" s="1">
        <f t="shared" si="1"/>
        <v>0</v>
      </c>
      <c r="H489"/>
      <c r="I489"/>
      <c r="J489"/>
    </row>
    <row r="490" spans="1:10" ht="15.75">
      <c r="A490" s="97"/>
      <c r="B490" s="89" t="s">
        <v>474</v>
      </c>
      <c r="C490" s="32" t="str">
        <f>IFERROR(VLOOKUP(A490,Bel!A:G,7,0),"")</f>
        <v/>
      </c>
      <c r="D490" s="65"/>
      <c r="E490" s="35" t="str">
        <f>IFERROR(VLOOKUP(D490,Bel!$E:$G,3,0),"")</f>
        <v/>
      </c>
      <c r="F490" s="38"/>
      <c r="G490" s="1">
        <f t="shared" si="1"/>
        <v>0</v>
      </c>
      <c r="H490"/>
      <c r="I490"/>
      <c r="J490"/>
    </row>
    <row r="491" spans="1:10" ht="15.75">
      <c r="A491" s="97"/>
      <c r="B491" s="89" t="s">
        <v>475</v>
      </c>
      <c r="C491" s="32" t="str">
        <f>IFERROR(VLOOKUP(A491,Bel!A:G,7,0),"")</f>
        <v/>
      </c>
      <c r="D491" s="65"/>
      <c r="E491" s="35" t="str">
        <f>IFERROR(VLOOKUP(D491,Bel!$E:$G,3,0),"")</f>
        <v/>
      </c>
      <c r="F491" s="38"/>
      <c r="G491" s="1">
        <f t="shared" si="1"/>
        <v>0</v>
      </c>
      <c r="H491"/>
      <c r="I491"/>
      <c r="J491"/>
    </row>
    <row r="492" spans="1:10" ht="15.75">
      <c r="A492" s="97"/>
      <c r="B492" s="89" t="s">
        <v>476</v>
      </c>
      <c r="C492" s="32" t="str">
        <f>IFERROR(VLOOKUP(A492,Bel!A:G,7,0),"")</f>
        <v/>
      </c>
      <c r="D492" s="65"/>
      <c r="E492" s="35" t="str">
        <f>IFERROR(VLOOKUP(D492,Bel!$E:$G,3,0),"")</f>
        <v/>
      </c>
      <c r="F492" s="38"/>
      <c r="G492" s="1">
        <f t="shared" si="1"/>
        <v>0</v>
      </c>
      <c r="H492"/>
      <c r="I492"/>
      <c r="J492"/>
    </row>
    <row r="493" spans="1:10" ht="15.75">
      <c r="A493" s="97"/>
      <c r="B493" s="89" t="s">
        <v>477</v>
      </c>
      <c r="C493" s="32" t="str">
        <f>IFERROR(VLOOKUP(A493,Bel!A:G,7,0),"")</f>
        <v/>
      </c>
      <c r="D493" s="65"/>
      <c r="E493" s="35" t="str">
        <f>IFERROR(VLOOKUP(D493,Bel!$E:$G,3,0),"")</f>
        <v/>
      </c>
      <c r="F493" s="38"/>
      <c r="G493" s="1">
        <f t="shared" si="1"/>
        <v>0</v>
      </c>
      <c r="H493"/>
      <c r="I493"/>
      <c r="J493"/>
    </row>
    <row r="494" spans="1:10" ht="15.75">
      <c r="A494" s="97"/>
      <c r="B494" s="89" t="s">
        <v>478</v>
      </c>
      <c r="C494" s="32" t="str">
        <f>IFERROR(VLOOKUP(A494,Bel!A:G,7,0),"")</f>
        <v/>
      </c>
      <c r="D494" s="65"/>
      <c r="E494" s="35" t="str">
        <f>IFERROR(VLOOKUP(D494,Bel!$E:$G,3,0),"")</f>
        <v/>
      </c>
      <c r="F494" s="38"/>
      <c r="G494" s="1">
        <f t="shared" si="1"/>
        <v>0</v>
      </c>
      <c r="H494"/>
      <c r="I494"/>
      <c r="J494"/>
    </row>
    <row r="495" spans="1:10" ht="15.75">
      <c r="A495" s="102"/>
      <c r="B495" s="10" t="str">
        <f>IFERROR(VLOOKUP(A495,Bel!A:F,6,0),"")</f>
        <v/>
      </c>
      <c r="C495" s="32" t="str">
        <f>IFERROR(VLOOKUP(A495,Bel!A:G,7,0),"")</f>
        <v/>
      </c>
      <c r="D495" s="66"/>
      <c r="E495" s="35" t="str">
        <f>IFERROR(VLOOKUP(D495,Bel!$E:$G,3,0),"")</f>
        <v/>
      </c>
      <c r="F495" s="38"/>
      <c r="G495" s="1">
        <f t="shared" si="1"/>
        <v>0</v>
      </c>
      <c r="H495"/>
      <c r="I495"/>
      <c r="J495"/>
    </row>
    <row r="496" spans="1:10" ht="15.75">
      <c r="A496" s="102"/>
      <c r="B496" s="10" t="str">
        <f>IFERROR(VLOOKUP(A496,Bel!A:F,6,0),"")</f>
        <v/>
      </c>
      <c r="C496" s="32" t="str">
        <f>IFERROR(VLOOKUP(A496,Bel!A:G,7,0),"")</f>
        <v/>
      </c>
      <c r="D496" s="66"/>
      <c r="E496" s="35" t="str">
        <f>IFERROR(VLOOKUP(D496,Bel!$E:$G,3,0),"")</f>
        <v/>
      </c>
      <c r="F496" s="38"/>
      <c r="G496" s="1">
        <f t="shared" si="1"/>
        <v>0</v>
      </c>
      <c r="H496"/>
      <c r="I496"/>
      <c r="J496"/>
    </row>
    <row r="497" spans="1:10" ht="15.75">
      <c r="A497" s="102"/>
      <c r="B497" s="10" t="str">
        <f>IFERROR(VLOOKUP(A497,Bel!A:F,6,0),"")</f>
        <v/>
      </c>
      <c r="C497" s="32" t="str">
        <f>IFERROR(VLOOKUP(A497,Bel!A:G,7,0),"")</f>
        <v/>
      </c>
      <c r="D497" s="66"/>
      <c r="E497" s="35" t="str">
        <f>IFERROR(VLOOKUP(D497,Bel!$E:$G,3,0),"")</f>
        <v/>
      </c>
      <c r="F497" s="38"/>
      <c r="G497" s="1">
        <f t="shared" si="1"/>
        <v>0</v>
      </c>
      <c r="H497"/>
      <c r="I497"/>
      <c r="J497"/>
    </row>
    <row r="498" spans="1:10" ht="15.75">
      <c r="A498" s="102"/>
      <c r="B498" s="10" t="str">
        <f>IFERROR(VLOOKUP(A498,Bel!A:F,6,0),"")</f>
        <v/>
      </c>
      <c r="C498" s="32" t="str">
        <f>IFERROR(VLOOKUP(A498,Bel!A:G,7,0),"")</f>
        <v/>
      </c>
      <c r="D498" s="66"/>
      <c r="E498" s="35" t="str">
        <f>IFERROR(VLOOKUP(D498,Bel!$E:$G,3,0),"")</f>
        <v/>
      </c>
      <c r="F498" s="38"/>
      <c r="G498" s="1">
        <f t="shared" si="1"/>
        <v>0</v>
      </c>
      <c r="H498"/>
      <c r="I498"/>
      <c r="J498"/>
    </row>
    <row r="499" spans="1:10" ht="15.75">
      <c r="A499" s="102"/>
      <c r="B499" s="10" t="str">
        <f>IFERROR(VLOOKUP(A499,Bel!A:F,6,0),"")</f>
        <v/>
      </c>
      <c r="C499" s="32" t="str">
        <f>IFERROR(VLOOKUP(A499,Bel!A:G,7,0),"")</f>
        <v/>
      </c>
      <c r="D499" s="66"/>
      <c r="E499" s="35" t="str">
        <f>IFERROR(VLOOKUP(D499,Bel!$E:$G,3,0),"")</f>
        <v/>
      </c>
      <c r="F499" s="38"/>
      <c r="G499" s="1">
        <f t="shared" si="1"/>
        <v>0</v>
      </c>
      <c r="H499"/>
      <c r="I499"/>
      <c r="J499"/>
    </row>
    <row r="500" spans="1:10" ht="15.75">
      <c r="A500" s="102"/>
      <c r="B500" s="10" t="str">
        <f>IFERROR(VLOOKUP(A500,Bel!A:F,6,0),"")</f>
        <v/>
      </c>
      <c r="C500" s="32" t="str">
        <f>IFERROR(VLOOKUP(A500,Bel!A:G,7,0),"")</f>
        <v/>
      </c>
      <c r="D500" s="66"/>
      <c r="E500" s="35" t="str">
        <f>IFERROR(VLOOKUP(D500,Bel!$E:$G,3,0),"")</f>
        <v/>
      </c>
      <c r="F500" s="38"/>
      <c r="G500" s="1">
        <f t="shared" si="1"/>
        <v>0</v>
      </c>
      <c r="H500"/>
      <c r="I500"/>
      <c r="J500"/>
    </row>
    <row r="501" spans="1:10" ht="15.75">
      <c r="A501" s="102"/>
      <c r="B501" s="10" t="str">
        <f>IFERROR(VLOOKUP(A501,Bel!A:F,6,0),"")</f>
        <v/>
      </c>
      <c r="C501" s="32" t="str">
        <f>IFERROR(VLOOKUP(A501,Bel!A:G,7,0),"")</f>
        <v/>
      </c>
      <c r="D501" s="66"/>
      <c r="E501" s="35" t="str">
        <f>IFERROR(VLOOKUP(D501,Bel!$E:$G,3,0),"")</f>
        <v/>
      </c>
      <c r="F501" s="38"/>
      <c r="G501" s="1">
        <f t="shared" si="1"/>
        <v>0</v>
      </c>
      <c r="H501"/>
      <c r="I501"/>
      <c r="J501"/>
    </row>
    <row r="502" spans="1:10" ht="15.75">
      <c r="A502" s="102"/>
      <c r="B502" s="10" t="str">
        <f>IFERROR(VLOOKUP(A502,Bel!A:F,6,0),"")</f>
        <v/>
      </c>
      <c r="C502" s="32" t="str">
        <f>IFERROR(VLOOKUP(A502,Bel!A:G,7,0),"")</f>
        <v/>
      </c>
      <c r="D502" s="66"/>
      <c r="E502" s="35" t="str">
        <f>IFERROR(VLOOKUP(D502,Bel!$E:$G,3,0),"")</f>
        <v/>
      </c>
      <c r="F502" s="38"/>
      <c r="G502" s="1">
        <f t="shared" si="1"/>
        <v>0</v>
      </c>
      <c r="H502"/>
      <c r="I502"/>
      <c r="J502"/>
    </row>
    <row r="503" spans="1:10" ht="15.75">
      <c r="A503" s="102"/>
      <c r="B503" s="10" t="str">
        <f>IFERROR(VLOOKUP(A503,Bel!A:F,6,0),"")</f>
        <v/>
      </c>
      <c r="C503" s="32" t="str">
        <f>IFERROR(VLOOKUP(A503,Bel!A:G,7,0),"")</f>
        <v/>
      </c>
      <c r="D503" s="66"/>
      <c r="E503" s="35" t="str">
        <f>IFERROR(VLOOKUP(D503,Bel!$E:$G,3,0),"")</f>
        <v/>
      </c>
      <c r="F503" s="38"/>
      <c r="G503" s="1">
        <f t="shared" si="1"/>
        <v>0</v>
      </c>
      <c r="H503"/>
      <c r="I503"/>
      <c r="J503"/>
    </row>
    <row r="504" spans="1:10" ht="15.75">
      <c r="A504" s="102"/>
      <c r="B504" s="10" t="str">
        <f>IFERROR(VLOOKUP(A504,Bel!A:F,6,0),"")</f>
        <v/>
      </c>
      <c r="C504" s="32" t="str">
        <f>IFERROR(VLOOKUP(A504,Bel!A:G,7,0),"")</f>
        <v/>
      </c>
      <c r="D504" s="66"/>
      <c r="E504" s="35" t="str">
        <f>IFERROR(VLOOKUP(D504,Bel!$E:$G,3,0),"")</f>
        <v/>
      </c>
      <c r="F504" s="38"/>
      <c r="G504" s="1">
        <f t="shared" si="1"/>
        <v>0</v>
      </c>
      <c r="H504"/>
      <c r="I504"/>
      <c r="J504"/>
    </row>
    <row r="505" spans="1:10" ht="15.75">
      <c r="A505" s="102"/>
      <c r="B505" s="10" t="str">
        <f>IFERROR(VLOOKUP(A505,Bel!A:F,6,0),"")</f>
        <v/>
      </c>
      <c r="C505" s="32" t="str">
        <f>IFERROR(VLOOKUP(A505,Bel!A:G,7,0),"")</f>
        <v/>
      </c>
      <c r="D505" s="66"/>
      <c r="E505" s="35" t="str">
        <f>IFERROR(VLOOKUP(D505,Bel!$E:$G,3,0),"")</f>
        <v/>
      </c>
      <c r="F505" s="38"/>
      <c r="G505" s="1">
        <f t="shared" si="1"/>
        <v>0</v>
      </c>
      <c r="H505"/>
      <c r="I505"/>
      <c r="J505"/>
    </row>
    <row r="506" spans="1:10" ht="15.75">
      <c r="A506" s="102"/>
      <c r="B506" s="10" t="str">
        <f>IFERROR(VLOOKUP(A506,Bel!A:F,6,0),"")</f>
        <v/>
      </c>
      <c r="C506" s="32" t="str">
        <f>IFERROR(VLOOKUP(A506,Bel!A:G,7,0),"")</f>
        <v/>
      </c>
      <c r="D506" s="66"/>
      <c r="E506" s="35" t="str">
        <f>IFERROR(VLOOKUP(D506,Bel!$E:$G,3,0),"")</f>
        <v/>
      </c>
      <c r="F506" s="38"/>
      <c r="G506" s="1">
        <f t="shared" si="1"/>
        <v>0</v>
      </c>
      <c r="H506"/>
      <c r="I506"/>
      <c r="J506"/>
    </row>
    <row r="507" spans="1:10" ht="15.75">
      <c r="A507" s="102"/>
      <c r="B507" s="10" t="str">
        <f>IFERROR(VLOOKUP(A507,Bel!A:F,6,0),"")</f>
        <v/>
      </c>
      <c r="C507" s="32" t="str">
        <f>IFERROR(VLOOKUP(A507,Bel!A:G,7,0),"")</f>
        <v/>
      </c>
      <c r="D507" s="66"/>
      <c r="E507" s="35" t="str">
        <f>IFERROR(VLOOKUP(D507,Bel!$E:$G,3,0),"")</f>
        <v/>
      </c>
      <c r="F507" s="38"/>
      <c r="G507" s="1">
        <f t="shared" si="1"/>
        <v>0</v>
      </c>
      <c r="H507"/>
      <c r="I507"/>
      <c r="J507"/>
    </row>
    <row r="508" spans="1:10" ht="15.75">
      <c r="A508" s="102"/>
      <c r="B508" s="10" t="str">
        <f>IFERROR(VLOOKUP(A508,Bel!A:F,6,0),"")</f>
        <v/>
      </c>
      <c r="C508" s="32" t="str">
        <f>IFERROR(VLOOKUP(A508,Bel!A:G,7,0),"")</f>
        <v/>
      </c>
      <c r="D508" s="66"/>
      <c r="E508" s="35" t="str">
        <f>IFERROR(VLOOKUP(D508,Bel!$E:$G,3,0),"")</f>
        <v/>
      </c>
      <c r="F508" s="38"/>
      <c r="G508" s="1">
        <f t="shared" si="1"/>
        <v>0</v>
      </c>
      <c r="H508"/>
      <c r="I508"/>
      <c r="J508"/>
    </row>
    <row r="509" spans="1:10" ht="15.75">
      <c r="A509" s="102"/>
      <c r="B509" s="10" t="str">
        <f>IFERROR(VLOOKUP(A509,Bel!A:F,6,0),"")</f>
        <v/>
      </c>
      <c r="C509" s="32" t="str">
        <f>IFERROR(VLOOKUP(A509,Bel!A:G,7,0),"")</f>
        <v/>
      </c>
      <c r="D509" s="66"/>
      <c r="E509" s="35" t="str">
        <f>IFERROR(VLOOKUP(D509,Bel!$E:$G,3,0),"")</f>
        <v/>
      </c>
      <c r="F509" s="38"/>
      <c r="G509" s="1">
        <f t="shared" si="1"/>
        <v>0</v>
      </c>
      <c r="H509"/>
      <c r="I509"/>
      <c r="J509"/>
    </row>
    <row r="510" spans="1:10" ht="15.75">
      <c r="A510" s="102"/>
      <c r="B510" s="10" t="str">
        <f>IFERROR(VLOOKUP(A510,Bel!A:F,6,0),"")</f>
        <v/>
      </c>
      <c r="C510" s="32" t="str">
        <f>IFERROR(VLOOKUP(A510,Bel!A:G,7,0),"")</f>
        <v/>
      </c>
      <c r="D510" s="66"/>
      <c r="E510" s="35" t="str">
        <f>IFERROR(VLOOKUP(D510,Bel!$E:$G,3,0),"")</f>
        <v/>
      </c>
      <c r="F510" s="38"/>
      <c r="G510" s="1">
        <f t="shared" si="1"/>
        <v>0</v>
      </c>
      <c r="H510"/>
      <c r="I510"/>
      <c r="J510"/>
    </row>
    <row r="511" spans="1:10" ht="15.75">
      <c r="A511" s="102"/>
      <c r="B511" s="10" t="str">
        <f>IFERROR(VLOOKUP(A511,Bel!A:F,6,0),"")</f>
        <v/>
      </c>
      <c r="C511" s="32" t="str">
        <f>IFERROR(VLOOKUP(A511,Bel!A:G,7,0),"")</f>
        <v/>
      </c>
      <c r="D511" s="66"/>
      <c r="E511" s="35" t="str">
        <f>IFERROR(VLOOKUP(D511,Bel!$E:$G,3,0),"")</f>
        <v/>
      </c>
      <c r="F511" s="38"/>
      <c r="G511" s="1">
        <f t="shared" si="1"/>
        <v>0</v>
      </c>
      <c r="H511"/>
      <c r="I511"/>
      <c r="J511"/>
    </row>
    <row r="512" spans="1:10" ht="15.75">
      <c r="A512" s="102"/>
      <c r="B512" s="10" t="str">
        <f>IFERROR(VLOOKUP(A512,Bel!A:F,6,0),"")</f>
        <v/>
      </c>
      <c r="C512" s="32" t="str">
        <f>IFERROR(VLOOKUP(A512,Bel!A:G,7,0),"")</f>
        <v/>
      </c>
      <c r="D512" s="66"/>
      <c r="E512" s="35" t="str">
        <f>IFERROR(VLOOKUP(D512,Bel!$E:$G,3,0),"")</f>
        <v/>
      </c>
      <c r="F512" s="38"/>
      <c r="G512" s="1">
        <f t="shared" si="1"/>
        <v>0</v>
      </c>
      <c r="H512"/>
      <c r="I512"/>
      <c r="J512"/>
    </row>
    <row r="513" spans="1:10" ht="15.75">
      <c r="A513" s="102"/>
      <c r="B513" s="10" t="str">
        <f>IFERROR(VLOOKUP(A513,Bel!A:F,6,0),"")</f>
        <v/>
      </c>
      <c r="C513" s="32" t="str">
        <f>IFERROR(VLOOKUP(A513,Bel!A:G,7,0),"")</f>
        <v/>
      </c>
      <c r="D513" s="66"/>
      <c r="E513" s="35" t="str">
        <f>IFERROR(VLOOKUP(D513,Bel!$E:$G,3,0),"")</f>
        <v/>
      </c>
      <c r="F513" s="38"/>
      <c r="G513" s="1">
        <f t="shared" si="1"/>
        <v>0</v>
      </c>
      <c r="H513"/>
      <c r="I513"/>
      <c r="J513"/>
    </row>
    <row r="514" spans="1:10" ht="15.75">
      <c r="A514" s="102"/>
      <c r="B514" s="10" t="str">
        <f>IFERROR(VLOOKUP(A514,Bel!A:F,6,0),"")</f>
        <v/>
      </c>
      <c r="C514" s="32" t="str">
        <f>IFERROR(VLOOKUP(A514,Bel!A:G,7,0),"")</f>
        <v/>
      </c>
      <c r="D514" s="66"/>
      <c r="E514" s="35" t="str">
        <f>IFERROR(VLOOKUP(D514,Bel!$E:$G,3,0),"")</f>
        <v/>
      </c>
      <c r="F514" s="38"/>
      <c r="G514" s="1">
        <f t="shared" si="1"/>
        <v>0</v>
      </c>
      <c r="H514"/>
      <c r="I514"/>
      <c r="J514"/>
    </row>
    <row r="515" spans="1:10" ht="15.75">
      <c r="A515" s="102"/>
      <c r="B515" s="10" t="str">
        <f>IFERROR(VLOOKUP(A515,Bel!A:F,6,0),"")</f>
        <v/>
      </c>
      <c r="C515" s="32" t="str">
        <f>IFERROR(VLOOKUP(A515,Bel!A:G,7,0),"")</f>
        <v/>
      </c>
      <c r="D515" s="66"/>
      <c r="E515" s="35" t="str">
        <f>IFERROR(VLOOKUP(D515,Bel!$E:$G,3,0),"")</f>
        <v/>
      </c>
      <c r="F515" s="38"/>
      <c r="G515" s="1">
        <f t="shared" si="1"/>
        <v>0</v>
      </c>
      <c r="H515"/>
      <c r="I515"/>
      <c r="J515"/>
    </row>
    <row r="516" spans="1:10" ht="15.75">
      <c r="A516" s="102"/>
      <c r="B516" s="10" t="str">
        <f>IFERROR(VLOOKUP(A516,Bel!A:F,6,0),"")</f>
        <v/>
      </c>
      <c r="C516" s="32" t="str">
        <f>IFERROR(VLOOKUP(A516,Bel!A:G,7,0),"")</f>
        <v/>
      </c>
      <c r="D516" s="66"/>
      <c r="E516" s="35" t="str">
        <f>IFERROR(VLOOKUP(D516,Bel!$E:$G,3,0),"")</f>
        <v/>
      </c>
      <c r="F516" s="38"/>
      <c r="G516" s="1">
        <f t="shared" si="1"/>
        <v>0</v>
      </c>
      <c r="H516"/>
      <c r="I516"/>
      <c r="J516"/>
    </row>
    <row r="517" spans="1:10" ht="15.75">
      <c r="A517" s="102"/>
      <c r="B517" s="10" t="str">
        <f>IFERROR(VLOOKUP(A517,Bel!A:F,6,0),"")</f>
        <v/>
      </c>
      <c r="C517" s="32" t="str">
        <f>IFERROR(VLOOKUP(A517,Bel!A:G,7,0),"")</f>
        <v/>
      </c>
      <c r="D517" s="66"/>
      <c r="E517" s="35" t="str">
        <f>IFERROR(VLOOKUP(D517,Bel!$E:$G,3,0),"")</f>
        <v/>
      </c>
      <c r="F517" s="38"/>
      <c r="G517" s="1">
        <f t="shared" si="1"/>
        <v>0</v>
      </c>
      <c r="H517"/>
      <c r="I517"/>
      <c r="J517"/>
    </row>
    <row r="518" spans="1:10" ht="15.75">
      <c r="A518" s="102"/>
      <c r="B518" s="10" t="str">
        <f>IFERROR(VLOOKUP(A518,Bel!A:F,6,0),"")</f>
        <v/>
      </c>
      <c r="C518" s="32" t="str">
        <f>IFERROR(VLOOKUP(A518,Bel!A:G,7,0),"")</f>
        <v/>
      </c>
      <c r="D518" s="66"/>
      <c r="E518" s="35" t="str">
        <f>IFERROR(VLOOKUP(D518,Bel!$E:$G,3,0),"")</f>
        <v/>
      </c>
      <c r="F518" s="38"/>
      <c r="G518" s="1">
        <f t="shared" si="1"/>
        <v>0</v>
      </c>
      <c r="H518"/>
      <c r="I518"/>
      <c r="J518"/>
    </row>
    <row r="519" spans="1:10" ht="15.75">
      <c r="A519" s="102"/>
      <c r="B519" s="10" t="str">
        <f>IFERROR(VLOOKUP(A519,Bel!A:F,6,0),"")</f>
        <v/>
      </c>
      <c r="C519" s="32" t="str">
        <f>IFERROR(VLOOKUP(A519,Bel!A:G,7,0),"")</f>
        <v/>
      </c>
      <c r="D519" s="66"/>
      <c r="E519" s="35" t="str">
        <f>IFERROR(VLOOKUP(D519,Bel!$E:$G,3,0),"")</f>
        <v/>
      </c>
      <c r="F519" s="38"/>
      <c r="G519" s="1">
        <f t="shared" si="1"/>
        <v>0</v>
      </c>
      <c r="H519"/>
      <c r="I519"/>
      <c r="J519"/>
    </row>
    <row r="520" spans="1:10" ht="15.75">
      <c r="A520" s="102"/>
      <c r="B520" s="10" t="str">
        <f>IFERROR(VLOOKUP(A520,Bel!A:F,6,0),"")</f>
        <v/>
      </c>
      <c r="C520" s="32" t="str">
        <f>IFERROR(VLOOKUP(A520,Bel!A:G,7,0),"")</f>
        <v/>
      </c>
      <c r="D520" s="66"/>
      <c r="E520" s="35" t="str">
        <f>IFERROR(VLOOKUP(D520,Bel!$E:$G,3,0),"")</f>
        <v/>
      </c>
      <c r="F520" s="38"/>
      <c r="G520" s="1">
        <f t="shared" si="1"/>
        <v>0</v>
      </c>
      <c r="H520"/>
      <c r="I520"/>
      <c r="J520"/>
    </row>
    <row r="521" spans="1:10" ht="15.75">
      <c r="A521" s="102"/>
      <c r="B521" s="10" t="str">
        <f>IFERROR(VLOOKUP(A521,Bel!A:F,6,0),"")</f>
        <v/>
      </c>
      <c r="C521" s="32" t="str">
        <f>IFERROR(VLOOKUP(A521,Bel!A:G,7,0),"")</f>
        <v/>
      </c>
      <c r="D521" s="66"/>
      <c r="E521" s="35" t="str">
        <f>IFERROR(VLOOKUP(D521,Bel!$E:$G,3,0),"")</f>
        <v/>
      </c>
      <c r="F521" s="38"/>
      <c r="G521" s="1">
        <f t="shared" si="1"/>
        <v>0</v>
      </c>
      <c r="H521"/>
      <c r="I521"/>
      <c r="J521"/>
    </row>
    <row r="522" spans="1:10" ht="15.75">
      <c r="A522" s="102"/>
      <c r="B522" s="10" t="str">
        <f>IFERROR(VLOOKUP(A522,Bel!A:F,6,0),"")</f>
        <v/>
      </c>
      <c r="C522" s="32" t="str">
        <f>IFERROR(VLOOKUP(A522,Bel!A:G,7,0),"")</f>
        <v/>
      </c>
      <c r="D522" s="66"/>
      <c r="E522" s="35" t="str">
        <f>IFERROR(VLOOKUP(D522,Bel!$E:$G,3,0),"")</f>
        <v/>
      </c>
      <c r="F522" s="38"/>
      <c r="G522" s="1">
        <f t="shared" si="1"/>
        <v>0</v>
      </c>
      <c r="H522"/>
      <c r="I522"/>
      <c r="J522"/>
    </row>
    <row r="523" spans="1:10" ht="15.75">
      <c r="A523" s="102"/>
      <c r="B523" s="10" t="str">
        <f>IFERROR(VLOOKUP(A523,Bel!A:F,6,0),"")</f>
        <v/>
      </c>
      <c r="C523" s="32" t="str">
        <f>IFERROR(VLOOKUP(A523,Bel!A:G,7,0),"")</f>
        <v/>
      </c>
      <c r="D523" s="66"/>
      <c r="E523" s="35" t="str">
        <f>IFERROR(VLOOKUP(D523,Bel!$E:$G,3,0),"")</f>
        <v/>
      </c>
      <c r="F523" s="38"/>
      <c r="G523" s="1">
        <f t="shared" si="1"/>
        <v>0</v>
      </c>
      <c r="H523"/>
      <c r="I523"/>
      <c r="J523"/>
    </row>
    <row r="524" spans="1:10" ht="15.75">
      <c r="A524" s="102"/>
      <c r="B524" s="10" t="str">
        <f>IFERROR(VLOOKUP(A524,Bel!A:F,6,0),"")</f>
        <v/>
      </c>
      <c r="C524" s="32" t="str">
        <f>IFERROR(VLOOKUP(A524,Bel!A:G,7,0),"")</f>
        <v/>
      </c>
      <c r="D524" s="66"/>
      <c r="E524" s="35" t="str">
        <f>IFERROR(VLOOKUP(D524,Bel!$E:$G,3,0),"")</f>
        <v/>
      </c>
      <c r="F524" s="38"/>
      <c r="G524" s="1">
        <f t="shared" si="1"/>
        <v>0</v>
      </c>
      <c r="H524"/>
      <c r="I524"/>
      <c r="J524"/>
    </row>
    <row r="525" spans="1:10" ht="15.75">
      <c r="A525" s="102"/>
      <c r="B525" s="10" t="str">
        <f>IFERROR(VLOOKUP(A525,Bel!A:F,6,0),"")</f>
        <v/>
      </c>
      <c r="C525" s="32" t="str">
        <f>IFERROR(VLOOKUP(A525,Bel!A:G,7,0),"")</f>
        <v/>
      </c>
      <c r="D525" s="66"/>
      <c r="E525" s="35" t="str">
        <f>IFERROR(VLOOKUP(D525,Bel!$E:$G,3,0),"")</f>
        <v/>
      </c>
      <c r="F525" s="38"/>
      <c r="G525" s="1">
        <f t="shared" si="1"/>
        <v>0</v>
      </c>
      <c r="H525"/>
      <c r="I525"/>
      <c r="J525"/>
    </row>
    <row r="526" spans="1:10" ht="15.75">
      <c r="A526" s="102"/>
      <c r="B526" s="10" t="str">
        <f>IFERROR(VLOOKUP(A526,Bel!A:F,6,0),"")</f>
        <v/>
      </c>
      <c r="C526" s="32" t="str">
        <f>IFERROR(VLOOKUP(A526,Bel!A:G,7,0),"")</f>
        <v/>
      </c>
      <c r="D526" s="66"/>
      <c r="E526" s="35" t="str">
        <f>IFERROR(VLOOKUP(D526,Bel!$E:$G,3,0),"")</f>
        <v/>
      </c>
      <c r="F526" s="38"/>
      <c r="G526" s="1">
        <f t="shared" si="1"/>
        <v>0</v>
      </c>
      <c r="H526"/>
      <c r="I526"/>
      <c r="J526"/>
    </row>
    <row r="527" spans="1:10" ht="15.75">
      <c r="A527" s="102"/>
      <c r="B527" s="10" t="str">
        <f>IFERROR(VLOOKUP(A527,Bel!A:F,6,0),"")</f>
        <v/>
      </c>
      <c r="C527" s="32" t="str">
        <f>IFERROR(VLOOKUP(A527,Bel!A:G,7,0),"")</f>
        <v/>
      </c>
      <c r="D527" s="66"/>
      <c r="E527" s="35" t="str">
        <f>IFERROR(VLOOKUP(D527,Bel!$E:$G,3,0),"")</f>
        <v/>
      </c>
      <c r="F527" s="38"/>
      <c r="G527" s="1">
        <f t="shared" ref="G527:G590" si="2">A527</f>
        <v>0</v>
      </c>
      <c r="H527"/>
      <c r="I527"/>
      <c r="J527"/>
    </row>
    <row r="528" spans="1:10" ht="15.75">
      <c r="A528" s="102"/>
      <c r="B528" s="10" t="str">
        <f>IFERROR(VLOOKUP(A528,Bel!A:F,6,0),"")</f>
        <v/>
      </c>
      <c r="C528" s="32" t="str">
        <f>IFERROR(VLOOKUP(A528,Bel!A:G,7,0),"")</f>
        <v/>
      </c>
      <c r="D528" s="66"/>
      <c r="E528" s="35" t="str">
        <f>IFERROR(VLOOKUP(D528,Bel!$E:$G,3,0),"")</f>
        <v/>
      </c>
      <c r="F528" s="38"/>
      <c r="G528" s="1">
        <f t="shared" si="2"/>
        <v>0</v>
      </c>
      <c r="H528"/>
      <c r="I528"/>
      <c r="J528"/>
    </row>
    <row r="529" spans="1:10" ht="15.75">
      <c r="A529" s="102"/>
      <c r="B529" s="10" t="str">
        <f>IFERROR(VLOOKUP(A529,Bel!A:F,6,0),"")</f>
        <v/>
      </c>
      <c r="C529" s="32" t="str">
        <f>IFERROR(VLOOKUP(A529,Bel!A:G,7,0),"")</f>
        <v/>
      </c>
      <c r="D529" s="66"/>
      <c r="E529" s="35" t="str">
        <f>IFERROR(VLOOKUP(D529,Bel!$E:$G,3,0),"")</f>
        <v/>
      </c>
      <c r="F529" s="38"/>
      <c r="G529" s="1">
        <f t="shared" si="2"/>
        <v>0</v>
      </c>
      <c r="H529"/>
      <c r="I529"/>
      <c r="J529"/>
    </row>
    <row r="530" spans="1:10" ht="15.75">
      <c r="A530" s="102"/>
      <c r="B530" s="10" t="str">
        <f>IFERROR(VLOOKUP(A530,Bel!A:F,6,0),"")</f>
        <v/>
      </c>
      <c r="C530" s="32" t="str">
        <f>IFERROR(VLOOKUP(A530,Bel!A:G,7,0),"")</f>
        <v/>
      </c>
      <c r="D530" s="66"/>
      <c r="E530" s="35" t="str">
        <f>IFERROR(VLOOKUP(D530,Bel!$E:$G,3,0),"")</f>
        <v/>
      </c>
      <c r="F530" s="38"/>
      <c r="G530" s="1">
        <f t="shared" si="2"/>
        <v>0</v>
      </c>
      <c r="H530"/>
      <c r="I530"/>
      <c r="J530"/>
    </row>
    <row r="531" spans="1:10" ht="15.75">
      <c r="A531" s="102"/>
      <c r="B531" s="10" t="str">
        <f>IFERROR(VLOOKUP(A531,Bel!A:F,6,0),"")</f>
        <v/>
      </c>
      <c r="C531" s="32" t="str">
        <f>IFERROR(VLOOKUP(A531,Bel!A:G,7,0),"")</f>
        <v/>
      </c>
      <c r="D531" s="66"/>
      <c r="E531" s="35" t="str">
        <f>IFERROR(VLOOKUP(D531,Bel!$E:$G,3,0),"")</f>
        <v/>
      </c>
      <c r="F531" s="38"/>
      <c r="G531" s="1">
        <f t="shared" si="2"/>
        <v>0</v>
      </c>
      <c r="H531"/>
      <c r="I531"/>
      <c r="J531"/>
    </row>
    <row r="532" spans="1:10" ht="15.75">
      <c r="A532" s="102"/>
      <c r="B532" s="10" t="str">
        <f>IFERROR(VLOOKUP(A532,Bel!A:F,6,0),"")</f>
        <v/>
      </c>
      <c r="C532" s="32" t="str">
        <f>IFERROR(VLOOKUP(A532,Bel!A:G,7,0),"")</f>
        <v/>
      </c>
      <c r="D532" s="66"/>
      <c r="E532" s="35" t="str">
        <f>IFERROR(VLOOKUP(D532,Bel!$E:$G,3,0),"")</f>
        <v/>
      </c>
      <c r="F532" s="38"/>
      <c r="G532" s="1">
        <f t="shared" si="2"/>
        <v>0</v>
      </c>
      <c r="H532"/>
      <c r="I532"/>
      <c r="J532"/>
    </row>
    <row r="533" spans="1:10" ht="15.75">
      <c r="A533" s="102"/>
      <c r="B533" s="10" t="str">
        <f>IFERROR(VLOOKUP(A533,Bel!A:F,6,0),"")</f>
        <v/>
      </c>
      <c r="C533" s="32" t="str">
        <f>IFERROR(VLOOKUP(A533,Bel!A:G,7,0),"")</f>
        <v/>
      </c>
      <c r="D533" s="66"/>
      <c r="E533" s="35" t="str">
        <f>IFERROR(VLOOKUP(D533,Bel!$E:$G,3,0),"")</f>
        <v/>
      </c>
      <c r="F533" s="38"/>
      <c r="G533" s="1">
        <f t="shared" si="2"/>
        <v>0</v>
      </c>
      <c r="H533"/>
      <c r="I533"/>
      <c r="J533"/>
    </row>
    <row r="534" spans="1:10" ht="15.75">
      <c r="A534" s="102"/>
      <c r="B534" s="10" t="str">
        <f>IFERROR(VLOOKUP(A534,Bel!A:F,6,0),"")</f>
        <v/>
      </c>
      <c r="C534" s="32" t="str">
        <f>IFERROR(VLOOKUP(A534,Bel!A:G,7,0),"")</f>
        <v/>
      </c>
      <c r="D534" s="66"/>
      <c r="E534" s="35" t="str">
        <f>IFERROR(VLOOKUP(D534,Bel!$E:$G,3,0),"")</f>
        <v/>
      </c>
      <c r="F534" s="38"/>
      <c r="G534" s="1">
        <f t="shared" si="2"/>
        <v>0</v>
      </c>
      <c r="H534"/>
      <c r="I534"/>
      <c r="J534"/>
    </row>
    <row r="535" spans="1:10" ht="15.75">
      <c r="A535" s="102"/>
      <c r="B535" s="10" t="str">
        <f>IFERROR(VLOOKUP(A535,Bel!A:F,6,0),"")</f>
        <v/>
      </c>
      <c r="C535" s="32" t="str">
        <f>IFERROR(VLOOKUP(A535,Bel!A:G,7,0),"")</f>
        <v/>
      </c>
      <c r="D535" s="66"/>
      <c r="E535" s="35" t="str">
        <f>IFERROR(VLOOKUP(D535,Bel!$E:$G,3,0),"")</f>
        <v/>
      </c>
      <c r="F535" s="38"/>
      <c r="G535" s="1">
        <f t="shared" si="2"/>
        <v>0</v>
      </c>
      <c r="H535"/>
      <c r="I535"/>
      <c r="J535"/>
    </row>
    <row r="536" spans="1:10" ht="15.75">
      <c r="A536" s="102"/>
      <c r="B536" s="10" t="str">
        <f>IFERROR(VLOOKUP(A536,Bel!A:F,6,0),"")</f>
        <v/>
      </c>
      <c r="C536" s="32" t="str">
        <f>IFERROR(VLOOKUP(A536,Bel!A:G,7,0),"")</f>
        <v/>
      </c>
      <c r="D536" s="66"/>
      <c r="E536" s="35" t="str">
        <f>IFERROR(VLOOKUP(D536,Bel!$E:$G,3,0),"")</f>
        <v/>
      </c>
      <c r="F536" s="38"/>
      <c r="G536" s="1">
        <f t="shared" si="2"/>
        <v>0</v>
      </c>
      <c r="H536"/>
      <c r="I536"/>
      <c r="J536"/>
    </row>
    <row r="537" spans="1:10" ht="15.75">
      <c r="A537" s="102"/>
      <c r="B537" s="10" t="str">
        <f>IFERROR(VLOOKUP(A537,Bel!A:F,6,0),"")</f>
        <v/>
      </c>
      <c r="C537" s="32" t="str">
        <f>IFERROR(VLOOKUP(A537,Bel!A:G,7,0),"")</f>
        <v/>
      </c>
      <c r="D537" s="66"/>
      <c r="E537" s="35" t="str">
        <f>IFERROR(VLOOKUP(D537,Bel!$E:$G,3,0),"")</f>
        <v/>
      </c>
      <c r="F537" s="38"/>
      <c r="G537" s="1">
        <f t="shared" si="2"/>
        <v>0</v>
      </c>
      <c r="H537"/>
      <c r="I537"/>
      <c r="J537"/>
    </row>
    <row r="538" spans="1:10" ht="15.75">
      <c r="A538" s="102"/>
      <c r="B538" s="10" t="str">
        <f>IFERROR(VLOOKUP(A538,Bel!A:F,6,0),"")</f>
        <v/>
      </c>
      <c r="C538" s="32" t="str">
        <f>IFERROR(VLOOKUP(A538,Bel!A:G,7,0),"")</f>
        <v/>
      </c>
      <c r="D538" s="66"/>
      <c r="E538" s="35" t="str">
        <f>IFERROR(VLOOKUP(D538,Bel!$E:$G,3,0),"")</f>
        <v/>
      </c>
      <c r="F538" s="38"/>
      <c r="G538" s="1">
        <f t="shared" si="2"/>
        <v>0</v>
      </c>
      <c r="H538"/>
      <c r="I538"/>
      <c r="J538"/>
    </row>
    <row r="539" spans="1:10" ht="15.75">
      <c r="A539" s="102"/>
      <c r="B539" s="10" t="str">
        <f>IFERROR(VLOOKUP(A539,Bel!A:F,6,0),"")</f>
        <v/>
      </c>
      <c r="C539" s="32" t="str">
        <f>IFERROR(VLOOKUP(A539,Bel!A:G,7,0),"")</f>
        <v/>
      </c>
      <c r="D539" s="66"/>
      <c r="E539" s="35" t="str">
        <f>IFERROR(VLOOKUP(D539,Bel!$E:$G,3,0),"")</f>
        <v/>
      </c>
      <c r="F539" s="38"/>
      <c r="G539" s="1">
        <f t="shared" si="2"/>
        <v>0</v>
      </c>
      <c r="H539"/>
      <c r="I539"/>
      <c r="J539"/>
    </row>
    <row r="540" spans="1:10" ht="15.75">
      <c r="A540" s="102"/>
      <c r="B540" s="10" t="str">
        <f>IFERROR(VLOOKUP(A540,Bel!A:F,6,0),"")</f>
        <v/>
      </c>
      <c r="C540" s="32" t="str">
        <f>IFERROR(VLOOKUP(A540,Bel!A:G,7,0),"")</f>
        <v/>
      </c>
      <c r="D540" s="66"/>
      <c r="E540" s="35" t="str">
        <f>IFERROR(VLOOKUP(D540,Bel!$E:$G,3,0),"")</f>
        <v/>
      </c>
      <c r="F540" s="38"/>
      <c r="G540" s="1">
        <f t="shared" si="2"/>
        <v>0</v>
      </c>
      <c r="H540"/>
      <c r="I540"/>
      <c r="J540"/>
    </row>
    <row r="541" spans="1:10" ht="15.75">
      <c r="A541" s="102"/>
      <c r="B541" s="10" t="str">
        <f>IFERROR(VLOOKUP(A541,Bel!A:F,6,0),"")</f>
        <v/>
      </c>
      <c r="C541" s="32" t="str">
        <f>IFERROR(VLOOKUP(A541,Bel!A:G,7,0),"")</f>
        <v/>
      </c>
      <c r="D541" s="66"/>
      <c r="E541" s="35" t="str">
        <f>IFERROR(VLOOKUP(D541,Bel!$E:$G,3,0),"")</f>
        <v/>
      </c>
      <c r="F541" s="38"/>
      <c r="G541" s="1">
        <f t="shared" si="2"/>
        <v>0</v>
      </c>
      <c r="H541"/>
      <c r="I541"/>
      <c r="J541"/>
    </row>
    <row r="542" spans="1:10" ht="15.75">
      <c r="A542" s="102"/>
      <c r="B542" s="10" t="str">
        <f>IFERROR(VLOOKUP(A542,Bel!A:F,6,0),"")</f>
        <v/>
      </c>
      <c r="C542" s="32" t="str">
        <f>IFERROR(VLOOKUP(A542,Bel!A:G,7,0),"")</f>
        <v/>
      </c>
      <c r="D542" s="66"/>
      <c r="E542" s="35" t="str">
        <f>IFERROR(VLOOKUP(D542,Bel!$E:$G,3,0),"")</f>
        <v/>
      </c>
      <c r="F542" s="38"/>
      <c r="G542" s="1">
        <f t="shared" si="2"/>
        <v>0</v>
      </c>
      <c r="H542"/>
      <c r="I542"/>
      <c r="J542"/>
    </row>
    <row r="543" spans="1:10" ht="15.75">
      <c r="A543" s="102"/>
      <c r="B543" s="10" t="str">
        <f>IFERROR(VLOOKUP(A543,Bel!A:F,6,0),"")</f>
        <v/>
      </c>
      <c r="C543" s="32" t="str">
        <f>IFERROR(VLOOKUP(A543,Bel!A:G,7,0),"")</f>
        <v/>
      </c>
      <c r="D543" s="66"/>
      <c r="E543" s="35" t="str">
        <f>IFERROR(VLOOKUP(D543,Bel!$E:$G,3,0),"")</f>
        <v/>
      </c>
      <c r="F543" s="38"/>
      <c r="G543" s="1">
        <f t="shared" si="2"/>
        <v>0</v>
      </c>
      <c r="H543"/>
      <c r="I543"/>
      <c r="J543"/>
    </row>
    <row r="544" spans="1:10" ht="15.75">
      <c r="A544" s="102"/>
      <c r="B544" s="10" t="str">
        <f>IFERROR(VLOOKUP(A544,Bel!A:F,6,0),"")</f>
        <v/>
      </c>
      <c r="C544" s="32" t="str">
        <f>IFERROR(VLOOKUP(A544,Bel!A:G,7,0),"")</f>
        <v/>
      </c>
      <c r="D544" s="66"/>
      <c r="E544" s="35" t="str">
        <f>IFERROR(VLOOKUP(D544,Bel!$E:$G,3,0),"")</f>
        <v/>
      </c>
      <c r="F544" s="38"/>
      <c r="G544" s="1">
        <f t="shared" si="2"/>
        <v>0</v>
      </c>
      <c r="H544"/>
      <c r="I544"/>
      <c r="J544"/>
    </row>
    <row r="545" spans="1:10" ht="15.75">
      <c r="A545" s="102"/>
      <c r="B545" s="10" t="str">
        <f>IFERROR(VLOOKUP(A545,Bel!A:F,6,0),"")</f>
        <v/>
      </c>
      <c r="C545" s="32" t="str">
        <f>IFERROR(VLOOKUP(A545,Bel!A:G,7,0),"")</f>
        <v/>
      </c>
      <c r="D545" s="66"/>
      <c r="E545" s="35" t="str">
        <f>IFERROR(VLOOKUP(D545,Bel!$E:$G,3,0),"")</f>
        <v/>
      </c>
      <c r="F545" s="38"/>
      <c r="G545" s="1">
        <f t="shared" si="2"/>
        <v>0</v>
      </c>
      <c r="H545"/>
      <c r="I545"/>
      <c r="J545"/>
    </row>
    <row r="546" spans="1:10" ht="15.75">
      <c r="A546" s="102"/>
      <c r="B546" s="10" t="str">
        <f>IFERROR(VLOOKUP(A546,Bel!A:F,6,0),"")</f>
        <v/>
      </c>
      <c r="C546" s="32" t="str">
        <f>IFERROR(VLOOKUP(A546,Bel!A:G,7,0),"")</f>
        <v/>
      </c>
      <c r="D546" s="66"/>
      <c r="E546" s="35" t="str">
        <f>IFERROR(VLOOKUP(D546,Bel!$E:$G,3,0),"")</f>
        <v/>
      </c>
      <c r="F546" s="38"/>
      <c r="G546" s="1">
        <f t="shared" si="2"/>
        <v>0</v>
      </c>
      <c r="H546"/>
      <c r="I546"/>
      <c r="J546"/>
    </row>
    <row r="547" spans="1:10" ht="15.75">
      <c r="A547" s="102"/>
      <c r="B547" s="10" t="str">
        <f>IFERROR(VLOOKUP(A547,Bel!A:F,6,0),"")</f>
        <v/>
      </c>
      <c r="C547" s="32" t="str">
        <f>IFERROR(VLOOKUP(A547,Bel!A:G,7,0),"")</f>
        <v/>
      </c>
      <c r="D547" s="66"/>
      <c r="E547" s="35" t="str">
        <f>IFERROR(VLOOKUP(D547,Bel!$E:$G,3,0),"")</f>
        <v/>
      </c>
      <c r="F547" s="38"/>
      <c r="G547" s="1">
        <f t="shared" si="2"/>
        <v>0</v>
      </c>
      <c r="H547"/>
      <c r="I547"/>
      <c r="J547"/>
    </row>
    <row r="548" spans="1:10" ht="15.75">
      <c r="A548" s="102"/>
      <c r="B548" s="10" t="str">
        <f>IFERROR(VLOOKUP(A548,Bel!A:F,6,0),"")</f>
        <v/>
      </c>
      <c r="C548" s="32" t="str">
        <f>IFERROR(VLOOKUP(A548,Bel!A:G,7,0),"")</f>
        <v/>
      </c>
      <c r="D548" s="66"/>
      <c r="E548" s="35" t="str">
        <f>IFERROR(VLOOKUP(D548,Bel!$E:$G,3,0),"")</f>
        <v/>
      </c>
      <c r="F548" s="38"/>
      <c r="G548" s="1">
        <f t="shared" si="2"/>
        <v>0</v>
      </c>
      <c r="H548"/>
      <c r="I548"/>
      <c r="J548"/>
    </row>
    <row r="549" spans="1:10" ht="15.75">
      <c r="A549" s="102"/>
      <c r="B549" s="10" t="str">
        <f>IFERROR(VLOOKUP(A549,Bel!A:F,6,0),"")</f>
        <v/>
      </c>
      <c r="C549" s="32" t="str">
        <f>IFERROR(VLOOKUP(A549,Bel!A:G,7,0),"")</f>
        <v/>
      </c>
      <c r="D549" s="66"/>
      <c r="E549" s="35" t="str">
        <f>IFERROR(VLOOKUP(D549,Bel!$E:$G,3,0),"")</f>
        <v/>
      </c>
      <c r="F549" s="38"/>
      <c r="G549" s="1">
        <f t="shared" si="2"/>
        <v>0</v>
      </c>
      <c r="H549"/>
      <c r="I549"/>
      <c r="J549"/>
    </row>
    <row r="550" spans="1:10" ht="15.75">
      <c r="A550" s="102"/>
      <c r="B550" s="10" t="str">
        <f>IFERROR(VLOOKUP(A550,Bel!A:F,6,0),"")</f>
        <v/>
      </c>
      <c r="C550" s="32" t="str">
        <f>IFERROR(VLOOKUP(A550,Bel!A:G,7,0),"")</f>
        <v/>
      </c>
      <c r="D550" s="66"/>
      <c r="E550" s="35" t="str">
        <f>IFERROR(VLOOKUP(D550,Bel!$E:$G,3,0),"")</f>
        <v/>
      </c>
      <c r="F550" s="38"/>
      <c r="G550" s="1">
        <f t="shared" si="2"/>
        <v>0</v>
      </c>
      <c r="H550"/>
      <c r="I550"/>
      <c r="J550"/>
    </row>
    <row r="551" spans="1:10" ht="15.75">
      <c r="A551" s="102"/>
      <c r="B551" s="10" t="str">
        <f>IFERROR(VLOOKUP(A551,Bel!A:F,6,0),"")</f>
        <v/>
      </c>
      <c r="C551" s="32" t="str">
        <f>IFERROR(VLOOKUP(A551,Bel!A:G,7,0),"")</f>
        <v/>
      </c>
      <c r="D551" s="66" t="s">
        <v>457</v>
      </c>
      <c r="E551" s="35" t="str">
        <f>IFERROR(VLOOKUP(D551,Bel!$E:$G,3,0),"")</f>
        <v/>
      </c>
      <c r="F551" s="38"/>
      <c r="G551" s="1">
        <f t="shared" si="2"/>
        <v>0</v>
      </c>
      <c r="H551"/>
      <c r="I551"/>
      <c r="J551"/>
    </row>
    <row r="552" spans="1:10" ht="15.75">
      <c r="A552" s="102"/>
      <c r="B552" s="10" t="str">
        <f>IFERROR(VLOOKUP(A552,Bel!A:F,6,0),"")</f>
        <v/>
      </c>
      <c r="C552" s="32" t="str">
        <f>IFERROR(VLOOKUP(A552,Bel!A:G,7,0),"")</f>
        <v/>
      </c>
      <c r="D552" s="66" t="s">
        <v>457</v>
      </c>
      <c r="E552" s="35" t="str">
        <f>IFERROR(VLOOKUP(D552,Bel!$E:$G,3,0),"")</f>
        <v/>
      </c>
      <c r="F552" s="38"/>
      <c r="G552" s="1">
        <f t="shared" si="2"/>
        <v>0</v>
      </c>
      <c r="H552"/>
      <c r="I552"/>
      <c r="J552"/>
    </row>
    <row r="553" spans="1:10" ht="15.75">
      <c r="A553" s="102"/>
      <c r="B553" s="10" t="str">
        <f>IFERROR(VLOOKUP(A553,Bel!A:F,6,0),"")</f>
        <v/>
      </c>
      <c r="C553" s="32" t="str">
        <f>IFERROR(VLOOKUP(A553,Bel!A:G,7,0),"")</f>
        <v/>
      </c>
      <c r="D553" s="66" t="s">
        <v>457</v>
      </c>
      <c r="E553" s="35" t="str">
        <f>IFERROR(VLOOKUP(D553,Bel!$E:$G,3,0),"")</f>
        <v/>
      </c>
      <c r="F553" s="38"/>
      <c r="G553" s="1">
        <f t="shared" si="2"/>
        <v>0</v>
      </c>
      <c r="H553"/>
      <c r="I553"/>
      <c r="J553"/>
    </row>
    <row r="554" spans="1:10" ht="15.75">
      <c r="A554" s="102"/>
      <c r="B554" s="10" t="str">
        <f>IFERROR(VLOOKUP(A554,Bel!A:F,6,0),"")</f>
        <v/>
      </c>
      <c r="C554" s="32" t="str">
        <f>IFERROR(VLOOKUP(A554,Bel!A:G,7,0),"")</f>
        <v/>
      </c>
      <c r="D554" s="66" t="s">
        <v>457</v>
      </c>
      <c r="E554" s="35" t="str">
        <f>IFERROR(VLOOKUP(D554,Bel!$E:$G,3,0),"")</f>
        <v/>
      </c>
      <c r="F554" s="38"/>
      <c r="G554" s="1">
        <f t="shared" si="2"/>
        <v>0</v>
      </c>
      <c r="H554"/>
      <c r="I554"/>
      <c r="J554"/>
    </row>
    <row r="555" spans="1:10" ht="15.75">
      <c r="A555" s="102"/>
      <c r="B555" s="10" t="str">
        <f>IFERROR(VLOOKUP(A555,Bel!A:F,6,0),"")</f>
        <v/>
      </c>
      <c r="C555" s="32" t="str">
        <f>IFERROR(VLOOKUP(A555,Bel!A:G,7,0),"")</f>
        <v/>
      </c>
      <c r="D555" s="66" t="s">
        <v>457</v>
      </c>
      <c r="E555" s="35" t="str">
        <f>IFERROR(VLOOKUP(D555,Bel!$E:$G,3,0),"")</f>
        <v/>
      </c>
      <c r="F555" s="38"/>
      <c r="G555" s="1">
        <f t="shared" si="2"/>
        <v>0</v>
      </c>
      <c r="H555"/>
      <c r="I555"/>
      <c r="J555"/>
    </row>
    <row r="556" spans="1:10" ht="15.75">
      <c r="A556" s="102"/>
      <c r="B556" s="10" t="str">
        <f>IFERROR(VLOOKUP(A556,Bel!A:F,6,0),"")</f>
        <v/>
      </c>
      <c r="C556" s="32" t="str">
        <f>IFERROR(VLOOKUP(A556,Bel!A:G,7,0),"")</f>
        <v/>
      </c>
      <c r="D556" s="66" t="s">
        <v>457</v>
      </c>
      <c r="E556" s="35" t="str">
        <f>IFERROR(VLOOKUP(D556,Bel!$E:$G,3,0),"")</f>
        <v/>
      </c>
      <c r="F556" s="38"/>
      <c r="G556" s="1">
        <f t="shared" si="2"/>
        <v>0</v>
      </c>
      <c r="H556"/>
      <c r="I556"/>
      <c r="J556"/>
    </row>
    <row r="557" spans="1:10" ht="15.75">
      <c r="A557" s="102"/>
      <c r="B557" s="10" t="str">
        <f>IFERROR(VLOOKUP(A557,Bel!A:F,6,0),"")</f>
        <v/>
      </c>
      <c r="C557" s="32" t="str">
        <f>IFERROR(VLOOKUP(A557,Bel!A:G,7,0),"")</f>
        <v/>
      </c>
      <c r="D557" s="66" t="s">
        <v>457</v>
      </c>
      <c r="E557" s="35" t="str">
        <f>IFERROR(VLOOKUP(D557,Bel!$E:$G,3,0),"")</f>
        <v/>
      </c>
      <c r="F557" s="38"/>
      <c r="G557" s="1">
        <f t="shared" si="2"/>
        <v>0</v>
      </c>
      <c r="H557"/>
      <c r="I557"/>
      <c r="J557"/>
    </row>
    <row r="558" spans="1:10" ht="15.75">
      <c r="A558" s="102"/>
      <c r="B558" s="10" t="str">
        <f>IFERROR(VLOOKUP(A558,Bel!A:F,6,0),"")</f>
        <v/>
      </c>
      <c r="C558" s="32" t="str">
        <f>IFERROR(VLOOKUP(A558,Bel!A:G,7,0),"")</f>
        <v/>
      </c>
      <c r="D558" s="66" t="s">
        <v>457</v>
      </c>
      <c r="E558" s="35" t="str">
        <f>IFERROR(VLOOKUP(D558,Bel!$E:$G,3,0),"")</f>
        <v/>
      </c>
      <c r="F558" s="38"/>
      <c r="G558" s="1">
        <f t="shared" si="2"/>
        <v>0</v>
      </c>
      <c r="H558"/>
      <c r="I558"/>
      <c r="J558"/>
    </row>
    <row r="559" spans="1:10" ht="15.75">
      <c r="A559" s="102"/>
      <c r="B559" s="10" t="str">
        <f>IFERROR(VLOOKUP(A559,Bel!A:F,6,0),"")</f>
        <v/>
      </c>
      <c r="C559" s="32" t="str">
        <f>IFERROR(VLOOKUP(A559,Bel!A:G,7,0),"")</f>
        <v/>
      </c>
      <c r="D559" s="66" t="s">
        <v>457</v>
      </c>
      <c r="E559" s="35" t="str">
        <f>IFERROR(VLOOKUP(D559,Bel!$E:$G,3,0),"")</f>
        <v/>
      </c>
      <c r="F559" s="38"/>
      <c r="G559" s="1">
        <f t="shared" si="2"/>
        <v>0</v>
      </c>
      <c r="H559"/>
      <c r="I559"/>
      <c r="J559"/>
    </row>
    <row r="560" spans="1:10" ht="15.75">
      <c r="A560" s="102"/>
      <c r="B560" s="10" t="str">
        <f>IFERROR(VLOOKUP(A560,Bel!A:F,6,0),"")</f>
        <v/>
      </c>
      <c r="C560" s="32" t="str">
        <f>IFERROR(VLOOKUP(A560,Bel!A:G,7,0),"")</f>
        <v/>
      </c>
      <c r="D560" s="66" t="s">
        <v>457</v>
      </c>
      <c r="E560" s="35" t="str">
        <f>IFERROR(VLOOKUP(D560,Bel!$E:$G,3,0),"")</f>
        <v/>
      </c>
      <c r="F560" s="38"/>
      <c r="G560" s="1">
        <f t="shared" si="2"/>
        <v>0</v>
      </c>
      <c r="H560"/>
      <c r="I560"/>
      <c r="J560"/>
    </row>
    <row r="561" spans="1:10" ht="15.75">
      <c r="A561" s="102"/>
      <c r="B561" s="10" t="str">
        <f>IFERROR(VLOOKUP(A561,Bel!A:F,6,0),"")</f>
        <v/>
      </c>
      <c r="C561" s="32" t="str">
        <f>IFERROR(VLOOKUP(A561,Bel!A:G,7,0),"")</f>
        <v/>
      </c>
      <c r="D561" s="66" t="s">
        <v>457</v>
      </c>
      <c r="E561" s="35" t="str">
        <f>IFERROR(VLOOKUP(D561,Bel!$E:$G,3,0),"")</f>
        <v/>
      </c>
      <c r="F561" s="38"/>
      <c r="G561" s="1">
        <f t="shared" si="2"/>
        <v>0</v>
      </c>
      <c r="H561"/>
      <c r="I561"/>
      <c r="J561"/>
    </row>
    <row r="562" spans="1:10" ht="15.75">
      <c r="A562" s="102"/>
      <c r="B562" s="10" t="str">
        <f>IFERROR(VLOOKUP(A562,Bel!A:F,6,0),"")</f>
        <v/>
      </c>
      <c r="C562" s="32" t="str">
        <f>IFERROR(VLOOKUP(A562,Bel!A:G,7,0),"")</f>
        <v/>
      </c>
      <c r="D562" s="66" t="s">
        <v>457</v>
      </c>
      <c r="E562" s="35" t="str">
        <f>IFERROR(VLOOKUP(D562,Bel!$E:$G,3,0),"")</f>
        <v/>
      </c>
      <c r="F562" s="38"/>
      <c r="G562" s="1">
        <f t="shared" si="2"/>
        <v>0</v>
      </c>
      <c r="H562"/>
      <c r="I562"/>
      <c r="J562"/>
    </row>
    <row r="563" spans="1:10" ht="15.75">
      <c r="A563" s="102"/>
      <c r="B563" s="10" t="str">
        <f>IFERROR(VLOOKUP(A563,Bel!A:F,6,0),"")</f>
        <v/>
      </c>
      <c r="C563" s="32" t="str">
        <f>IFERROR(VLOOKUP(A563,Bel!A:G,7,0),"")</f>
        <v/>
      </c>
      <c r="D563" s="66" t="s">
        <v>457</v>
      </c>
      <c r="E563" s="35" t="str">
        <f>IFERROR(VLOOKUP(D563,Bel!$E:$G,3,0),"")</f>
        <v/>
      </c>
      <c r="F563" s="38"/>
      <c r="G563" s="1">
        <f t="shared" si="2"/>
        <v>0</v>
      </c>
      <c r="H563"/>
      <c r="I563"/>
      <c r="J563"/>
    </row>
    <row r="564" spans="1:10" ht="15.75">
      <c r="A564" s="102"/>
      <c r="B564" s="10" t="str">
        <f>IFERROR(VLOOKUP(A564,Bel!A:F,6,0),"")</f>
        <v/>
      </c>
      <c r="C564" s="32" t="str">
        <f>IFERROR(VLOOKUP(A564,Bel!A:G,7,0),"")</f>
        <v/>
      </c>
      <c r="D564" s="66" t="s">
        <v>457</v>
      </c>
      <c r="E564" s="35" t="str">
        <f>IFERROR(VLOOKUP(D564,Bel!$E:$G,3,0),"")</f>
        <v/>
      </c>
      <c r="F564" s="38"/>
      <c r="G564" s="1">
        <f t="shared" si="2"/>
        <v>0</v>
      </c>
      <c r="H564"/>
      <c r="I564"/>
      <c r="J564"/>
    </row>
    <row r="565" spans="1:10" ht="15.75">
      <c r="A565" s="102"/>
      <c r="B565" s="10" t="str">
        <f>IFERROR(VLOOKUP(A565,Bel!A:F,6,0),"")</f>
        <v/>
      </c>
      <c r="C565" s="32" t="str">
        <f>IFERROR(VLOOKUP(A565,Bel!A:G,7,0),"")</f>
        <v/>
      </c>
      <c r="D565" s="66" t="s">
        <v>457</v>
      </c>
      <c r="E565" s="35" t="str">
        <f>IFERROR(VLOOKUP(D565,Bel!$E:$G,3,0),"")</f>
        <v/>
      </c>
      <c r="F565" s="38"/>
      <c r="G565" s="1">
        <f t="shared" si="2"/>
        <v>0</v>
      </c>
      <c r="H565"/>
      <c r="I565"/>
      <c r="J565"/>
    </row>
    <row r="566" spans="1:10" ht="15.75">
      <c r="A566" s="102"/>
      <c r="B566" s="10" t="str">
        <f>IFERROR(VLOOKUP(A566,Bel!A:F,6,0),"")</f>
        <v/>
      </c>
      <c r="C566" s="32" t="str">
        <f>IFERROR(VLOOKUP(A566,Bel!A:G,7,0),"")</f>
        <v/>
      </c>
      <c r="D566" s="66" t="s">
        <v>457</v>
      </c>
      <c r="E566" s="35" t="str">
        <f>IFERROR(VLOOKUP(D566,Bel!$E:$G,3,0),"")</f>
        <v/>
      </c>
      <c r="F566" s="38"/>
      <c r="G566" s="1">
        <f t="shared" si="2"/>
        <v>0</v>
      </c>
      <c r="H566"/>
      <c r="I566"/>
      <c r="J566"/>
    </row>
    <row r="567" spans="1:10" ht="15.75">
      <c r="A567" s="102"/>
      <c r="B567" s="10" t="str">
        <f>IFERROR(VLOOKUP(A567,Bel!A:F,6,0),"")</f>
        <v/>
      </c>
      <c r="C567" s="32" t="str">
        <f>IFERROR(VLOOKUP(A567,Bel!A:G,7,0),"")</f>
        <v/>
      </c>
      <c r="D567" s="66" t="s">
        <v>457</v>
      </c>
      <c r="E567" s="35" t="str">
        <f>IFERROR(VLOOKUP(D567,Bel!$E:$G,3,0),"")</f>
        <v/>
      </c>
      <c r="F567" s="38"/>
      <c r="G567" s="1">
        <f t="shared" si="2"/>
        <v>0</v>
      </c>
      <c r="H567"/>
      <c r="I567"/>
      <c r="J567"/>
    </row>
    <row r="568" spans="1:10" ht="15.75">
      <c r="A568" s="102"/>
      <c r="B568" s="10" t="str">
        <f>IFERROR(VLOOKUP(A568,Bel!A:F,6,0),"")</f>
        <v/>
      </c>
      <c r="C568" s="32" t="str">
        <f>IFERROR(VLOOKUP(A568,Bel!A:G,7,0),"")</f>
        <v/>
      </c>
      <c r="D568" s="66" t="s">
        <v>457</v>
      </c>
      <c r="E568" s="35" t="str">
        <f>IFERROR(VLOOKUP(D568,Bel!$E:$G,3,0),"")</f>
        <v/>
      </c>
      <c r="F568" s="38"/>
      <c r="G568" s="1">
        <f t="shared" si="2"/>
        <v>0</v>
      </c>
      <c r="H568"/>
      <c r="I568"/>
      <c r="J568"/>
    </row>
    <row r="569" spans="1:10" ht="15.75">
      <c r="A569" s="102"/>
      <c r="B569" s="10" t="str">
        <f>IFERROR(VLOOKUP(A569,Bel!A:F,6,0),"")</f>
        <v/>
      </c>
      <c r="C569" s="32" t="str">
        <f>IFERROR(VLOOKUP(A569,Bel!A:G,7,0),"")</f>
        <v/>
      </c>
      <c r="D569" s="66" t="s">
        <v>457</v>
      </c>
      <c r="E569" s="35" t="str">
        <f>IFERROR(VLOOKUP(D569,Bel!$E:$G,3,0),"")</f>
        <v/>
      </c>
      <c r="F569" s="38"/>
      <c r="G569" s="1">
        <f t="shared" si="2"/>
        <v>0</v>
      </c>
      <c r="H569"/>
      <c r="I569"/>
      <c r="J569"/>
    </row>
    <row r="570" spans="1:10" ht="15.75">
      <c r="A570" s="102"/>
      <c r="B570" s="10" t="str">
        <f>IFERROR(VLOOKUP(A570,Bel!A:F,6,0),"")</f>
        <v/>
      </c>
      <c r="C570" s="32" t="str">
        <f>IFERROR(VLOOKUP(A570,Bel!A:G,7,0),"")</f>
        <v/>
      </c>
      <c r="D570" s="66" t="s">
        <v>457</v>
      </c>
      <c r="E570" s="35" t="str">
        <f>IFERROR(VLOOKUP(D570,Bel!$E:$G,3,0),"")</f>
        <v/>
      </c>
      <c r="F570" s="38"/>
      <c r="G570" s="1">
        <f t="shared" si="2"/>
        <v>0</v>
      </c>
      <c r="H570"/>
      <c r="I570"/>
      <c r="J570"/>
    </row>
    <row r="571" spans="1:10" ht="15.75">
      <c r="A571" s="102"/>
      <c r="B571" s="10" t="str">
        <f>IFERROR(VLOOKUP(A571,Bel!A:F,6,0),"")</f>
        <v/>
      </c>
      <c r="C571" s="32" t="str">
        <f>IFERROR(VLOOKUP(A571,Bel!A:G,7,0),"")</f>
        <v/>
      </c>
      <c r="D571" s="66" t="s">
        <v>457</v>
      </c>
      <c r="E571" s="35" t="str">
        <f>IFERROR(VLOOKUP(D571,Bel!$E:$G,3,0),"")</f>
        <v/>
      </c>
      <c r="F571" s="38"/>
      <c r="G571" s="1">
        <f t="shared" si="2"/>
        <v>0</v>
      </c>
      <c r="H571"/>
      <c r="I571"/>
      <c r="J571"/>
    </row>
    <row r="572" spans="1:10" ht="15.75">
      <c r="A572" s="102"/>
      <c r="B572" s="10" t="str">
        <f>IFERROR(VLOOKUP(A572,Bel!A:F,6,0),"")</f>
        <v/>
      </c>
      <c r="C572" s="32" t="str">
        <f>IFERROR(VLOOKUP(A572,Bel!A:G,7,0),"")</f>
        <v/>
      </c>
      <c r="D572" s="66" t="s">
        <v>457</v>
      </c>
      <c r="E572" s="35" t="str">
        <f>IFERROR(VLOOKUP(D572,Bel!$E:$G,3,0),"")</f>
        <v/>
      </c>
      <c r="F572" s="38"/>
      <c r="G572" s="1">
        <f t="shared" si="2"/>
        <v>0</v>
      </c>
      <c r="H572"/>
      <c r="I572"/>
      <c r="J572"/>
    </row>
    <row r="573" spans="1:10" ht="15.75">
      <c r="A573" s="102"/>
      <c r="B573" s="10" t="str">
        <f>IFERROR(VLOOKUP(A573,Bel!A:F,6,0),"")</f>
        <v/>
      </c>
      <c r="C573" s="32" t="str">
        <f>IFERROR(VLOOKUP(A573,Bel!A:G,7,0),"")</f>
        <v/>
      </c>
      <c r="D573" s="66" t="s">
        <v>457</v>
      </c>
      <c r="E573" s="35" t="str">
        <f>IFERROR(VLOOKUP(D573,Bel!$E:$G,3,0),"")</f>
        <v/>
      </c>
      <c r="F573" s="38"/>
      <c r="G573" s="1">
        <f t="shared" si="2"/>
        <v>0</v>
      </c>
      <c r="H573"/>
      <c r="I573"/>
      <c r="J573"/>
    </row>
    <row r="574" spans="1:10" ht="15.75">
      <c r="A574" s="102"/>
      <c r="B574" s="10" t="str">
        <f>IFERROR(VLOOKUP(A574,Bel!A:F,6,0),"")</f>
        <v/>
      </c>
      <c r="C574" s="32" t="str">
        <f>IFERROR(VLOOKUP(A574,Bel!A:G,7,0),"")</f>
        <v/>
      </c>
      <c r="D574" s="66" t="s">
        <v>457</v>
      </c>
      <c r="E574" s="35" t="str">
        <f>IFERROR(VLOOKUP(D574,Bel!$E:$G,3,0),"")</f>
        <v/>
      </c>
      <c r="F574" s="38"/>
      <c r="G574" s="1">
        <f t="shared" si="2"/>
        <v>0</v>
      </c>
      <c r="H574"/>
      <c r="I574"/>
      <c r="J574"/>
    </row>
    <row r="575" spans="1:10" ht="15.75">
      <c r="A575" s="102"/>
      <c r="B575" s="10" t="str">
        <f>IFERROR(VLOOKUP(A575,Bel!A:F,6,0),"")</f>
        <v/>
      </c>
      <c r="C575" s="32" t="str">
        <f>IFERROR(VLOOKUP(A575,Bel!A:G,7,0),"")</f>
        <v/>
      </c>
      <c r="D575" s="66" t="s">
        <v>457</v>
      </c>
      <c r="E575" s="35" t="str">
        <f>IFERROR(VLOOKUP(D575,Bel!$E:$G,3,0),"")</f>
        <v/>
      </c>
      <c r="F575" s="38"/>
      <c r="G575" s="1">
        <f t="shared" si="2"/>
        <v>0</v>
      </c>
      <c r="H575"/>
      <c r="I575"/>
      <c r="J575"/>
    </row>
    <row r="576" spans="1:10" ht="15.75">
      <c r="A576" s="102"/>
      <c r="B576" s="10" t="str">
        <f>IFERROR(VLOOKUP(A576,Bel!A:F,6,0),"")</f>
        <v/>
      </c>
      <c r="C576" s="32" t="str">
        <f>IFERROR(VLOOKUP(A576,Bel!A:G,7,0),"")</f>
        <v/>
      </c>
      <c r="D576" s="66" t="s">
        <v>457</v>
      </c>
      <c r="E576" s="35" t="str">
        <f>IFERROR(VLOOKUP(D576,Bel!$E:$G,3,0),"")</f>
        <v/>
      </c>
      <c r="F576" s="38"/>
      <c r="G576" s="1">
        <f t="shared" si="2"/>
        <v>0</v>
      </c>
      <c r="H576"/>
      <c r="I576"/>
      <c r="J576"/>
    </row>
    <row r="577" spans="1:10" ht="15.75">
      <c r="A577" s="102"/>
      <c r="B577" s="10" t="str">
        <f>IFERROR(VLOOKUP(A577,Bel!A:F,6,0),"")</f>
        <v/>
      </c>
      <c r="C577" s="32" t="str">
        <f>IFERROR(VLOOKUP(A577,Bel!A:G,7,0),"")</f>
        <v/>
      </c>
      <c r="D577" s="66" t="s">
        <v>457</v>
      </c>
      <c r="E577" s="35" t="str">
        <f>IFERROR(VLOOKUP(D577,Bel!$E:$G,3,0),"")</f>
        <v/>
      </c>
      <c r="F577" s="38"/>
      <c r="G577" s="1">
        <f t="shared" si="2"/>
        <v>0</v>
      </c>
      <c r="H577"/>
      <c r="I577"/>
      <c r="J577"/>
    </row>
    <row r="578" spans="1:10" ht="15.75">
      <c r="A578" s="102"/>
      <c r="B578" s="10" t="str">
        <f>IFERROR(VLOOKUP(A578,Bel!A:F,6,0),"")</f>
        <v/>
      </c>
      <c r="C578" s="32" t="str">
        <f>IFERROR(VLOOKUP(A578,Bel!A:G,7,0),"")</f>
        <v/>
      </c>
      <c r="D578" s="66" t="s">
        <v>457</v>
      </c>
      <c r="E578" s="35" t="str">
        <f>IFERROR(VLOOKUP(D578,Bel!$E:$G,3,0),"")</f>
        <v/>
      </c>
      <c r="F578" s="38"/>
      <c r="G578" s="1">
        <f t="shared" si="2"/>
        <v>0</v>
      </c>
      <c r="H578"/>
      <c r="I578"/>
      <c r="J578"/>
    </row>
    <row r="579" spans="1:10" ht="15.75">
      <c r="A579" s="102"/>
      <c r="B579" s="10" t="str">
        <f>IFERROR(VLOOKUP(A579,Bel!A:F,6,0),"")</f>
        <v/>
      </c>
      <c r="C579" s="32" t="str">
        <f>IFERROR(VLOOKUP(A579,Bel!A:G,7,0),"")</f>
        <v/>
      </c>
      <c r="D579" s="66" t="s">
        <v>457</v>
      </c>
      <c r="E579" s="35" t="str">
        <f>IFERROR(VLOOKUP(D579,Bel!$E:$G,3,0),"")</f>
        <v/>
      </c>
      <c r="F579" s="38"/>
      <c r="G579" s="1">
        <f t="shared" si="2"/>
        <v>0</v>
      </c>
      <c r="H579"/>
      <c r="I579"/>
      <c r="J579"/>
    </row>
    <row r="580" spans="1:10" ht="15.75">
      <c r="A580" s="102"/>
      <c r="B580" s="10" t="str">
        <f>IFERROR(VLOOKUP(A580,Bel!A:F,6,0),"")</f>
        <v/>
      </c>
      <c r="C580" s="32" t="str">
        <f>IFERROR(VLOOKUP(A580,Bel!A:G,7,0),"")</f>
        <v/>
      </c>
      <c r="D580" s="66" t="s">
        <v>457</v>
      </c>
      <c r="E580" s="35" t="str">
        <f>IFERROR(VLOOKUP(D580,Bel!$E:$G,3,0),"")</f>
        <v/>
      </c>
      <c r="F580" s="38"/>
      <c r="G580" s="1">
        <f t="shared" si="2"/>
        <v>0</v>
      </c>
      <c r="H580"/>
      <c r="I580"/>
      <c r="J580"/>
    </row>
    <row r="581" spans="1:10" ht="15.75">
      <c r="A581" s="102"/>
      <c r="B581" s="10" t="str">
        <f>IFERROR(VLOOKUP(A581,Bel!A:F,6,0),"")</f>
        <v/>
      </c>
      <c r="C581" s="32" t="str">
        <f>IFERROR(VLOOKUP(A581,Bel!A:G,7,0),"")</f>
        <v/>
      </c>
      <c r="D581" s="66" t="s">
        <v>457</v>
      </c>
      <c r="E581" s="35" t="str">
        <f>IFERROR(VLOOKUP(D581,Bel!$E:$G,3,0),"")</f>
        <v/>
      </c>
      <c r="F581" s="38"/>
      <c r="G581" s="1">
        <f t="shared" si="2"/>
        <v>0</v>
      </c>
      <c r="H581"/>
      <c r="I581"/>
      <c r="J581"/>
    </row>
    <row r="582" spans="1:10" ht="15.75">
      <c r="A582" s="102"/>
      <c r="B582" s="10" t="str">
        <f>IFERROR(VLOOKUP(A582,Bel!A:F,6,0),"")</f>
        <v/>
      </c>
      <c r="C582" s="32" t="str">
        <f>IFERROR(VLOOKUP(A582,Bel!A:G,7,0),"")</f>
        <v/>
      </c>
      <c r="D582" s="66" t="s">
        <v>457</v>
      </c>
      <c r="E582" s="35" t="str">
        <f>IFERROR(VLOOKUP(D582,Bel!$E:$G,3,0),"")</f>
        <v/>
      </c>
      <c r="F582" s="38"/>
      <c r="G582" s="1">
        <f t="shared" si="2"/>
        <v>0</v>
      </c>
      <c r="H582"/>
      <c r="I582"/>
      <c r="J582"/>
    </row>
    <row r="583" spans="1:10" ht="15.75">
      <c r="A583" s="102"/>
      <c r="B583" s="10" t="str">
        <f>IFERROR(VLOOKUP(A583,Bel!A:F,6,0),"")</f>
        <v/>
      </c>
      <c r="C583" s="32" t="str">
        <f>IFERROR(VLOOKUP(A583,Bel!A:G,7,0),"")</f>
        <v/>
      </c>
      <c r="D583" s="66" t="s">
        <v>457</v>
      </c>
      <c r="E583" s="35" t="str">
        <f>IFERROR(VLOOKUP(D583,Bel!$E:$G,3,0),"")</f>
        <v/>
      </c>
      <c r="F583" s="38"/>
      <c r="G583" s="1">
        <f t="shared" si="2"/>
        <v>0</v>
      </c>
      <c r="H583"/>
      <c r="I583"/>
      <c r="J583"/>
    </row>
    <row r="584" spans="1:10" ht="15.75">
      <c r="A584" s="102"/>
      <c r="B584" s="10" t="str">
        <f>IFERROR(VLOOKUP(A584,Bel!A:F,6,0),"")</f>
        <v/>
      </c>
      <c r="C584" s="32" t="str">
        <f>IFERROR(VLOOKUP(A584,Bel!A:G,7,0),"")</f>
        <v/>
      </c>
      <c r="D584" s="66" t="s">
        <v>457</v>
      </c>
      <c r="E584" s="35" t="str">
        <f>IFERROR(VLOOKUP(D584,Bel!$E:$G,3,0),"")</f>
        <v/>
      </c>
      <c r="F584" s="38"/>
      <c r="G584" s="1">
        <f t="shared" si="2"/>
        <v>0</v>
      </c>
      <c r="H584"/>
      <c r="I584"/>
      <c r="J584"/>
    </row>
    <row r="585" spans="1:10" ht="15.75">
      <c r="A585" s="102"/>
      <c r="B585" s="10" t="str">
        <f>IFERROR(VLOOKUP(A585,Bel!A:F,6,0),"")</f>
        <v/>
      </c>
      <c r="C585" s="32" t="str">
        <f>IFERROR(VLOOKUP(A585,Bel!A:G,7,0),"")</f>
        <v/>
      </c>
      <c r="D585" s="66" t="s">
        <v>457</v>
      </c>
      <c r="E585" s="35" t="str">
        <f>IFERROR(VLOOKUP(D585,Bel!$E:$G,3,0),"")</f>
        <v/>
      </c>
      <c r="F585" s="38"/>
      <c r="G585" s="1">
        <f t="shared" si="2"/>
        <v>0</v>
      </c>
      <c r="H585"/>
      <c r="I585"/>
      <c r="J585"/>
    </row>
    <row r="586" spans="1:10" ht="15.75">
      <c r="A586" s="102"/>
      <c r="B586" s="10" t="str">
        <f>IFERROR(VLOOKUP(A586,Bel!A:F,6,0),"")</f>
        <v/>
      </c>
      <c r="C586" s="32" t="str">
        <f>IFERROR(VLOOKUP(A586,Bel!A:G,7,0),"")</f>
        <v/>
      </c>
      <c r="D586" s="66" t="s">
        <v>457</v>
      </c>
      <c r="E586" s="35" t="str">
        <f>IFERROR(VLOOKUP(D586,Bel!$E:$G,3,0),"")</f>
        <v/>
      </c>
      <c r="F586" s="38"/>
      <c r="G586" s="1">
        <f t="shared" si="2"/>
        <v>0</v>
      </c>
      <c r="H586"/>
      <c r="I586"/>
      <c r="J586"/>
    </row>
    <row r="587" spans="1:10" ht="15.75">
      <c r="A587" s="102"/>
      <c r="B587" s="10" t="str">
        <f>IFERROR(VLOOKUP(A587,Bel!A:F,6,0),"")</f>
        <v/>
      </c>
      <c r="C587" s="32" t="str">
        <f>IFERROR(VLOOKUP(A587,Bel!A:G,7,0),"")</f>
        <v/>
      </c>
      <c r="D587" s="66" t="s">
        <v>457</v>
      </c>
      <c r="E587" s="35" t="str">
        <f>IFERROR(VLOOKUP(D587,Bel!$E:$G,3,0),"")</f>
        <v/>
      </c>
      <c r="F587" s="38"/>
      <c r="G587" s="1">
        <f t="shared" si="2"/>
        <v>0</v>
      </c>
      <c r="H587"/>
      <c r="I587"/>
      <c r="J587"/>
    </row>
    <row r="588" spans="1:10" ht="15.75">
      <c r="A588" s="102"/>
      <c r="B588" s="10" t="str">
        <f>IFERROR(VLOOKUP(A588,Bel!A:F,6,0),"")</f>
        <v/>
      </c>
      <c r="C588" s="32" t="str">
        <f>IFERROR(VLOOKUP(A588,Bel!A:G,7,0),"")</f>
        <v/>
      </c>
      <c r="D588" s="66" t="s">
        <v>457</v>
      </c>
      <c r="E588" s="35" t="str">
        <f>IFERROR(VLOOKUP(D588,Bel!$E:$G,3,0),"")</f>
        <v/>
      </c>
      <c r="F588" s="38"/>
      <c r="G588" s="1">
        <f t="shared" si="2"/>
        <v>0</v>
      </c>
      <c r="H588"/>
      <c r="I588"/>
      <c r="J588"/>
    </row>
    <row r="589" spans="1:10" ht="15.75">
      <c r="A589" s="102"/>
      <c r="B589" s="10" t="str">
        <f>IFERROR(VLOOKUP(A589,Bel!A:F,6,0),"")</f>
        <v/>
      </c>
      <c r="C589" s="32" t="str">
        <f>IFERROR(VLOOKUP(A589,Bel!A:G,7,0),"")</f>
        <v/>
      </c>
      <c r="D589" s="66" t="s">
        <v>457</v>
      </c>
      <c r="E589" s="35" t="str">
        <f>IFERROR(VLOOKUP(D589,Bel!$E:$G,3,0),"")</f>
        <v/>
      </c>
      <c r="F589" s="38"/>
      <c r="G589" s="1">
        <f t="shared" si="2"/>
        <v>0</v>
      </c>
      <c r="H589"/>
      <c r="I589"/>
      <c r="J589"/>
    </row>
    <row r="590" spans="1:10" ht="15.75">
      <c r="A590" s="102"/>
      <c r="B590" s="10" t="str">
        <f>IFERROR(VLOOKUP(A590,Bel!A:F,6,0),"")</f>
        <v/>
      </c>
      <c r="C590" s="32" t="str">
        <f>IFERROR(VLOOKUP(A590,Bel!A:G,7,0),"")</f>
        <v/>
      </c>
      <c r="D590" s="66" t="s">
        <v>457</v>
      </c>
      <c r="E590" s="35" t="str">
        <f>IFERROR(VLOOKUP(D590,Bel!$E:$G,3,0),"")</f>
        <v/>
      </c>
      <c r="F590" s="38"/>
      <c r="G590" s="1">
        <f t="shared" si="2"/>
        <v>0</v>
      </c>
      <c r="H590"/>
      <c r="I590"/>
      <c r="J590"/>
    </row>
    <row r="591" spans="1:10" ht="15.75">
      <c r="A591" s="102"/>
      <c r="B591" s="10" t="str">
        <f>IFERROR(VLOOKUP(A591,Bel!A:F,6,0),"")</f>
        <v/>
      </c>
      <c r="C591" s="32" t="str">
        <f>IFERROR(VLOOKUP(A591,Bel!A:G,7,0),"")</f>
        <v/>
      </c>
      <c r="D591" s="66" t="s">
        <v>457</v>
      </c>
      <c r="E591" s="35" t="str">
        <f>IFERROR(VLOOKUP(D591,Bel!$E:$G,3,0),"")</f>
        <v/>
      </c>
      <c r="F591" s="38"/>
      <c r="G591" s="1">
        <f t="shared" ref="G591:G630" si="3">A591</f>
        <v>0</v>
      </c>
      <c r="H591"/>
      <c r="I591"/>
      <c r="J591"/>
    </row>
    <row r="592" spans="1:10" ht="15.75">
      <c r="A592" s="102"/>
      <c r="B592" s="10" t="str">
        <f>IFERROR(VLOOKUP(A592,Bel!A:F,6,0),"")</f>
        <v/>
      </c>
      <c r="C592" s="32" t="str">
        <f>IFERROR(VLOOKUP(A592,Bel!A:G,7,0),"")</f>
        <v/>
      </c>
      <c r="D592" s="66" t="s">
        <v>457</v>
      </c>
      <c r="E592" s="35" t="str">
        <f>IFERROR(VLOOKUP(D592,Bel!$E:$G,3,0),"")</f>
        <v/>
      </c>
      <c r="F592" s="38"/>
      <c r="G592" s="1">
        <f t="shared" si="3"/>
        <v>0</v>
      </c>
      <c r="H592"/>
      <c r="I592"/>
      <c r="J592"/>
    </row>
    <row r="593" spans="1:10" ht="15.75">
      <c r="A593" s="102"/>
      <c r="B593" s="10" t="str">
        <f>IFERROR(VLOOKUP(A593,Bel!A:F,6,0),"")</f>
        <v/>
      </c>
      <c r="C593" s="32" t="str">
        <f>IFERROR(VLOOKUP(A593,Bel!A:G,7,0),"")</f>
        <v/>
      </c>
      <c r="D593" s="66" t="s">
        <v>457</v>
      </c>
      <c r="E593" s="35" t="str">
        <f>IFERROR(VLOOKUP(D593,Bel!$E:$G,3,0),"")</f>
        <v/>
      </c>
      <c r="F593" s="38"/>
      <c r="G593" s="1">
        <f t="shared" si="3"/>
        <v>0</v>
      </c>
      <c r="H593"/>
      <c r="I593"/>
      <c r="J593"/>
    </row>
    <row r="594" spans="1:10" ht="15.75">
      <c r="A594" s="102"/>
      <c r="B594" s="10" t="str">
        <f>IFERROR(VLOOKUP(A594,Bel!A:F,6,0),"")</f>
        <v/>
      </c>
      <c r="C594" s="32" t="str">
        <f>IFERROR(VLOOKUP(A594,Bel!A:G,7,0),"")</f>
        <v/>
      </c>
      <c r="D594" s="66" t="s">
        <v>457</v>
      </c>
      <c r="E594" s="35" t="str">
        <f>IFERROR(VLOOKUP(D594,Bel!$E:$G,3,0),"")</f>
        <v/>
      </c>
      <c r="F594" s="38"/>
      <c r="G594" s="1">
        <f t="shared" si="3"/>
        <v>0</v>
      </c>
      <c r="H594"/>
      <c r="I594"/>
      <c r="J594"/>
    </row>
    <row r="595" spans="1:10" ht="15.75">
      <c r="A595" s="102"/>
      <c r="B595" s="10" t="str">
        <f>IFERROR(VLOOKUP(A595,Bel!A:F,6,0),"")</f>
        <v/>
      </c>
      <c r="C595" s="32" t="str">
        <f>IFERROR(VLOOKUP(A595,Bel!A:G,7,0),"")</f>
        <v/>
      </c>
      <c r="D595" s="66" t="s">
        <v>457</v>
      </c>
      <c r="E595" s="35" t="str">
        <f>IFERROR(VLOOKUP(D595,Bel!$E:$G,3,0),"")</f>
        <v/>
      </c>
      <c r="F595" s="38"/>
      <c r="G595" s="1">
        <f t="shared" si="3"/>
        <v>0</v>
      </c>
      <c r="H595"/>
      <c r="I595"/>
      <c r="J595"/>
    </row>
    <row r="596" spans="1:10" ht="15.75">
      <c r="A596" s="102"/>
      <c r="B596" s="10" t="str">
        <f>IFERROR(VLOOKUP(A596,Bel!A:F,6,0),"")</f>
        <v/>
      </c>
      <c r="C596" s="32" t="str">
        <f>IFERROR(VLOOKUP(A596,Bel!A:G,7,0),"")</f>
        <v/>
      </c>
      <c r="D596" s="66" t="s">
        <v>457</v>
      </c>
      <c r="E596" s="35" t="str">
        <f>IFERROR(VLOOKUP(D596,Bel!$E:$G,3,0),"")</f>
        <v/>
      </c>
      <c r="F596" s="38"/>
      <c r="G596" s="1">
        <f t="shared" si="3"/>
        <v>0</v>
      </c>
      <c r="H596"/>
      <c r="I596"/>
      <c r="J596"/>
    </row>
    <row r="597" spans="1:10" ht="15.75">
      <c r="A597" s="102"/>
      <c r="B597" s="10" t="str">
        <f>IFERROR(VLOOKUP(A597,Bel!A:F,6,0),"")</f>
        <v/>
      </c>
      <c r="C597" s="32" t="str">
        <f>IFERROR(VLOOKUP(A597,Bel!A:G,7,0),"")</f>
        <v/>
      </c>
      <c r="D597" s="66" t="s">
        <v>457</v>
      </c>
      <c r="E597" s="35" t="str">
        <f>IFERROR(VLOOKUP(D597,Bel!$E:$G,3,0),"")</f>
        <v/>
      </c>
      <c r="F597" s="38"/>
      <c r="G597" s="1">
        <f t="shared" si="3"/>
        <v>0</v>
      </c>
      <c r="H597"/>
      <c r="I597"/>
      <c r="J597"/>
    </row>
    <row r="598" spans="1:10" ht="15.75">
      <c r="A598" s="102"/>
      <c r="B598" s="10" t="str">
        <f>IFERROR(VLOOKUP(A598,Bel!A:F,6,0),"")</f>
        <v/>
      </c>
      <c r="C598" s="32" t="str">
        <f>IFERROR(VLOOKUP(A598,Bel!A:G,7,0),"")</f>
        <v/>
      </c>
      <c r="D598" s="66" t="s">
        <v>457</v>
      </c>
      <c r="E598" s="35" t="str">
        <f>IFERROR(VLOOKUP(D598,Bel!$E:$G,3,0),"")</f>
        <v/>
      </c>
      <c r="F598" s="38"/>
      <c r="G598" s="1">
        <f t="shared" si="3"/>
        <v>0</v>
      </c>
      <c r="H598"/>
      <c r="I598"/>
      <c r="J598"/>
    </row>
    <row r="599" spans="1:10" ht="15.75">
      <c r="A599" s="102"/>
      <c r="B599" s="10" t="str">
        <f>IFERROR(VLOOKUP(A599,Bel!A:F,6,0),"")</f>
        <v/>
      </c>
      <c r="C599" s="32" t="str">
        <f>IFERROR(VLOOKUP(A599,Bel!A:G,7,0),"")</f>
        <v/>
      </c>
      <c r="D599" s="66" t="s">
        <v>457</v>
      </c>
      <c r="E599" s="35" t="str">
        <f>IFERROR(VLOOKUP(D599,Bel!$E:$G,3,0),"")</f>
        <v/>
      </c>
      <c r="F599" s="38"/>
      <c r="G599" s="1">
        <f t="shared" si="3"/>
        <v>0</v>
      </c>
      <c r="H599"/>
      <c r="I599"/>
      <c r="J599"/>
    </row>
    <row r="600" spans="1:10" ht="15.75">
      <c r="A600" s="102"/>
      <c r="B600" s="10" t="str">
        <f>IFERROR(VLOOKUP(A600,Bel!A:F,6,0),"")</f>
        <v/>
      </c>
      <c r="C600" s="32" t="str">
        <f>IFERROR(VLOOKUP(A600,Bel!A:G,7,0),"")</f>
        <v/>
      </c>
      <c r="D600" s="66" t="s">
        <v>457</v>
      </c>
      <c r="E600" s="35" t="str">
        <f>IFERROR(VLOOKUP(D600,Bel!$E:$G,3,0),"")</f>
        <v/>
      </c>
      <c r="F600" s="38"/>
      <c r="G600" s="1">
        <f t="shared" si="3"/>
        <v>0</v>
      </c>
      <c r="H600"/>
      <c r="I600"/>
      <c r="J600"/>
    </row>
    <row r="601" spans="1:10" ht="15.75">
      <c r="A601" s="97"/>
      <c r="B601" s="10" t="str">
        <f>IFERROR(VLOOKUP(A601,Bel!A:F,6,0),"")</f>
        <v/>
      </c>
      <c r="C601" s="32" t="str">
        <f>IFERROR(VLOOKUP(A601,Bel!A:G,7,0),"")</f>
        <v/>
      </c>
      <c r="D601" s="47"/>
      <c r="E601" s="35" t="str">
        <f>IFERROR(VLOOKUP(D601,Bel!$E:$G,3,0),"")</f>
        <v/>
      </c>
      <c r="F601" s="38"/>
      <c r="G601" s="1">
        <f t="shared" si="3"/>
        <v>0</v>
      </c>
      <c r="H601"/>
      <c r="I601"/>
      <c r="J601"/>
    </row>
    <row r="602" spans="1:10" ht="15.75">
      <c r="A602" s="97"/>
      <c r="B602" s="10" t="str">
        <f>IFERROR(VLOOKUP(A602,Bel!A:F,6,0),"")</f>
        <v/>
      </c>
      <c r="C602" s="32" t="str">
        <f>IFERROR(VLOOKUP(A602,Bel!A:G,7,0),"")</f>
        <v/>
      </c>
      <c r="D602" s="47"/>
      <c r="E602" s="35" t="str">
        <f>IFERROR(VLOOKUP(D602,Bel!$E:$G,3,0),"")</f>
        <v/>
      </c>
      <c r="F602" s="38"/>
      <c r="G602" s="1">
        <f t="shared" si="3"/>
        <v>0</v>
      </c>
      <c r="H602"/>
      <c r="I602"/>
      <c r="J602"/>
    </row>
    <row r="603" spans="1:10" ht="15.75">
      <c r="A603" s="97"/>
      <c r="B603" s="10" t="str">
        <f>IFERROR(VLOOKUP(A603,Bel!A:F,6,0),"")</f>
        <v/>
      </c>
      <c r="C603" s="32" t="str">
        <f>IFERROR(VLOOKUP(A603,Bel!A:G,7,0),"")</f>
        <v/>
      </c>
      <c r="D603" s="47"/>
      <c r="E603" s="35" t="str">
        <f>IFERROR(VLOOKUP(D603,Bel!$E:$G,3,0),"")</f>
        <v/>
      </c>
      <c r="F603" s="38"/>
      <c r="G603" s="1">
        <f t="shared" si="3"/>
        <v>0</v>
      </c>
      <c r="H603"/>
      <c r="I603"/>
      <c r="J603"/>
    </row>
    <row r="604" spans="1:10" ht="15.75">
      <c r="A604" s="97"/>
      <c r="B604" s="10" t="str">
        <f>IFERROR(VLOOKUP(A604,Bel!A:F,6,0),"")</f>
        <v/>
      </c>
      <c r="C604" s="32" t="str">
        <f>IFERROR(VLOOKUP(A604,Bel!A:G,7,0),"")</f>
        <v/>
      </c>
      <c r="D604" s="47"/>
      <c r="E604" s="35" t="str">
        <f>IFERROR(VLOOKUP(D604,Bel!$E:$G,3,0),"")</f>
        <v/>
      </c>
      <c r="F604" s="38"/>
      <c r="G604" s="1">
        <f t="shared" si="3"/>
        <v>0</v>
      </c>
      <c r="H604"/>
      <c r="I604"/>
      <c r="J604"/>
    </row>
    <row r="605" spans="1:10" ht="15.75">
      <c r="A605" s="97"/>
      <c r="B605" s="10" t="str">
        <f>IFERROR(VLOOKUP(A605,Bel!A:F,6,0),"")</f>
        <v/>
      </c>
      <c r="C605" s="32" t="str">
        <f>IFERROR(VLOOKUP(A605,Bel!A:G,7,0),"")</f>
        <v/>
      </c>
      <c r="D605" s="47"/>
      <c r="E605" s="35" t="str">
        <f>IFERROR(VLOOKUP(D605,Bel!$E:$G,3,0),"")</f>
        <v/>
      </c>
      <c r="F605" s="38"/>
      <c r="G605" s="1">
        <f t="shared" si="3"/>
        <v>0</v>
      </c>
      <c r="H605"/>
      <c r="I605"/>
      <c r="J605"/>
    </row>
    <row r="606" spans="1:10" ht="15.75">
      <c r="A606" s="97"/>
      <c r="B606" s="10" t="str">
        <f>IFERROR(VLOOKUP(A606,Bel!A:F,6,0),"")</f>
        <v/>
      </c>
      <c r="C606" s="32" t="str">
        <f>IFERROR(VLOOKUP(A606,Bel!A:G,7,0),"")</f>
        <v/>
      </c>
      <c r="D606" s="47"/>
      <c r="E606" s="35" t="str">
        <f>IFERROR(VLOOKUP(D606,Bel!$E:$G,3,0),"")</f>
        <v/>
      </c>
      <c r="F606" s="38"/>
      <c r="G606" s="1">
        <f t="shared" si="3"/>
        <v>0</v>
      </c>
      <c r="H606"/>
      <c r="I606"/>
      <c r="J606"/>
    </row>
    <row r="607" spans="1:10" ht="15.75">
      <c r="A607" s="97"/>
      <c r="B607" s="10" t="str">
        <f>IFERROR(VLOOKUP(A607,Bel!A:F,6,0),"")</f>
        <v/>
      </c>
      <c r="C607" s="32" t="str">
        <f>IFERROR(VLOOKUP(A607,Bel!A:G,7,0),"")</f>
        <v/>
      </c>
      <c r="D607" s="47"/>
      <c r="E607" s="35" t="str">
        <f>IFERROR(VLOOKUP(D607,Bel!$E:$G,3,0),"")</f>
        <v/>
      </c>
      <c r="F607" s="38"/>
      <c r="G607" s="1">
        <f t="shared" si="3"/>
        <v>0</v>
      </c>
      <c r="H607"/>
      <c r="I607"/>
      <c r="J607"/>
    </row>
    <row r="608" spans="1:10" ht="15.75">
      <c r="A608" s="97"/>
      <c r="B608" s="10" t="str">
        <f>IFERROR(VLOOKUP(A608,Bel!A:F,6,0),"")</f>
        <v/>
      </c>
      <c r="C608" s="32" t="str">
        <f>IFERROR(VLOOKUP(A608,Bel!A:G,7,0),"")</f>
        <v/>
      </c>
      <c r="D608" s="47"/>
      <c r="E608" s="35" t="str">
        <f>IFERROR(VLOOKUP(D608,Bel!$E:$G,3,0),"")</f>
        <v/>
      </c>
      <c r="F608" s="38"/>
      <c r="G608" s="1">
        <f t="shared" si="3"/>
        <v>0</v>
      </c>
      <c r="H608"/>
      <c r="I608"/>
      <c r="J608"/>
    </row>
    <row r="609" spans="1:10" ht="15.75">
      <c r="A609" s="97"/>
      <c r="B609" s="10" t="str">
        <f>IFERROR(VLOOKUP(A609,Bel!A:F,6,0),"")</f>
        <v/>
      </c>
      <c r="C609" s="32" t="str">
        <f>IFERROR(VLOOKUP(A609,Bel!A:G,7,0),"")</f>
        <v/>
      </c>
      <c r="D609" s="47"/>
      <c r="E609" s="35" t="str">
        <f>IFERROR(VLOOKUP(D609,Bel!$E:$G,3,0),"")</f>
        <v/>
      </c>
      <c r="F609" s="38"/>
      <c r="G609" s="1">
        <f t="shared" si="3"/>
        <v>0</v>
      </c>
      <c r="H609"/>
      <c r="I609"/>
      <c r="J609"/>
    </row>
    <row r="610" spans="1:10" ht="15.75">
      <c r="A610" s="97"/>
      <c r="B610" s="10" t="str">
        <f>IFERROR(VLOOKUP(A610,Bel!A:F,6,0),"")</f>
        <v/>
      </c>
      <c r="C610" s="32" t="str">
        <f>IFERROR(VLOOKUP(A610,Bel!A:G,7,0),"")</f>
        <v/>
      </c>
      <c r="D610" s="47"/>
      <c r="E610" s="35" t="str">
        <f>IFERROR(VLOOKUP(D610,Bel!$E:$G,3,0),"")</f>
        <v/>
      </c>
      <c r="F610" s="38"/>
      <c r="G610" s="1">
        <f t="shared" si="3"/>
        <v>0</v>
      </c>
      <c r="H610"/>
      <c r="I610"/>
      <c r="J610"/>
    </row>
    <row r="611" spans="1:10" ht="15.75">
      <c r="A611" s="97"/>
      <c r="B611" s="10" t="str">
        <f>IFERROR(VLOOKUP(A611,Bel!A:F,6,0),"")</f>
        <v/>
      </c>
      <c r="C611" s="32" t="str">
        <f>IFERROR(VLOOKUP(A611,Bel!A:G,7,0),"")</f>
        <v/>
      </c>
      <c r="D611" s="47"/>
      <c r="E611" s="35" t="str">
        <f>IFERROR(VLOOKUP(D611,Bel!$E:$G,3,0),"")</f>
        <v/>
      </c>
      <c r="F611" s="38"/>
      <c r="G611" s="1">
        <f t="shared" si="3"/>
        <v>0</v>
      </c>
      <c r="H611"/>
      <c r="I611"/>
      <c r="J611"/>
    </row>
    <row r="612" spans="1:10" ht="15.75">
      <c r="A612" s="97"/>
      <c r="B612" s="10" t="str">
        <f>IFERROR(VLOOKUP(A612,Bel!A:F,6,0),"")</f>
        <v/>
      </c>
      <c r="C612" s="32" t="str">
        <f>IFERROR(VLOOKUP(A612,Bel!A:G,7,0),"")</f>
        <v/>
      </c>
      <c r="D612" s="47"/>
      <c r="E612" s="35" t="str">
        <f>IFERROR(VLOOKUP(D612,Bel!$E:$G,3,0),"")</f>
        <v/>
      </c>
      <c r="F612" s="38"/>
      <c r="G612" s="1">
        <f t="shared" si="3"/>
        <v>0</v>
      </c>
      <c r="H612"/>
      <c r="I612"/>
      <c r="J612"/>
    </row>
    <row r="613" spans="1:10" ht="15.75">
      <c r="A613" s="97"/>
      <c r="B613" s="10" t="str">
        <f>IFERROR(VLOOKUP(A613,Bel!A:F,6,0),"")</f>
        <v/>
      </c>
      <c r="C613" s="32" t="str">
        <f>IFERROR(VLOOKUP(A613,Bel!A:G,7,0),"")</f>
        <v/>
      </c>
      <c r="D613" s="47"/>
      <c r="E613" s="35" t="str">
        <f>IFERROR(VLOOKUP(D613,Bel!$E:$G,3,0),"")</f>
        <v/>
      </c>
      <c r="F613" s="38"/>
      <c r="G613" s="1">
        <f t="shared" si="3"/>
        <v>0</v>
      </c>
      <c r="H613"/>
      <c r="I613"/>
      <c r="J613"/>
    </row>
    <row r="614" spans="1:10" ht="15.75">
      <c r="A614" s="97"/>
      <c r="B614" s="10" t="str">
        <f>IFERROR(VLOOKUP(A614,Bel!A:F,6,0),"")</f>
        <v/>
      </c>
      <c r="C614" s="32" t="str">
        <f>IFERROR(VLOOKUP(A614,Bel!A:G,7,0),"")</f>
        <v/>
      </c>
      <c r="D614" s="47"/>
      <c r="E614" s="35" t="str">
        <f>IFERROR(VLOOKUP(D614,Bel!$E:$G,3,0),"")</f>
        <v/>
      </c>
      <c r="F614" s="38"/>
      <c r="G614" s="1">
        <f t="shared" si="3"/>
        <v>0</v>
      </c>
      <c r="H614"/>
      <c r="I614"/>
      <c r="J614"/>
    </row>
    <row r="615" spans="1:10" ht="15.75">
      <c r="A615" s="97"/>
      <c r="B615" s="10" t="str">
        <f>IFERROR(VLOOKUP(A615,Bel!A:F,6,0),"")</f>
        <v/>
      </c>
      <c r="C615" s="32" t="str">
        <f>IFERROR(VLOOKUP(A615,Bel!A:G,7,0),"")</f>
        <v/>
      </c>
      <c r="D615" s="47"/>
      <c r="E615" s="35" t="str">
        <f>IFERROR(VLOOKUP(D615,Bel!$E:$G,3,0),"")</f>
        <v/>
      </c>
      <c r="F615" s="38"/>
      <c r="G615" s="1">
        <f t="shared" si="3"/>
        <v>0</v>
      </c>
      <c r="H615"/>
      <c r="I615"/>
      <c r="J615"/>
    </row>
    <row r="616" spans="1:10" ht="15.75">
      <c r="A616" s="97"/>
      <c r="B616" s="10" t="str">
        <f>IFERROR(VLOOKUP(A616,Bel!A:F,6,0),"")</f>
        <v/>
      </c>
      <c r="C616" s="32" t="str">
        <f>IFERROR(VLOOKUP(A616,Bel!A:G,7,0),"")</f>
        <v/>
      </c>
      <c r="D616" s="47"/>
      <c r="E616" s="35" t="str">
        <f>IFERROR(VLOOKUP(D616,Bel!$E:$G,3,0),"")</f>
        <v/>
      </c>
      <c r="F616" s="38"/>
      <c r="G616" s="1">
        <f t="shared" si="3"/>
        <v>0</v>
      </c>
      <c r="H616"/>
      <c r="I616"/>
      <c r="J616"/>
    </row>
    <row r="617" spans="1:10" ht="15.75">
      <c r="A617" s="97"/>
      <c r="B617" s="10" t="str">
        <f>IFERROR(VLOOKUP(A617,Bel!A:F,6,0),"")</f>
        <v/>
      </c>
      <c r="C617" s="32" t="str">
        <f>IFERROR(VLOOKUP(A617,Bel!A:G,7,0),"")</f>
        <v/>
      </c>
      <c r="D617" s="47"/>
      <c r="E617" s="35" t="str">
        <f>IFERROR(VLOOKUP(D617,Bel!$E:$G,3,0),"")</f>
        <v/>
      </c>
      <c r="F617" s="38"/>
      <c r="G617" s="1">
        <f t="shared" si="3"/>
        <v>0</v>
      </c>
      <c r="H617"/>
      <c r="I617"/>
      <c r="J617"/>
    </row>
    <row r="618" spans="1:10" ht="15.75">
      <c r="A618" s="97"/>
      <c r="B618" s="10" t="str">
        <f>IFERROR(VLOOKUP(A618,Bel!A:F,6,0),"")</f>
        <v/>
      </c>
      <c r="C618" s="32" t="str">
        <f>IFERROR(VLOOKUP(A618,Bel!A:G,7,0),"")</f>
        <v/>
      </c>
      <c r="D618" s="47"/>
      <c r="E618" s="35" t="str">
        <f>IFERROR(VLOOKUP(D618,Bel!$E:$G,3,0),"")</f>
        <v/>
      </c>
      <c r="F618" s="38"/>
      <c r="G618" s="1">
        <f t="shared" si="3"/>
        <v>0</v>
      </c>
      <c r="H618"/>
      <c r="I618"/>
      <c r="J618"/>
    </row>
    <row r="619" spans="1:10" ht="15.75">
      <c r="A619" s="97"/>
      <c r="B619" s="10" t="str">
        <f>IFERROR(VLOOKUP(A619,Bel!A:F,6,0),"")</f>
        <v/>
      </c>
      <c r="C619" s="32" t="str">
        <f>IFERROR(VLOOKUP(A619,Bel!A:G,7,0),"")</f>
        <v/>
      </c>
      <c r="D619" s="47"/>
      <c r="E619" s="35" t="str">
        <f>IFERROR(VLOOKUP(D619,Bel!$E:$G,3,0),"")</f>
        <v/>
      </c>
      <c r="F619" s="38"/>
      <c r="G619" s="1">
        <f t="shared" si="3"/>
        <v>0</v>
      </c>
      <c r="H619"/>
      <c r="I619"/>
      <c r="J619"/>
    </row>
    <row r="620" spans="1:10" ht="15.75">
      <c r="A620" s="97"/>
      <c r="B620" s="10" t="str">
        <f>IFERROR(VLOOKUP(A620,Bel!A:F,6,0),"")</f>
        <v/>
      </c>
      <c r="C620" s="32" t="str">
        <f>IFERROR(VLOOKUP(A620,Bel!A:G,7,0),"")</f>
        <v/>
      </c>
      <c r="D620" s="47"/>
      <c r="E620" s="35" t="str">
        <f>IFERROR(VLOOKUP(D620,Bel!$E:$G,3,0),"")</f>
        <v/>
      </c>
      <c r="F620" s="38"/>
      <c r="G620" s="1">
        <f t="shared" si="3"/>
        <v>0</v>
      </c>
      <c r="H620"/>
      <c r="I620"/>
      <c r="J620"/>
    </row>
    <row r="621" spans="1:10" ht="15.75">
      <c r="A621" s="97"/>
      <c r="B621" s="10" t="str">
        <f>IFERROR(VLOOKUP(A621,Bel!A:F,6,0),"")</f>
        <v/>
      </c>
      <c r="C621" s="32" t="str">
        <f>IFERROR(VLOOKUP(A621,Bel!A:G,7,0),"")</f>
        <v/>
      </c>
      <c r="D621" s="47"/>
      <c r="E621" s="35" t="str">
        <f>IFERROR(VLOOKUP(D621,Bel!$E:$G,3,0),"")</f>
        <v/>
      </c>
      <c r="F621" s="38"/>
      <c r="G621" s="1">
        <f t="shared" si="3"/>
        <v>0</v>
      </c>
      <c r="H621"/>
      <c r="I621"/>
      <c r="J621"/>
    </row>
    <row r="622" spans="1:10" ht="15.75">
      <c r="A622" s="97"/>
      <c r="B622" s="10" t="str">
        <f>IFERROR(VLOOKUP(A622,Bel!A:F,6,0),"")</f>
        <v/>
      </c>
      <c r="C622" s="32" t="str">
        <f>IFERROR(VLOOKUP(A622,Bel!A:G,7,0),"")</f>
        <v/>
      </c>
      <c r="D622" s="47"/>
      <c r="E622" s="35" t="str">
        <f>IFERROR(VLOOKUP(D622,Bel!$E:$G,3,0),"")</f>
        <v/>
      </c>
      <c r="F622" s="38"/>
      <c r="G622" s="1">
        <f t="shared" si="3"/>
        <v>0</v>
      </c>
      <c r="H622"/>
      <c r="I622"/>
      <c r="J622"/>
    </row>
    <row r="623" spans="1:10" ht="15.75">
      <c r="A623" s="97"/>
      <c r="B623" s="10" t="str">
        <f>IFERROR(VLOOKUP(A623,Bel!A:F,6,0),"")</f>
        <v/>
      </c>
      <c r="C623" s="32" t="str">
        <f>IFERROR(VLOOKUP(A623,Bel!A:G,7,0),"")</f>
        <v/>
      </c>
      <c r="D623" s="47"/>
      <c r="E623" s="35" t="str">
        <f>IFERROR(VLOOKUP(D623,Bel!$E:$G,3,0),"")</f>
        <v/>
      </c>
      <c r="F623" s="38"/>
      <c r="G623" s="1">
        <f t="shared" si="3"/>
        <v>0</v>
      </c>
      <c r="H623"/>
      <c r="I623"/>
      <c r="J623"/>
    </row>
    <row r="624" spans="1:10" ht="15.75">
      <c r="A624" s="97"/>
      <c r="B624" s="10" t="str">
        <f>IFERROR(VLOOKUP(A624,Bel!A:F,6,0),"")</f>
        <v/>
      </c>
      <c r="C624" s="32" t="str">
        <f>IFERROR(VLOOKUP(A624,Bel!A:G,7,0),"")</f>
        <v/>
      </c>
      <c r="D624" s="47"/>
      <c r="E624" s="35" t="str">
        <f>IFERROR(VLOOKUP(D624,Bel!$E:$G,3,0),"")</f>
        <v/>
      </c>
      <c r="F624" s="38"/>
      <c r="G624" s="1">
        <f t="shared" si="3"/>
        <v>0</v>
      </c>
      <c r="H624"/>
      <c r="I624"/>
      <c r="J624"/>
    </row>
    <row r="625" spans="1:10" ht="15.75">
      <c r="A625" s="97"/>
      <c r="B625" s="10" t="str">
        <f>IFERROR(VLOOKUP(A625,Bel!A:F,6,0),"")</f>
        <v/>
      </c>
      <c r="C625" s="32" t="str">
        <f>IFERROR(VLOOKUP(A625,Bel!A:G,7,0),"")</f>
        <v/>
      </c>
      <c r="D625" s="47"/>
      <c r="E625" s="35" t="str">
        <f>IFERROR(VLOOKUP(D625,Bel!$E:$G,3,0),"")</f>
        <v/>
      </c>
      <c r="F625" s="38"/>
      <c r="G625" s="1">
        <f t="shared" si="3"/>
        <v>0</v>
      </c>
      <c r="H625"/>
      <c r="I625"/>
      <c r="J625"/>
    </row>
    <row r="626" spans="1:10" ht="15.75">
      <c r="A626" s="97"/>
      <c r="B626" s="10" t="str">
        <f>IFERROR(VLOOKUP(A626,Bel!A:F,6,0),"")</f>
        <v/>
      </c>
      <c r="C626" s="32" t="str">
        <f>IFERROR(VLOOKUP(A626,Bel!A:G,7,0),"")</f>
        <v/>
      </c>
      <c r="D626" s="47"/>
      <c r="E626" s="35" t="str">
        <f>IFERROR(VLOOKUP(D626,Bel!$E:$G,3,0),"")</f>
        <v/>
      </c>
      <c r="F626" s="38"/>
      <c r="G626" s="1">
        <f t="shared" si="3"/>
        <v>0</v>
      </c>
      <c r="H626"/>
      <c r="I626"/>
      <c r="J626"/>
    </row>
    <row r="627" spans="1:10" ht="15.75">
      <c r="A627" s="97"/>
      <c r="B627" s="10" t="str">
        <f>IFERROR(VLOOKUP(A627,Bel!A:F,6,0),"")</f>
        <v/>
      </c>
      <c r="C627" s="32" t="str">
        <f>IFERROR(VLOOKUP(A627,Bel!A:G,7,0),"")</f>
        <v/>
      </c>
      <c r="D627" s="47"/>
      <c r="E627" s="35" t="str">
        <f>IFERROR(VLOOKUP(D627,Bel!$E:$G,3,0),"")</f>
        <v/>
      </c>
      <c r="F627" s="38"/>
      <c r="G627" s="1">
        <f t="shared" si="3"/>
        <v>0</v>
      </c>
      <c r="H627"/>
      <c r="I627"/>
      <c r="J627"/>
    </row>
    <row r="628" spans="1:10" ht="15.75">
      <c r="A628" s="97"/>
      <c r="B628" s="10" t="str">
        <f>IFERROR(VLOOKUP(A628,Bel!A:F,6,0),"")</f>
        <v/>
      </c>
      <c r="C628" s="32" t="str">
        <f>IFERROR(VLOOKUP(A628,Bel!A:G,7,0),"")</f>
        <v/>
      </c>
      <c r="D628" s="47"/>
      <c r="E628" s="35" t="str">
        <f>IFERROR(VLOOKUP(D628,Bel!$E:$G,3,0),"")</f>
        <v/>
      </c>
      <c r="F628" s="38"/>
      <c r="G628" s="1">
        <f t="shared" si="3"/>
        <v>0</v>
      </c>
      <c r="H628"/>
      <c r="I628"/>
      <c r="J628"/>
    </row>
    <row r="629" spans="1:10" ht="15.75">
      <c r="A629" s="97"/>
      <c r="B629" s="10" t="str">
        <f>IFERROR(VLOOKUP(A629,Bel!A:F,6,0),"")</f>
        <v/>
      </c>
      <c r="C629" s="32" t="str">
        <f>IFERROR(VLOOKUP(A629,Bel!A:G,7,0),"")</f>
        <v/>
      </c>
      <c r="D629" s="47"/>
      <c r="E629" s="35" t="str">
        <f>IFERROR(VLOOKUP(D629,Bel!$E:$G,3,0),"")</f>
        <v/>
      </c>
      <c r="F629" s="38"/>
      <c r="G629" s="1">
        <f t="shared" si="3"/>
        <v>0</v>
      </c>
      <c r="H629"/>
      <c r="I629"/>
      <c r="J629"/>
    </row>
    <row r="630" spans="1:10" ht="15.75">
      <c r="A630" s="97"/>
      <c r="B630" s="10" t="str">
        <f>IFERROR(VLOOKUP(A630,Bel!A:F,6,0),"")</f>
        <v/>
      </c>
      <c r="C630" s="32" t="str">
        <f>IFERROR(VLOOKUP(A630,Bel!A:G,7,0),"")</f>
        <v/>
      </c>
      <c r="D630" s="47"/>
      <c r="E630" s="35" t="str">
        <f>IFERROR(VLOOKUP(D630,Bel!$E:$G,3,0),"")</f>
        <v/>
      </c>
      <c r="F630" s="38"/>
      <c r="G630" s="1">
        <f t="shared" si="3"/>
        <v>0</v>
      </c>
      <c r="H630"/>
      <c r="I630"/>
      <c r="J630"/>
    </row>
    <row r="631" spans="1:10" ht="15.75">
      <c r="C631" s="32" t="str">
        <f>IFERROR(VLOOKUP(A631,Bel!A:G,7,0),"")</f>
        <v/>
      </c>
      <c r="E631" s="35" t="str">
        <f>IFERROR(VLOOKUP(D631,Bel!$E:$G,3,0),"")</f>
        <v/>
      </c>
    </row>
    <row r="632" spans="1:10" ht="15.75">
      <c r="C632" s="32" t="str">
        <f>IFERROR(VLOOKUP(A632,Bel!A:G,7,0),"")</f>
        <v/>
      </c>
      <c r="E632" s="35" t="str">
        <f>IFERROR(VLOOKUP(D632,Bel!$E:$G,3,0),"")</f>
        <v/>
      </c>
    </row>
    <row r="633" spans="1:10" ht="15.75">
      <c r="C633" s="32" t="str">
        <f>IFERROR(VLOOKUP(A633,Bel!A:G,7,0),"")</f>
        <v/>
      </c>
      <c r="E633" s="35" t="str">
        <f>IFERROR(VLOOKUP(D633,Bel!$E:$G,3,0),"")</f>
        <v/>
      </c>
    </row>
    <row r="634" spans="1:10" ht="15.75">
      <c r="C634" s="32" t="str">
        <f>IFERROR(VLOOKUP(A634,Bel!A:G,7,0),"")</f>
        <v/>
      </c>
      <c r="E634" s="35" t="str">
        <f>IFERROR(VLOOKUP(D634,Bel!$E:$G,3,0),"")</f>
        <v/>
      </c>
    </row>
    <row r="635" spans="1:10" ht="15.75">
      <c r="C635" s="32" t="str">
        <f>IFERROR(VLOOKUP(A635,Bel!A:G,7,0),"")</f>
        <v/>
      </c>
      <c r="E635" s="35" t="str">
        <f>IFERROR(VLOOKUP(D635,Bel!$E:$G,3,0),"")</f>
        <v/>
      </c>
    </row>
    <row r="636" spans="1:10" ht="15.75">
      <c r="C636" s="32" t="str">
        <f>IFERROR(VLOOKUP(A636,Bel!A:G,7,0),"")</f>
        <v/>
      </c>
      <c r="E636" s="35" t="str">
        <f>IFERROR(VLOOKUP(D636,Bel!$E:$G,3,0),"")</f>
        <v/>
      </c>
    </row>
    <row r="637" spans="1:10" ht="15.75">
      <c r="C637" s="32" t="str">
        <f>IFERROR(VLOOKUP(A637,Bel!A:G,7,0),"")</f>
        <v/>
      </c>
      <c r="E637" s="35" t="str">
        <f>IFERROR(VLOOKUP(D637,Bel!$E:$G,3,0),"")</f>
        <v/>
      </c>
    </row>
    <row r="638" spans="1:10" ht="15.75">
      <c r="C638" s="32" t="str">
        <f>IFERROR(VLOOKUP(A638,Bel!A:G,7,0),"")</f>
        <v/>
      </c>
      <c r="E638" s="35" t="str">
        <f>IFERROR(VLOOKUP(D638,Bel!$E:$G,3,0),"")</f>
        <v/>
      </c>
    </row>
    <row r="639" spans="1:10" ht="15.75">
      <c r="C639" s="32" t="str">
        <f>IFERROR(VLOOKUP(A639,Bel!A:G,7,0),"")</f>
        <v/>
      </c>
      <c r="E639" s="35" t="str">
        <f>IFERROR(VLOOKUP(D639,Bel!$E:$G,3,0),"")</f>
        <v/>
      </c>
    </row>
    <row r="640" spans="1:10" ht="15.75">
      <c r="C640" s="32" t="str">
        <f>IFERROR(VLOOKUP(A640,Bel!A:G,7,0),"")</f>
        <v/>
      </c>
      <c r="E640" s="35" t="str">
        <f>IFERROR(VLOOKUP(D640,Bel!$E:$G,3,0),"")</f>
        <v/>
      </c>
    </row>
    <row r="641" spans="3:5" ht="15.75">
      <c r="C641" s="32" t="str">
        <f>IFERROR(VLOOKUP(A641,Bel!A:G,7,0),"")</f>
        <v/>
      </c>
      <c r="E641" s="35" t="str">
        <f>IFERROR(VLOOKUP(D641,Bel!$E:$G,3,0),"")</f>
        <v/>
      </c>
    </row>
    <row r="642" spans="3:5" ht="15.75">
      <c r="C642" s="32" t="str">
        <f>IFERROR(VLOOKUP(A642,Bel!A:G,7,0),"")</f>
        <v/>
      </c>
      <c r="E642" s="35" t="str">
        <f>IFERROR(VLOOKUP(D642,Bel!$E:$G,3,0),"")</f>
        <v/>
      </c>
    </row>
    <row r="643" spans="3:5" ht="15.75">
      <c r="C643" s="32" t="str">
        <f>IFERROR(VLOOKUP(A643,Bel!A:G,7,0),"")</f>
        <v/>
      </c>
      <c r="E643" s="35" t="str">
        <f>IFERROR(VLOOKUP(D643,Bel!$E:$G,3,0),"")</f>
        <v/>
      </c>
    </row>
    <row r="644" spans="3:5" ht="15.75">
      <c r="C644" s="32" t="str">
        <f>IFERROR(VLOOKUP(A644,Bel!A:G,7,0),"")</f>
        <v/>
      </c>
      <c r="E644" s="35" t="str">
        <f>IFERROR(VLOOKUP(D644,Bel!$E:$G,3,0),"")</f>
        <v/>
      </c>
    </row>
    <row r="645" spans="3:5" ht="15.75">
      <c r="C645" s="32" t="str">
        <f>IFERROR(VLOOKUP(A645,Bel!A:G,7,0),"")</f>
        <v/>
      </c>
      <c r="E645" s="35" t="str">
        <f>IFERROR(VLOOKUP(D645,Bel!$E:$G,3,0),"")</f>
        <v/>
      </c>
    </row>
    <row r="646" spans="3:5" ht="15.75">
      <c r="C646" s="32" t="str">
        <f>IFERROR(VLOOKUP(A646,Bel!A:G,7,0),"")</f>
        <v/>
      </c>
      <c r="E646" s="35" t="str">
        <f>IFERROR(VLOOKUP(D646,Bel!$E:$G,3,0),"")</f>
        <v/>
      </c>
    </row>
    <row r="647" spans="3:5" ht="15.75">
      <c r="C647" s="32" t="str">
        <f>IFERROR(VLOOKUP(A647,Bel!A:G,7,0),"")</f>
        <v/>
      </c>
      <c r="E647" s="35" t="str">
        <f>IFERROR(VLOOKUP(D647,Bel!$E:$G,3,0),"")</f>
        <v/>
      </c>
    </row>
    <row r="648" spans="3:5" ht="15.75">
      <c r="C648" s="32" t="str">
        <f>IFERROR(VLOOKUP(A648,Bel!A:G,7,0),"")</f>
        <v/>
      </c>
      <c r="E648" s="35" t="str">
        <f>IFERROR(VLOOKUP(D648,Bel!$E:$G,3,0),"")</f>
        <v/>
      </c>
    </row>
    <row r="649" spans="3:5" ht="15.75">
      <c r="C649" s="32" t="str">
        <f>IFERROR(VLOOKUP(A649,Bel!A:G,7,0),"")</f>
        <v/>
      </c>
      <c r="E649" s="35" t="str">
        <f>IFERROR(VLOOKUP(D649,Bel!$E:$G,3,0),"")</f>
        <v/>
      </c>
    </row>
    <row r="650" spans="3:5" ht="15.75">
      <c r="C650" s="32" t="str">
        <f>IFERROR(VLOOKUP(A650,Bel!A:G,7,0),"")</f>
        <v/>
      </c>
      <c r="E650" s="35" t="str">
        <f>IFERROR(VLOOKUP(D650,Bel!$E:$G,3,0),"")</f>
        <v/>
      </c>
    </row>
    <row r="651" spans="3:5" ht="15.75">
      <c r="C651" s="32" t="str">
        <f>IFERROR(VLOOKUP(A651,Bel!A:G,7,0),"")</f>
        <v/>
      </c>
      <c r="E651" s="35" t="str">
        <f>IFERROR(VLOOKUP(D651,Bel!$E:$G,3,0),"")</f>
        <v/>
      </c>
    </row>
    <row r="652" spans="3:5" ht="15.75">
      <c r="C652" s="32" t="str">
        <f>IFERROR(VLOOKUP(A652,Bel!A:G,7,0),"")</f>
        <v/>
      </c>
      <c r="E652" s="35" t="str">
        <f>IFERROR(VLOOKUP(D652,Bel!$E:$G,3,0),"")</f>
        <v/>
      </c>
    </row>
    <row r="653" spans="3:5" ht="15.75">
      <c r="C653" s="32" t="str">
        <f>IFERROR(VLOOKUP(A653,Bel!A:G,7,0),"")</f>
        <v/>
      </c>
      <c r="E653" s="35" t="str">
        <f>IFERROR(VLOOKUP(D653,Bel!$E:$G,3,0),"")</f>
        <v/>
      </c>
    </row>
    <row r="654" spans="3:5" ht="15.75">
      <c r="C654" s="32" t="str">
        <f>IFERROR(VLOOKUP(A654,Bel!A:G,7,0),"")</f>
        <v/>
      </c>
      <c r="E654" s="35" t="str">
        <f>IFERROR(VLOOKUP(D654,Bel!$E:$G,3,0),"")</f>
        <v/>
      </c>
    </row>
    <row r="655" spans="3:5" ht="15.75">
      <c r="C655" s="32" t="str">
        <f>IFERROR(VLOOKUP(A655,Bel!A:G,7,0),"")</f>
        <v/>
      </c>
      <c r="E655" s="35" t="str">
        <f>IFERROR(VLOOKUP(D655,Bel!$E:$G,3,0),"")</f>
        <v/>
      </c>
    </row>
    <row r="656" spans="3:5" ht="15.75">
      <c r="C656" s="32" t="str">
        <f>IFERROR(VLOOKUP(A656,Bel!A:G,7,0),"")</f>
        <v/>
      </c>
      <c r="E656" s="35" t="str">
        <f>IFERROR(VLOOKUP(D656,Bel!$E:$G,3,0),"")</f>
        <v/>
      </c>
    </row>
    <row r="657" spans="3:5" ht="15.75">
      <c r="C657" s="32" t="str">
        <f>IFERROR(VLOOKUP(A657,Bel!A:G,7,0),"")</f>
        <v/>
      </c>
      <c r="E657" s="35" t="str">
        <f>IFERROR(VLOOKUP(D657,Bel!$E:$G,3,0),"")</f>
        <v/>
      </c>
    </row>
    <row r="658" spans="3:5" ht="15.75">
      <c r="C658" s="32" t="str">
        <f>IFERROR(VLOOKUP(A658,Bel!A:G,7,0),"")</f>
        <v/>
      </c>
      <c r="E658" s="35" t="str">
        <f>IFERROR(VLOOKUP(D658,Bel!$E:$G,3,0),"")</f>
        <v/>
      </c>
    </row>
    <row r="659" spans="3:5" ht="15.75">
      <c r="C659" s="32" t="str">
        <f>IFERROR(VLOOKUP(A659,Bel!A:G,7,0),"")</f>
        <v/>
      </c>
      <c r="E659" s="35" t="str">
        <f>IFERROR(VLOOKUP(D659,Bel!$E:$G,3,0),"")</f>
        <v/>
      </c>
    </row>
    <row r="660" spans="3:5" ht="15.75">
      <c r="C660" s="32" t="str">
        <f>IFERROR(VLOOKUP(A660,Bel!A:G,7,0),"")</f>
        <v/>
      </c>
      <c r="E660" s="35" t="str">
        <f>IFERROR(VLOOKUP(D660,Bel!$E:$G,3,0),"")</f>
        <v/>
      </c>
    </row>
    <row r="661" spans="3:5" ht="15.75">
      <c r="C661" s="32" t="str">
        <f>IFERROR(VLOOKUP(A661,Bel!A:G,7,0),"")</f>
        <v/>
      </c>
      <c r="E661" s="35" t="str">
        <f>IFERROR(VLOOKUP(D661,Bel!$E:$G,3,0),"")</f>
        <v/>
      </c>
    </row>
    <row r="662" spans="3:5" ht="15.75">
      <c r="C662" s="32" t="str">
        <f>IFERROR(VLOOKUP(A662,Bel!A:G,7,0),"")</f>
        <v/>
      </c>
      <c r="E662" s="35" t="str">
        <f>IFERROR(VLOOKUP(D662,Bel!$E:$G,3,0),"")</f>
        <v/>
      </c>
    </row>
    <row r="663" spans="3:5" ht="15.75">
      <c r="C663" s="32" t="str">
        <f>IFERROR(VLOOKUP(A663,Bel!A:G,7,0),"")</f>
        <v/>
      </c>
      <c r="E663" s="35" t="str">
        <f>IFERROR(VLOOKUP(D663,Bel!$E:$G,3,0),"")</f>
        <v/>
      </c>
    </row>
    <row r="664" spans="3:5" ht="15.75">
      <c r="C664" s="32" t="str">
        <f>IFERROR(VLOOKUP(A664,Bel!A:G,7,0),"")</f>
        <v/>
      </c>
      <c r="E664" s="35" t="str">
        <f>IFERROR(VLOOKUP(D664,Bel!$E:$G,3,0),"")</f>
        <v/>
      </c>
    </row>
    <row r="665" spans="3:5" ht="15.75">
      <c r="C665" s="32" t="str">
        <f>IFERROR(VLOOKUP(A665,Bel!A:G,7,0),"")</f>
        <v/>
      </c>
      <c r="E665" s="35" t="str">
        <f>IFERROR(VLOOKUP(D665,Bel!$E:$G,3,0),"")</f>
        <v/>
      </c>
    </row>
    <row r="666" spans="3:5" ht="15.75">
      <c r="C666" s="32" t="str">
        <f>IFERROR(VLOOKUP(A666,Bel!A:G,7,0),"")</f>
        <v/>
      </c>
      <c r="E666" s="35" t="str">
        <f>IFERROR(VLOOKUP(D666,Bel!$E:$G,3,0),"")</f>
        <v/>
      </c>
    </row>
    <row r="667" spans="3:5" ht="15.75">
      <c r="C667" s="32" t="str">
        <f>IFERROR(VLOOKUP(A667,Bel!A:G,7,0),"")</f>
        <v/>
      </c>
      <c r="E667" s="35" t="str">
        <f>IFERROR(VLOOKUP(D667,Bel!$E:$G,3,0),"")</f>
        <v/>
      </c>
    </row>
    <row r="668" spans="3:5" ht="15.75">
      <c r="C668" s="32" t="str">
        <f>IFERROR(VLOOKUP(A668,Bel!A:G,7,0),"")</f>
        <v/>
      </c>
      <c r="E668" s="35" t="str">
        <f>IFERROR(VLOOKUP(D668,Bel!$E:$G,3,0),"")</f>
        <v/>
      </c>
    </row>
    <row r="669" spans="3:5" ht="15.75">
      <c r="C669" s="32" t="str">
        <f>IFERROR(VLOOKUP(A669,Bel!A:G,7,0),"")</f>
        <v/>
      </c>
      <c r="E669" s="35" t="str">
        <f>IFERROR(VLOOKUP(D669,Bel!$E:$G,3,0),"")</f>
        <v/>
      </c>
    </row>
    <row r="670" spans="3:5" ht="15.75">
      <c r="C670" s="32" t="str">
        <f>IFERROR(VLOOKUP(A670,Bel!A:G,7,0),"")</f>
        <v/>
      </c>
      <c r="E670" s="35" t="str">
        <f>IFERROR(VLOOKUP(D670,Bel!$E:$G,3,0),"")</f>
        <v/>
      </c>
    </row>
    <row r="671" spans="3:5" ht="15.75">
      <c r="C671" s="32" t="str">
        <f>IFERROR(VLOOKUP(A671,Bel!A:G,7,0),"")</f>
        <v/>
      </c>
      <c r="E671" s="35" t="str">
        <f>IFERROR(VLOOKUP(D671,Bel!$E:$G,3,0),"")</f>
        <v/>
      </c>
    </row>
    <row r="672" spans="3:5" ht="15.75">
      <c r="C672" s="32" t="str">
        <f>IFERROR(VLOOKUP(A672,Bel!A:G,7,0),"")</f>
        <v/>
      </c>
      <c r="E672" s="35" t="str">
        <f>IFERROR(VLOOKUP(D672,Bel!$E:$G,3,0),"")</f>
        <v/>
      </c>
    </row>
    <row r="673" spans="3:5" ht="15.75">
      <c r="C673" s="32" t="str">
        <f>IFERROR(VLOOKUP(A673,Bel!A:G,7,0),"")</f>
        <v/>
      </c>
      <c r="E673" s="35" t="str">
        <f>IFERROR(VLOOKUP(D673,Bel!$E:$G,3,0),"")</f>
        <v/>
      </c>
    </row>
    <row r="674" spans="3:5" ht="15.75">
      <c r="C674" s="32" t="str">
        <f>IFERROR(VLOOKUP(A674,Bel!A:G,7,0),"")</f>
        <v/>
      </c>
      <c r="E674" s="35" t="str">
        <f>IFERROR(VLOOKUP(D674,Bel!$E:$G,3,0),"")</f>
        <v/>
      </c>
    </row>
    <row r="675" spans="3:5" ht="15.75">
      <c r="C675" s="32" t="str">
        <f>IFERROR(VLOOKUP(A675,Bel!A:G,7,0),"")</f>
        <v/>
      </c>
      <c r="E675" s="35" t="str">
        <f>IFERROR(VLOOKUP(D675,Bel!$E:$G,3,0),"")</f>
        <v/>
      </c>
    </row>
    <row r="676" spans="3:5" ht="15.75">
      <c r="C676" s="32" t="str">
        <f>IFERROR(VLOOKUP(A676,Bel!A:G,7,0),"")</f>
        <v/>
      </c>
      <c r="E676" s="35" t="str">
        <f>IFERROR(VLOOKUP(D676,Bel!$E:$G,3,0),"")</f>
        <v/>
      </c>
    </row>
    <row r="677" spans="3:5" ht="15.75">
      <c r="C677" s="32" t="str">
        <f>IFERROR(VLOOKUP(A677,Bel!A:G,7,0),"")</f>
        <v/>
      </c>
      <c r="E677" s="35" t="str">
        <f>IFERROR(VLOOKUP(D677,Bel!$E:$G,3,0),"")</f>
        <v/>
      </c>
    </row>
    <row r="678" spans="3:5" ht="15.75">
      <c r="C678" s="32" t="str">
        <f>IFERROR(VLOOKUP(A678,Bel!A:G,7,0),"")</f>
        <v/>
      </c>
      <c r="E678" s="35" t="str">
        <f>IFERROR(VLOOKUP(D678,Bel!$E:$G,3,0),"")</f>
        <v/>
      </c>
    </row>
    <row r="679" spans="3:5" ht="15.75">
      <c r="C679" s="32" t="str">
        <f>IFERROR(VLOOKUP(A679,Bel!A:G,7,0),"")</f>
        <v/>
      </c>
      <c r="E679" s="35" t="str">
        <f>IFERROR(VLOOKUP(D679,Bel!$E:$G,3,0),"")</f>
        <v/>
      </c>
    </row>
    <row r="680" spans="3:5" ht="15.75">
      <c r="C680" s="32" t="str">
        <f>IFERROR(VLOOKUP(A680,Bel!A:G,7,0),"")</f>
        <v/>
      </c>
      <c r="E680" s="35" t="str">
        <f>IFERROR(VLOOKUP(D680,Bel!$E:$G,3,0),"")</f>
        <v/>
      </c>
    </row>
    <row r="681" spans="3:5" ht="15.75">
      <c r="C681" s="32" t="str">
        <f>IFERROR(VLOOKUP(A681,Bel!A:G,7,0),"")</f>
        <v/>
      </c>
      <c r="E681" s="35" t="str">
        <f>IFERROR(VLOOKUP(D681,Bel!$E:$G,3,0),"")</f>
        <v/>
      </c>
    </row>
    <row r="682" spans="3:5" ht="15.75">
      <c r="C682" s="32" t="str">
        <f>IFERROR(VLOOKUP(A682,Bel!A:G,7,0),"")</f>
        <v/>
      </c>
      <c r="E682" s="35" t="str">
        <f>IFERROR(VLOOKUP(D682,Bel!$E:$G,3,0),"")</f>
        <v/>
      </c>
    </row>
    <row r="683" spans="3:5" ht="15.75">
      <c r="C683" s="32" t="str">
        <f>IFERROR(VLOOKUP(A683,Bel!A:G,7,0),"")</f>
        <v/>
      </c>
      <c r="E683" s="35" t="str">
        <f>IFERROR(VLOOKUP(D683,Bel!$E:$G,3,0),"")</f>
        <v/>
      </c>
    </row>
    <row r="684" spans="3:5" ht="15.75">
      <c r="C684" s="32" t="str">
        <f>IFERROR(VLOOKUP(A684,Bel!A:G,7,0),"")</f>
        <v/>
      </c>
      <c r="E684" s="35" t="str">
        <f>IFERROR(VLOOKUP(D684,Bel!$E:$G,3,0),"")</f>
        <v/>
      </c>
    </row>
    <row r="685" spans="3:5" ht="15.75">
      <c r="C685" s="32" t="str">
        <f>IFERROR(VLOOKUP(A685,Bel!A:G,7,0),"")</f>
        <v/>
      </c>
      <c r="E685" s="35" t="str">
        <f>IFERROR(VLOOKUP(D685,Bel!$E:$G,3,0),"")</f>
        <v/>
      </c>
    </row>
    <row r="686" spans="3:5" ht="15.75">
      <c r="C686" s="32" t="str">
        <f>IFERROR(VLOOKUP(A686,Bel!A:G,7,0),"")</f>
        <v/>
      </c>
      <c r="E686" s="35" t="str">
        <f>IFERROR(VLOOKUP(D686,Bel!$E:$G,3,0),"")</f>
        <v/>
      </c>
    </row>
    <row r="687" spans="3:5" ht="15.75">
      <c r="C687" s="32" t="str">
        <f>IFERROR(VLOOKUP(A687,Bel!A:G,7,0),"")</f>
        <v/>
      </c>
      <c r="E687" s="35" t="str">
        <f>IFERROR(VLOOKUP(D687,Bel!$E:$G,3,0),"")</f>
        <v/>
      </c>
    </row>
    <row r="688" spans="3:5" ht="15.75">
      <c r="C688" s="32" t="str">
        <f>IFERROR(VLOOKUP(A688,Bel!A:G,7,0),"")</f>
        <v/>
      </c>
      <c r="E688" s="35" t="str">
        <f>IFERROR(VLOOKUP(D688,Bel!$E:$G,3,0),"")</f>
        <v/>
      </c>
    </row>
    <row r="689" spans="3:5" ht="15.75">
      <c r="C689" s="32" t="str">
        <f>IFERROR(VLOOKUP(A689,Bel!A:G,7,0),"")</f>
        <v/>
      </c>
      <c r="E689" s="35" t="str">
        <f>IFERROR(VLOOKUP(D689,Bel!$E:$G,3,0),"")</f>
        <v/>
      </c>
    </row>
    <row r="690" spans="3:5" ht="15.75">
      <c r="E690" s="35" t="str">
        <f>IFERROR(VLOOKUP(D690,Bel!$E:$G,3,0),"")</f>
        <v/>
      </c>
    </row>
    <row r="691" spans="3:5" ht="15.75">
      <c r="E691" s="35" t="str">
        <f>IFERROR(VLOOKUP(D691,Bel!$E:$G,3,0),"")</f>
        <v/>
      </c>
    </row>
    <row r="692" spans="3:5" ht="15.75">
      <c r="E692" s="35" t="str">
        <f>IFERROR(VLOOKUP(D692,Bel!$E:$G,3,0),"")</f>
        <v/>
      </c>
    </row>
    <row r="693" spans="3:5" ht="15.75">
      <c r="E693" s="35" t="str">
        <f>IFERROR(VLOOKUP(D693,Bel!$E:$G,3,0),"")</f>
        <v/>
      </c>
    </row>
    <row r="694" spans="3:5" ht="15.75">
      <c r="E694" s="35" t="str">
        <f>IFERROR(VLOOKUP(D694,Bel!$E:$G,3,0),"")</f>
        <v/>
      </c>
    </row>
    <row r="695" spans="3:5" ht="15.75">
      <c r="E695" s="35" t="str">
        <f>IFERROR(VLOOKUP(D695,Bel!$E:$G,3,0),"")</f>
        <v/>
      </c>
    </row>
    <row r="696" spans="3:5" ht="15.75">
      <c r="E696" s="35" t="str">
        <f>IFERROR(VLOOKUP(D696,Bel!$E:$G,3,0),"")</f>
        <v/>
      </c>
    </row>
    <row r="697" spans="3:5" ht="15.75">
      <c r="E697" s="35" t="str">
        <f>IFERROR(VLOOKUP(D697,Bel!$E:$G,3,0),"")</f>
        <v/>
      </c>
    </row>
    <row r="698" spans="3:5" ht="15.75">
      <c r="E698" s="35" t="str">
        <f>IFERROR(VLOOKUP(D698,Bel!$E:$G,3,0),"")</f>
        <v/>
      </c>
    </row>
    <row r="699" spans="3:5" ht="15.75">
      <c r="E699" s="35" t="str">
        <f>IFERROR(VLOOKUP(D699,Bel!$E:$G,3,0),"")</f>
        <v/>
      </c>
    </row>
  </sheetData>
  <autoFilter ref="A1:J630" xr:uid="{00000000-0001-0000-01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 Mehta</dc:creator>
  <cp:lastModifiedBy>Hemal Mehta</cp:lastModifiedBy>
  <dcterms:created xsi:type="dcterms:W3CDTF">2024-02-10T19:23:49Z</dcterms:created>
  <dcterms:modified xsi:type="dcterms:W3CDTF">2026-02-17T07:25:58Z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Nesto Order Form 2.24.xlsx</vt:lpwstr>
  </property>
</Properties>
</file>