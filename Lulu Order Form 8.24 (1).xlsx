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.mehta\Desktop\Tejal new Price\"/>
    </mc:Choice>
  </mc:AlternateContent>
  <xr:revisionPtr revIDLastSave="0" documentId="13_ncr:1_{A1CD9464-8562-4680-85D4-3E43F71540D8}" xr6:coauthVersionLast="47" xr6:coauthVersionMax="47" xr10:uidLastSave="{00000000-0000-0000-0000-000000000000}"/>
  <bookViews>
    <workbookView minimized="1" xWindow="1470" yWindow="1470" windowWidth="15375" windowHeight="7785" xr2:uid="{00000000-000D-0000-FFFF-FFFF00000000}"/>
  </bookViews>
  <sheets>
    <sheet name="Lulu" sheetId="1" r:id="rId1"/>
    <sheet name="Sheet2" sheetId="2" r:id="rId2"/>
    <sheet name="Sheet1" sheetId="3" r:id="rId3"/>
  </sheets>
  <externalReferences>
    <externalReference r:id="rId4"/>
    <externalReference r:id="rId5"/>
  </externalReferences>
  <definedNames>
    <definedName name="_xlnm._FilterDatabase" localSheetId="0" hidden="1">Lulu!$A$1:$H$448</definedName>
    <definedName name="_xlnm._FilterDatabase" localSheetId="1" hidden="1">Sheet2!$A$1:$J$409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6" i="2" l="1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G108" i="2" l="1"/>
  <c r="G109" i="2"/>
  <c r="G110" i="2"/>
  <c r="G111" i="2"/>
  <c r="G112" i="2"/>
  <c r="G113" i="2"/>
  <c r="G114" i="2"/>
  <c r="G115" i="2"/>
  <c r="G116" i="2"/>
  <c r="F399" i="2" l="1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07" i="2"/>
  <c r="F106" i="2"/>
  <c r="F105" i="2"/>
  <c r="F104" i="2"/>
  <c r="F103" i="2"/>
  <c r="F102" i="2"/>
  <c r="F101" i="2"/>
  <c r="F100" i="2"/>
  <c r="F99" i="2"/>
  <c r="F98" i="2"/>
  <c r="F97" i="2"/>
  <c r="G399" i="2" l="1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07" i="2"/>
  <c r="G106" i="2"/>
  <c r="G105" i="2"/>
  <c r="G104" i="2"/>
  <c r="G103" i="2"/>
  <c r="G102" i="2"/>
  <c r="G101" i="2"/>
  <c r="G100" i="2"/>
  <c r="G99" i="2"/>
  <c r="G98" i="2"/>
  <c r="G97" i="2"/>
  <c r="G400" i="2" l="1"/>
  <c r="F400" i="2"/>
  <c r="G267" i="1" l="1"/>
  <c r="G409" i="2" l="1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27" i="2" l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2" i="2"/>
  <c r="G314" i="1" l="1"/>
  <c r="G313" i="1"/>
  <c r="G312" i="1"/>
  <c r="G311" i="1"/>
  <c r="G308" i="1"/>
  <c r="G306" i="1"/>
  <c r="G299" i="1"/>
  <c r="G298" i="1"/>
  <c r="G297" i="1"/>
  <c r="G295" i="1"/>
  <c r="G294" i="1"/>
  <c r="G292" i="1"/>
  <c r="G282" i="1"/>
  <c r="G281" i="1"/>
  <c r="G280" i="1"/>
  <c r="G279" i="1"/>
  <c r="G278" i="1"/>
  <c r="G277" i="1"/>
  <c r="G276" i="1"/>
  <c r="G275" i="1"/>
  <c r="G274" i="1"/>
  <c r="G273" i="1"/>
  <c r="G310" i="1"/>
  <c r="G309" i="1"/>
  <c r="G307" i="1"/>
  <c r="G305" i="1"/>
  <c r="G304" i="1"/>
  <c r="G303" i="1"/>
  <c r="G302" i="1"/>
  <c r="G301" i="1"/>
  <c r="G300" i="1"/>
  <c r="G296" i="1"/>
  <c r="G293" i="1"/>
  <c r="G291" i="1"/>
  <c r="G290" i="1"/>
  <c r="G289" i="1"/>
  <c r="G288" i="1"/>
  <c r="G287" i="1"/>
  <c r="G286" i="1"/>
  <c r="G285" i="1"/>
  <c r="G284" i="1"/>
  <c r="G283" i="1"/>
  <c r="G272" i="1"/>
  <c r="H272" i="1" s="1"/>
  <c r="G271" i="1"/>
  <c r="H271" i="1" s="1"/>
  <c r="G270" i="1"/>
  <c r="H270" i="1" s="1"/>
  <c r="G269" i="1"/>
  <c r="H269" i="1" s="1"/>
  <c r="G268" i="1"/>
  <c r="H268" i="1" s="1"/>
  <c r="H267" i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H77" i="1"/>
  <c r="H76" i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G244" i="1"/>
  <c r="H244" i="1" s="1"/>
  <c r="F18" i="2" l="1"/>
  <c r="F27" i="2" l="1"/>
  <c r="F26" i="2"/>
  <c r="F25" i="2"/>
  <c r="F24" i="2"/>
  <c r="F23" i="2"/>
  <c r="F22" i="2"/>
  <c r="H294" i="1" l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F21" i="2" l="1"/>
  <c r="F20" i="2"/>
  <c r="F19" i="2"/>
  <c r="F17" i="2"/>
  <c r="F16" i="2"/>
  <c r="F15" i="2"/>
  <c r="F14" i="2"/>
  <c r="F13" i="2"/>
  <c r="F12" i="2"/>
  <c r="F11" i="2"/>
  <c r="F10" i="2"/>
  <c r="F9" i="2"/>
  <c r="F8" i="2"/>
  <c r="F7" i="2"/>
  <c r="F5" i="2"/>
  <c r="F2" i="2" l="1"/>
</calcChain>
</file>

<file path=xl/sharedStrings.xml><?xml version="1.0" encoding="utf-8"?>
<sst xmlns="http://schemas.openxmlformats.org/spreadsheetml/2006/main" count="1278" uniqueCount="859">
  <si>
    <t>LULU CODE</t>
  </si>
  <si>
    <t>PRODUCT</t>
  </si>
  <si>
    <t>PACKING</t>
  </si>
  <si>
    <t>ORDER</t>
  </si>
  <si>
    <t>BARCODES</t>
  </si>
  <si>
    <t>KR CODE</t>
  </si>
  <si>
    <t>REMARKS</t>
  </si>
  <si>
    <t>8 Portions</t>
  </si>
  <si>
    <t>40x120gm</t>
  </si>
  <si>
    <t>Ctn</t>
  </si>
  <si>
    <t>16 Portions</t>
  </si>
  <si>
    <t>32x240gm</t>
  </si>
  <si>
    <t>24 Portions</t>
  </si>
  <si>
    <t>24x360gm</t>
  </si>
  <si>
    <t>32 Portions</t>
  </si>
  <si>
    <t>16x480gm</t>
  </si>
  <si>
    <t>48 Portions</t>
  </si>
  <si>
    <t>1x720gm</t>
  </si>
  <si>
    <t>Pcs</t>
  </si>
  <si>
    <t>R.P Slices Burger</t>
  </si>
  <si>
    <t>24x200gm</t>
  </si>
  <si>
    <t>R.P Slices Cheddar</t>
  </si>
  <si>
    <t>R.P Slices Family</t>
  </si>
  <si>
    <t>16x400gm</t>
  </si>
  <si>
    <t>Set</t>
  </si>
  <si>
    <t>Regal Picon White Jar 240G</t>
  </si>
  <si>
    <t>24 x 240g</t>
  </si>
  <si>
    <t>Regal Picon White Jar 500G</t>
  </si>
  <si>
    <t>12 x 500g</t>
  </si>
  <si>
    <t>Regal Picon White Jar 900G</t>
  </si>
  <si>
    <t>6 x 900g</t>
  </si>
  <si>
    <t>Regal Picon White Jar- 3X240G</t>
  </si>
  <si>
    <t>8x3x240g</t>
  </si>
  <si>
    <t>Regal Picon White Jar 2x500Gpromo</t>
  </si>
  <si>
    <t>6x2x500g</t>
  </si>
  <si>
    <t>Regal Picon White Jar 2x900Gpromo</t>
  </si>
  <si>
    <t>3x2x900g</t>
  </si>
  <si>
    <t>Picon Portion Promo</t>
  </si>
  <si>
    <t>2x480gm</t>
  </si>
  <si>
    <t>5x120gm</t>
  </si>
  <si>
    <t>3X360gm</t>
  </si>
  <si>
    <t>Picon 4x8p Ro-1</t>
  </si>
  <si>
    <t>4x8x480gm</t>
  </si>
  <si>
    <t>1x120gm</t>
  </si>
  <si>
    <t>1x480gm</t>
  </si>
  <si>
    <t>40 Portions</t>
  </si>
  <si>
    <t>Le Enfants Promo</t>
  </si>
  <si>
    <t>3x360gm</t>
  </si>
  <si>
    <t>1X 720gm</t>
  </si>
  <si>
    <t>8 Portions -Light Cheese</t>
  </si>
  <si>
    <t xml:space="preserve">48x120gm </t>
  </si>
  <si>
    <t>LVQ DIPPERS</t>
  </si>
  <si>
    <t>1X 140gm</t>
  </si>
  <si>
    <t>LVQ DIPPERS (solo)</t>
  </si>
  <si>
    <t>1x35gm</t>
  </si>
  <si>
    <t>LVQ 2x32p - 15% off</t>
  </si>
  <si>
    <t>Slices Burger</t>
  </si>
  <si>
    <t>32x200gm</t>
  </si>
  <si>
    <t>Slices Cheddar</t>
  </si>
  <si>
    <t>Slices Sandwich</t>
  </si>
  <si>
    <t>Slices Light</t>
  </si>
  <si>
    <t>Slices Light Family Size</t>
  </si>
  <si>
    <t>24x480gm</t>
  </si>
  <si>
    <t>Ea</t>
  </si>
  <si>
    <t>Slices Family Size</t>
  </si>
  <si>
    <t>12x480gm</t>
  </si>
  <si>
    <t xml:space="preserve"> Slice 3x200g - 2+1 Free</t>
  </si>
  <si>
    <t xml:space="preserve">6 Square portions </t>
  </si>
  <si>
    <t>60x100gm</t>
  </si>
  <si>
    <t>12 Square portions</t>
  </si>
  <si>
    <t>40x200gm</t>
  </si>
  <si>
    <t>24 Square portions</t>
  </si>
  <si>
    <t>16x432gm</t>
  </si>
  <si>
    <t>Kiri Block 1kg</t>
  </si>
  <si>
    <t>12x1000gm</t>
  </si>
  <si>
    <t>Kiri Block 200gm</t>
  </si>
  <si>
    <t>30x200gm</t>
  </si>
  <si>
    <t>Kiri Dippers 4's</t>
  </si>
  <si>
    <t>12x140gm</t>
  </si>
  <si>
    <t>Kiri Greek 6 Portion 100G</t>
  </si>
  <si>
    <t>40 x 100gms</t>
  </si>
  <si>
    <t>Kiri Greek 24 Portion 400G</t>
  </si>
  <si>
    <t>16 x 400gms</t>
  </si>
  <si>
    <t xml:space="preserve">Kiri Greek Tub 200G </t>
  </si>
  <si>
    <t>18 x 200gms</t>
  </si>
  <si>
    <t xml:space="preserve">Kiri Greek Tub 500G </t>
  </si>
  <si>
    <t>8 x 500gms</t>
  </si>
  <si>
    <t>Kiri Labaneh tub 200</t>
  </si>
  <si>
    <t>18x200gm</t>
  </si>
  <si>
    <t>Kiri Labaneh tub 500</t>
  </si>
  <si>
    <t>8x500gm</t>
  </si>
  <si>
    <t>Kiri Tub Promo 200gm</t>
  </si>
  <si>
    <t>Kiri Tub Promo 350gm</t>
  </si>
  <si>
    <t>12x350gm</t>
  </si>
  <si>
    <t>Kiri Tub Promo 500gm</t>
  </si>
  <si>
    <t>Kiri Tub 200g</t>
  </si>
  <si>
    <t>1x200gm</t>
  </si>
  <si>
    <t>Kiri Tub 350g</t>
  </si>
  <si>
    <t>1X 350gm</t>
  </si>
  <si>
    <t>Kiri Tub 500g</t>
  </si>
  <si>
    <t>1x500gm</t>
  </si>
  <si>
    <t>Kiri Tub 200g 2+1 Free</t>
  </si>
  <si>
    <t>3 x 6 x 200gms</t>
  </si>
  <si>
    <t>Kiri Tub 2x500g @ OMR 2</t>
  </si>
  <si>
    <t>2 x 4 x 500gms</t>
  </si>
  <si>
    <t>Kiri Promo 10%off</t>
  </si>
  <si>
    <t>2x24por</t>
  </si>
  <si>
    <t>3x100gm</t>
  </si>
  <si>
    <t>Kiri Promo 20%off</t>
  </si>
  <si>
    <t>2x432gm</t>
  </si>
  <si>
    <t>Kiri 3x12p - 15% off</t>
  </si>
  <si>
    <t>3x216gm</t>
  </si>
  <si>
    <t>Kiri 5x6p - 15% off</t>
  </si>
  <si>
    <t>5x12x108gm</t>
  </si>
  <si>
    <t>Maxi Babybel</t>
  </si>
  <si>
    <t>8x200gm</t>
  </si>
  <si>
    <t>CH1</t>
  </si>
  <si>
    <t>Babybel - Light</t>
  </si>
  <si>
    <t>1x100gm</t>
  </si>
  <si>
    <t>Babybel - Cheddar</t>
  </si>
  <si>
    <t>Babybel - Mini</t>
  </si>
  <si>
    <t>Mentos Roll Mint 14p</t>
  </si>
  <si>
    <t>40x38g</t>
  </si>
  <si>
    <t>CHI</t>
  </si>
  <si>
    <t>Mentos Roll Strawberry 14p</t>
  </si>
  <si>
    <t>Mentos Roll Rainbow 14p</t>
  </si>
  <si>
    <t>Mentos Roll Fruit 14p</t>
  </si>
  <si>
    <t>Mentos Roll Tutti Frutti</t>
  </si>
  <si>
    <t>Mentos Watermelon 14p</t>
  </si>
  <si>
    <t>160x38g</t>
  </si>
  <si>
    <t>CAR</t>
  </si>
  <si>
    <t>Mentos Sour Fruit Mix 14P</t>
  </si>
  <si>
    <t>Mentos Roll Choco 9p</t>
  </si>
  <si>
    <t>Mentos Gum  PF Bubblefresh</t>
  </si>
  <si>
    <t>16Rollsx9Pcsx1.75g</t>
  </si>
  <si>
    <t>PAC</t>
  </si>
  <si>
    <t>Mentos Gum  PF Freshmint</t>
  </si>
  <si>
    <t>MENTOS P/FRESH STRAWBERRY 15.75GM</t>
  </si>
  <si>
    <t>12DB x 9pcsx 15.75gms</t>
  </si>
  <si>
    <t>MENTOS P/FRESH WATERMELON 15.75GM</t>
  </si>
  <si>
    <t>Mentos P/FRESH Spearmint</t>
  </si>
  <si>
    <t>Mentos White Gum Bottle SweetMint</t>
  </si>
  <si>
    <t>6x56g</t>
  </si>
  <si>
    <t>Mentos White Gum Bottle Tutti Frutti</t>
  </si>
  <si>
    <t>Mentos C/ Gum Winter Green 56g</t>
  </si>
  <si>
    <t>Mentos C/ Gum Fresh Mint 56g</t>
  </si>
  <si>
    <t>Mentos B/Gum Mixed Fruit 64g</t>
  </si>
  <si>
    <t>6x64g</t>
  </si>
  <si>
    <t>EA</t>
  </si>
  <si>
    <t>Mentos C/Gum spearmint 87.5gm</t>
  </si>
  <si>
    <t>6x87.5g</t>
  </si>
  <si>
    <t>Mentos C/Gum Bubble Fresh 87.5gm</t>
  </si>
  <si>
    <t>Mentos 50P Bottle Strawberry 87.5gm</t>
  </si>
  <si>
    <t>Mentos 50P Bottle Watermelon 87.5gm</t>
  </si>
  <si>
    <t>Mentos White Gum XL Strawberry</t>
  </si>
  <si>
    <t>6x103g</t>
  </si>
  <si>
    <t>CAR(0)</t>
  </si>
  <si>
    <t>Mentos White Gum XL Spearmint</t>
  </si>
  <si>
    <t>Mentos C/Gum Pkt Btl Fresh Mint 26g</t>
  </si>
  <si>
    <t>10x26g</t>
  </si>
  <si>
    <t>Mentos C/Gum Pkt Btl Fruit Lime 26g</t>
  </si>
  <si>
    <t>Mentos C/Gum Pkt Btl Watermelon 26g</t>
  </si>
  <si>
    <t>Mentos C/Gum 3D Pure FreshMint 24g</t>
  </si>
  <si>
    <t>15x24g</t>
  </si>
  <si>
    <t>Mentos C/Gum 3D Pine/Melon 24g</t>
  </si>
  <si>
    <t>Mentos C/Gum 3D Straw/App/Rasp 24g</t>
  </si>
  <si>
    <t>Mentos Blister Pack Sweet Mint</t>
  </si>
  <si>
    <t>12x17g</t>
  </si>
  <si>
    <t>Mentos Blister Pack Tutti Futti</t>
  </si>
  <si>
    <t>Mentos Blister Pack Pure Fresh</t>
  </si>
  <si>
    <t>Mentos Blister Pack Berry Lime</t>
  </si>
  <si>
    <t>Mentos Kidz Mixed Fruit</t>
  </si>
  <si>
    <t xml:space="preserve">1 x 32 Blister </t>
  </si>
  <si>
    <t>Mini Mentos Bags 250gm</t>
  </si>
  <si>
    <t>1 x 24Bags</t>
  </si>
  <si>
    <t>Mentos Chewy Candies Strawberry Bags</t>
  </si>
  <si>
    <t>1x12 Bags</t>
  </si>
  <si>
    <t>Mentos Chewy Candies Fruit Mix Bags</t>
  </si>
  <si>
    <t>Mentos Chewy Candies Mint Mono Bags</t>
  </si>
  <si>
    <t>Mentos Incredible Chew Strawberry</t>
  </si>
  <si>
    <t>20x45g</t>
  </si>
  <si>
    <t>Mentos Incredible Chew Green Apple</t>
  </si>
  <si>
    <t>Fruitella Orange 39g</t>
  </si>
  <si>
    <t>20x36g</t>
  </si>
  <si>
    <t>Fruitella Strawberry 39g</t>
  </si>
  <si>
    <t>Fruitella Milk Chews 39g</t>
  </si>
  <si>
    <t>Fruitella Black Current 39g</t>
  </si>
  <si>
    <t>Fruitella 2in1 Straw Banana</t>
  </si>
  <si>
    <t>12X20STKX32GM</t>
  </si>
  <si>
    <t xml:space="preserve">Fruitella 2in1 Lemon Grape </t>
  </si>
  <si>
    <t xml:space="preserve">Fruitella Fruit Assorted </t>
  </si>
  <si>
    <t>24Bag x140g</t>
  </si>
  <si>
    <t>Smint XL Tin Strawberry 35g</t>
  </si>
  <si>
    <t>12x35g</t>
  </si>
  <si>
    <t>Smint XL Tin Peppermint 35g</t>
  </si>
  <si>
    <t>SMINT NO LIMIT GUM</t>
  </si>
  <si>
    <t>Smint No Limit Gum Mint 13g</t>
  </si>
  <si>
    <t>18x13g</t>
  </si>
  <si>
    <t>Smint No Limit Gum Melo/Pine/Water 13g</t>
  </si>
  <si>
    <t>Smint No Limit Gum Straw/App/Rasp 13g</t>
  </si>
  <si>
    <t>Smint XL Tin Spearmint 35g</t>
  </si>
  <si>
    <t>Smint &amp; Gum Strong Mint 13.6g</t>
  </si>
  <si>
    <t>18.13.6g</t>
  </si>
  <si>
    <t>Smint &amp; Gum Peppermint 13.6g</t>
  </si>
  <si>
    <t>Smint &amp; Gum Strawberry 13.6g</t>
  </si>
  <si>
    <t>Smint &amp; Gum Blackberry 13.6g</t>
  </si>
  <si>
    <t>Smint Plastic Dispenser Mint 8g</t>
  </si>
  <si>
    <t>12x8g</t>
  </si>
  <si>
    <t>Smint Plastic Dispenser Peppermint 8g</t>
  </si>
  <si>
    <t>Smint Plastic Dispenser Lemon 8g</t>
  </si>
  <si>
    <t>Smint Plastic Dispenser Wildberry 8g</t>
  </si>
  <si>
    <t>Chupa Chups Bag Colamix 120g</t>
  </si>
  <si>
    <t>12x120g</t>
  </si>
  <si>
    <t>Chupa Chups Bag Fruit 120g</t>
  </si>
  <si>
    <t>Chupa Chups Bag Milky120g</t>
  </si>
  <si>
    <t>Chupa Chups Bag The Best of 120g</t>
  </si>
  <si>
    <t>Chupa Chups Singles The Best Of 1440GM</t>
  </si>
  <si>
    <t>6x120ps</t>
  </si>
  <si>
    <t>Chupa Chups Bags Mini 210g</t>
  </si>
  <si>
    <t>24x210g</t>
  </si>
  <si>
    <t>Chupa Chups Surprise Display 12g</t>
  </si>
  <si>
    <t>18x12g</t>
  </si>
  <si>
    <t>Chupa Chups XXL 29g</t>
  </si>
  <si>
    <t>25x29g</t>
  </si>
  <si>
    <t>Chupa Chups Bubble Gum Outer 70 lollies</t>
  </si>
  <si>
    <t>12 x 70pc</t>
  </si>
  <si>
    <t xml:space="preserve">Chupa Chups Melody Pops Strawberry </t>
  </si>
  <si>
    <t>1x48pc</t>
  </si>
  <si>
    <t>Chupa Chups Jellies Chunk Face</t>
  </si>
  <si>
    <t>12x90g</t>
  </si>
  <si>
    <t>Chupa Chups Jellies Crazy Cola</t>
  </si>
  <si>
    <t>Chupa Chups Jellies Daisies</t>
  </si>
  <si>
    <t>Chupa Chups Jellies Football Mix</t>
  </si>
  <si>
    <t>Chupa Chups Jellies Lollies</t>
  </si>
  <si>
    <t>Chupa Chups Jellies Pinkies</t>
  </si>
  <si>
    <t>Chupa Chups Jellies Sour Gecko</t>
  </si>
  <si>
    <t>Chupa Cups Sour bite Jellies</t>
  </si>
  <si>
    <t>Chupa Chup Jellies- Pinkis 160G</t>
  </si>
  <si>
    <t>12Bags x 160gm</t>
  </si>
  <si>
    <t>Chupa Chup Jellies- Sour Cola 160G</t>
  </si>
  <si>
    <t>Chupa Chup Jellies- Sour Gecko 160G</t>
  </si>
  <si>
    <t>Chupa Chups SourBelt mixfruit jelly</t>
  </si>
  <si>
    <t>1x12</t>
  </si>
  <si>
    <t>CH1(0)</t>
  </si>
  <si>
    <t>Fruitella Vegan Jellies Sour Snakes</t>
  </si>
  <si>
    <t>12Bags x 150gm</t>
  </si>
  <si>
    <t>Fruitella Vegan Jellies Koalas</t>
  </si>
  <si>
    <t>Fruitella Vegan Jellies Sour Hippo</t>
  </si>
  <si>
    <t>Chupa Chups Bags 2x120g - 25% off</t>
  </si>
  <si>
    <t xml:space="preserve">2 x 6 Bags x 10 </t>
  </si>
  <si>
    <t>set</t>
  </si>
  <si>
    <t>Chupa Chups Jellies Assorted Trio Pack @ RO 1</t>
  </si>
  <si>
    <t>3 x 4 Bags</t>
  </si>
  <si>
    <t>Big Babol Mega Berry Mix</t>
  </si>
  <si>
    <t>24 Outer x 20 Sticks</t>
  </si>
  <si>
    <t>Big Babol Mega Milkshake</t>
  </si>
  <si>
    <t>Big Babol Mega Strawberry</t>
  </si>
  <si>
    <t>Big Babol Mega Tutti Frutti</t>
  </si>
  <si>
    <t>Big Babol Fili Folly Strawberry</t>
  </si>
  <si>
    <t>12 Outer x 12Pouches</t>
  </si>
  <si>
    <t>CH2(E)</t>
  </si>
  <si>
    <t>Big Babol Fili Folly Tutti Frutti</t>
  </si>
  <si>
    <t>CH2(0)</t>
  </si>
  <si>
    <t>Big Babol Fili Folly Grape</t>
  </si>
  <si>
    <t>Big Babol Fili Folly Watermelon</t>
  </si>
  <si>
    <t>Alpenliebe Original Jar</t>
  </si>
  <si>
    <t>12 Jars x 200 Mono Wraps</t>
  </si>
  <si>
    <t>Alpenliebe Original Bag</t>
  </si>
  <si>
    <t>1 x 24Bag</t>
  </si>
  <si>
    <t>Alpenliebe Original Stick</t>
  </si>
  <si>
    <t>24 Outer x 16 Sticks</t>
  </si>
  <si>
    <t>Mentos Choco Doy Bag 2x140gm</t>
  </si>
  <si>
    <t>2x140gm</t>
  </si>
  <si>
    <t>Mentos White Bottles TRIO Pack @ RO 1</t>
  </si>
  <si>
    <t>3 x 6 Outer x 6 Bottles</t>
  </si>
  <si>
    <t>Mentos Purefresh 2x87.5g (50px20)</t>
  </si>
  <si>
    <t>Mentos 9P Choco Original 1x8 sticks</t>
  </si>
  <si>
    <t>1x8 sticks</t>
  </si>
  <si>
    <t>Mentos 9P Choco Original 1x4 sticks</t>
  </si>
  <si>
    <t>1x4 sticks</t>
  </si>
  <si>
    <t>Mentos Freshmint 2*56g</t>
  </si>
  <si>
    <t>Mentos Wintergreen 2*56g</t>
  </si>
  <si>
    <t>DM(48) PINEAPPLE SLICES 235GM</t>
  </si>
  <si>
    <t>48 x 234 GM</t>
  </si>
  <si>
    <t>DM PINEAPPLE SLICES 6X235GM NEW OFFER</t>
  </si>
  <si>
    <t>6X235GM</t>
  </si>
  <si>
    <t>DM(24) PINEAPPLE SLICES 432GM</t>
  </si>
  <si>
    <t>24X432 GM</t>
  </si>
  <si>
    <t>DM PINEAPPLE SLICES 3X432GM NEW OFFER</t>
  </si>
  <si>
    <t xml:space="preserve">3X432GM </t>
  </si>
  <si>
    <t>DM(24) PINEAPPLE SLICES 567GM</t>
  </si>
  <si>
    <t>24X567 GM</t>
  </si>
  <si>
    <t>DM PINEAPPLE SLICES 3X567GM NEW OFFER</t>
  </si>
  <si>
    <t xml:space="preserve"> 3X567GM </t>
  </si>
  <si>
    <t>DM(24) PINEAPPLE SLICES 840GM</t>
  </si>
  <si>
    <t>24X836 GM</t>
  </si>
  <si>
    <t>DM(48) PINEAPPLE CHUNK 234GM</t>
  </si>
  <si>
    <t>48 X 234 GM</t>
  </si>
  <si>
    <t>DM PINEAPPLE CHUNK 6X234GM NEW OFFER</t>
  </si>
  <si>
    <t xml:space="preserve"> 6X234GM</t>
  </si>
  <si>
    <t>DM(24) PINEAPPLE CHUNK 435GM</t>
  </si>
  <si>
    <t>DM PINEAPPLE CHUNK 3X435GM NEW OFFER</t>
  </si>
  <si>
    <t>3X435GM</t>
  </si>
  <si>
    <t>DM(24) PINEAPPLE CHUNK 570GM</t>
  </si>
  <si>
    <t>DM(8) PINEAPPLE CHUNK 3X570GM NEW OFFER</t>
  </si>
  <si>
    <t xml:space="preserve"> 3X570GM</t>
  </si>
  <si>
    <t>DM(24) FRUIT COCKTAIL 420GM</t>
  </si>
  <si>
    <t>24X420 GM</t>
  </si>
  <si>
    <t>DM FRUIT COCKTAIL 3X420GM NEW OFFER</t>
  </si>
  <si>
    <t>3X420GM</t>
  </si>
  <si>
    <t>DM(24) FRUIT COCKTAIL 825GM</t>
  </si>
  <si>
    <t>24X825 GM</t>
  </si>
  <si>
    <t>DM(24) FRUIT COCKTAIL 227GM</t>
  </si>
  <si>
    <t>24X227 GM</t>
  </si>
  <si>
    <t>DM FRUIT COCKTAIL 4X227GM NEW OFFER</t>
  </si>
  <si>
    <t xml:space="preserve">4X227GM </t>
  </si>
  <si>
    <t>DM(24) PEACH HALVES 420GM</t>
  </si>
  <si>
    <t>DM PEACH HALVES 3X420GM NEW OFFER</t>
  </si>
  <si>
    <t xml:space="preserve">3X420GM </t>
  </si>
  <si>
    <t>DM(24) PEACH HALVES 825GM</t>
  </si>
  <si>
    <t>DM(24) PEACH SLICES 420GM</t>
  </si>
  <si>
    <t>24X425 GM</t>
  </si>
  <si>
    <t>DM(24) CHICK PEAS 400GM</t>
  </si>
  <si>
    <t>24 X 400GM</t>
  </si>
  <si>
    <t>DM CHICK PEAS 4X400GM NEW OFFER</t>
  </si>
  <si>
    <t xml:space="preserve"> 4X400GM</t>
  </si>
  <si>
    <t>DM(24) FOUL MEDAMMAS 400GM</t>
  </si>
  <si>
    <t>DM(6) FOUL MEDAMMAS 4X400GM</t>
  </si>
  <si>
    <t>4X400GM</t>
  </si>
  <si>
    <t>DM(24) HOMMOS TAHINA 400GM</t>
  </si>
  <si>
    <t>DM HOMMOS TAHINA 3X400GM NEW OFFER</t>
  </si>
  <si>
    <t xml:space="preserve">3X400GM </t>
  </si>
  <si>
    <t>DELMONTE RED KIDNEY BEANS  400GM</t>
  </si>
  <si>
    <t>DM(24) BAKED BEANS 420GM</t>
  </si>
  <si>
    <t>24 X 420 GM</t>
  </si>
  <si>
    <t>DM(8) BAKED BEANS 3X420GM</t>
  </si>
  <si>
    <t>DM(24) GOLDEN SWEET CORN 410GM</t>
  </si>
  <si>
    <t>24 X 410 GM</t>
  </si>
  <si>
    <t>DM GOLDEN SWEET CORN 4X410GM NEW OFFER</t>
  </si>
  <si>
    <t xml:space="preserve">4X410GM </t>
  </si>
  <si>
    <t>DM(24) MIXED VEGETABLES 425GM</t>
  </si>
  <si>
    <t>24 X 425 GM</t>
  </si>
  <si>
    <t>DM(24) GARDEN PEAS 425GM</t>
  </si>
  <si>
    <t>DM(8) GARDEN PEAS 3X425GM NEW OFFER</t>
  </si>
  <si>
    <t>3X425GM</t>
  </si>
  <si>
    <t>DM(24) PEAS &amp; CARROTS 425GM</t>
  </si>
  <si>
    <t>DM(24) CREAM STYLE CORN 410GM</t>
  </si>
  <si>
    <t>DM(24) GOLDEN SWEET CORN 180GM</t>
  </si>
  <si>
    <t>24 x 180 gm</t>
  </si>
  <si>
    <t>DM(24) JUICE PINEAPPLE-UNSWEETED 240ML</t>
  </si>
  <si>
    <t>24 X 240ML</t>
  </si>
  <si>
    <t>DM(24) JUICE PINEAPPLE-SWEETENED 240ML</t>
  </si>
  <si>
    <t>DM(24) JUICE PINEAPPLE CRUSH 240ML</t>
  </si>
  <si>
    <t>DM(24) JUICE PINEAPPLE-ORANGE 240ML</t>
  </si>
  <si>
    <t>DM JUICE PINEAPPLE-UNSWEETED 6X240ML</t>
  </si>
  <si>
    <t>6X240ML</t>
  </si>
  <si>
    <t>DM(12) JUICE PINEAPPLE-UNSWEETED 1.36LTR</t>
  </si>
  <si>
    <t>12 X 1.36 LTR</t>
  </si>
  <si>
    <t>DM(6) GRAPE LEAVES IN BRINE 907GM</t>
  </si>
  <si>
    <t>6 x 907 gm</t>
  </si>
  <si>
    <t>DM(3) GRAPE LEAVES IN BRINE 2X907GM</t>
  </si>
  <si>
    <t>2X907GM</t>
  </si>
  <si>
    <t>DM(12) MIXED PICKLE 454GM</t>
  </si>
  <si>
    <t>12 X 454 GM</t>
  </si>
  <si>
    <t>DM(6) MIXED PICKLE 2X454GM</t>
  </si>
  <si>
    <t>2X454GM</t>
  </si>
  <si>
    <t>DM(48) LM TUNA IN BRINE 185GM</t>
  </si>
  <si>
    <t>48 x 185 gm</t>
  </si>
  <si>
    <t>DM(48) LM TUNA IN OIL 185GM</t>
  </si>
  <si>
    <t>DELMONTE WM TUNA IN BRINE 185GM</t>
  </si>
  <si>
    <t>DELMONTE WM TUNA IN OIL 185GM</t>
  </si>
  <si>
    <t>DELMONTE TUNA CHUNK IN BRINE 185GM</t>
  </si>
  <si>
    <t>DELMONTE TUNA CHUNK IN OIL 185GM</t>
  </si>
  <si>
    <t>DM(48) SKIPJACK TUNA IN SF OIL 180GM</t>
  </si>
  <si>
    <t>48 x 180 gm</t>
  </si>
  <si>
    <t>DM(48) SKIPJACK TUNA HOT &amp; SPICY 180GM</t>
  </si>
  <si>
    <t>DELMONTE PLAIN BLACK OLIVES 12X335G</t>
  </si>
  <si>
    <t xml:space="preserve"> 12X335G</t>
  </si>
  <si>
    <t>DELMONTE PLAIN BLACK OLIVES 12X460G</t>
  </si>
  <si>
    <t xml:space="preserve"> 12X460G</t>
  </si>
  <si>
    <t>DELMONTE PLAIN GREEN OLIVES 12X335G</t>
  </si>
  <si>
    <t>12X335G</t>
  </si>
  <si>
    <t>DELMONTE PLAIN GREEN OLIVES 12X460G</t>
  </si>
  <si>
    <t>DELMONTE SLICED GREEN OLIVES 12X460G</t>
  </si>
  <si>
    <t>12X460G</t>
  </si>
  <si>
    <t>DELMONTE PITTED GREEN OLIVES 12X335G</t>
  </si>
  <si>
    <t>DM (20) SPAGHETTI 400G</t>
  </si>
  <si>
    <t>20 X 400 GM</t>
  </si>
  <si>
    <t>DM (20) MACARONI-CORNETTO MEDIUM 400G</t>
  </si>
  <si>
    <t>DM (20) FUSILLI 400G</t>
  </si>
  <si>
    <t>DM (20) PENNE RIGATE  400G</t>
  </si>
  <si>
    <t>DM (20) VERMICIELLI CURVE 400G</t>
  </si>
  <si>
    <t>DM  SPAGHETTI 400G X 4 OFFER PACK</t>
  </si>
  <si>
    <t>4 X 400 GM</t>
  </si>
  <si>
    <t>DM  MACARONI-CORNETTO MEDIUM 400G X 4 OF</t>
  </si>
  <si>
    <t>DM FUSILLI 400G X 4 OFFER PACK</t>
  </si>
  <si>
    <t>DM PENNE RIGATE  400G X 4 OFFER PACK</t>
  </si>
  <si>
    <t>DM VERMICIELLI CURVE 400G X 4 OFFER PACK</t>
  </si>
  <si>
    <t>250ml</t>
  </si>
  <si>
    <t>500ml</t>
  </si>
  <si>
    <t>1L</t>
  </si>
  <si>
    <t>BLENDED OLIVE OIL</t>
  </si>
  <si>
    <t>750ML</t>
  </si>
  <si>
    <r>
      <t xml:space="preserve">R.P Slice 2x200g - </t>
    </r>
    <r>
      <rPr>
        <b/>
        <sz val="12"/>
        <color theme="1"/>
        <rFont val="Arial"/>
        <family val="2"/>
      </rPr>
      <t>20% off</t>
    </r>
  </si>
  <si>
    <r>
      <t>R.P.Slice 400gm -</t>
    </r>
    <r>
      <rPr>
        <b/>
        <sz val="12"/>
        <color theme="1"/>
        <rFont val="Arial"/>
        <family val="2"/>
      </rPr>
      <t>20%off</t>
    </r>
  </si>
  <si>
    <t>EXTRA VIRGIN OLIVE OIL</t>
  </si>
  <si>
    <t>PURE OLIVE OIL</t>
  </si>
  <si>
    <t>PONS BLENDED OLIVE OIL</t>
  </si>
  <si>
    <t>Mentos 11p Mint</t>
  </si>
  <si>
    <t>Mentos 11p Fruit</t>
  </si>
  <si>
    <t>Mentos 11p Strawberry</t>
  </si>
  <si>
    <t>Mentos 11p Tutti Frutti</t>
  </si>
  <si>
    <t>Mentos 11p Rainbow</t>
  </si>
  <si>
    <t>MENTOS 11P SOUR FRUIT MIX</t>
  </si>
  <si>
    <t>Mentos 14p Tutti Frutti</t>
  </si>
  <si>
    <t>MENTOS CHEWY &amp; FRESH PEPPERMINT</t>
  </si>
  <si>
    <t>MENTOS INCREDIBLE CHEW STICK.GRAPE</t>
  </si>
  <si>
    <t>MENTOS CHEWY CANDIES STRAWBERY BAGS 26p</t>
  </si>
  <si>
    <t>MENTOS CHEWY CANDIES FRUIT MIX  BAGS 26p</t>
  </si>
  <si>
    <t>MENTOS CHEWY CANDIES MINT MONO BAGS  26p</t>
  </si>
  <si>
    <t>Mentos Jars Mint</t>
  </si>
  <si>
    <t>Mentos Jars Fruit</t>
  </si>
  <si>
    <t>MENTOS WHITE BOTTLE PEPPERMINT- NEW</t>
  </si>
  <si>
    <t xml:space="preserve"> Chupa Chups Sour Bags Lollipops</t>
  </si>
  <si>
    <t>CHUPA SINGLES Full Wheel</t>
  </si>
  <si>
    <t>Chupa chups Jar Code</t>
  </si>
  <si>
    <t>CHUPA CHUPS JELLIES CRAWLERS</t>
  </si>
  <si>
    <t>CHUPA CHUPS JELLIES PANDA BEAR</t>
  </si>
  <si>
    <t>Chupa Chups Extruded Jellies Pouch 24.2g</t>
  </si>
  <si>
    <t>Chupa Chups Extruded Jellies Bag 85.5g</t>
  </si>
  <si>
    <t>CHUPA CHUPS EXTRUDED JELLIES TUBE 24.2GM- NEW</t>
  </si>
  <si>
    <t>CHUPA CHUPS EXTRUDED JELLY TUBE 85.5GM- NEW</t>
  </si>
  <si>
    <t>Chupa Chups Extruded Jellies Monos 10.5g</t>
  </si>
  <si>
    <t> CHUPA CHUPS EXTRUDED JELLIES- Sour  tubes  80gm- STRAWBERRY</t>
  </si>
  <si>
    <t>Chupa Chups Extruded Jellies Monos belt</t>
  </si>
  <si>
    <t xml:space="preserve"> CHUPA JELLIES- Sour tubes 24gm-STRAWBER</t>
  </si>
  <si>
    <t>CHUPA CHUP JELLIES- PANDA 160G</t>
  </si>
  <si>
    <t>Chupa chup Jellies 3 pck- Assorted</t>
  </si>
  <si>
    <t>-</t>
  </si>
  <si>
    <t>La Vache Quirit Dipper 8’s</t>
  </si>
  <si>
    <t>NEW Kiri Labneh 350g</t>
  </si>
  <si>
    <t>Regal Picon 72 Portion</t>
  </si>
  <si>
    <t>NEW PRICE</t>
  </si>
  <si>
    <t>lulu al ansab</t>
  </si>
  <si>
    <t>DM(24) FIESTA FRUIT COCKTAIL 850GM</t>
  </si>
  <si>
    <t>DM STUFFED GREEN OLIVES JARS 12X335G</t>
  </si>
  <si>
    <t>DM BLACK SLICED OLIVES JARS 12X460GM</t>
  </si>
  <si>
    <t>DELMONTE PLAIN BLACK OLIVES 335G* 2</t>
  </si>
  <si>
    <t>DELMONTE PLAIN BLACK OLIVES 460G *2</t>
  </si>
  <si>
    <t>DELMONTE PLAIN GREEN OLIVES 335G*2</t>
  </si>
  <si>
    <t>DELMONTE PLAIN GREEN OLIVES 460G*2</t>
  </si>
  <si>
    <t>Mentos Gum.Nano Bottle Mint</t>
  </si>
  <si>
    <t>Mentos Gum.Nano Bottle Strawberry</t>
  </si>
  <si>
    <t>Mentos Gum.Nano Bottle Bubble Fresh</t>
  </si>
  <si>
    <t>SMINT.SMINT XL.TIN.PEPPERMINT 50PC</t>
  </si>
  <si>
    <t>SMINT TIN WINTERGREEN 50PC</t>
  </si>
  <si>
    <t>MENTOS INCREDIBLE CHEW BAGS STRAWBERRY 40P</t>
  </si>
  <si>
    <t>MENTOS INCREDIBLE CHEW BAGS COLA 40P</t>
  </si>
  <si>
    <t>CHUPPA CHUPS MAGIC CUBES 41PCS</t>
  </si>
  <si>
    <t xml:space="preserve"> CHUPA Mallows Vanilla &amp; Strawberry 280 Gr</t>
  </si>
  <si>
    <t xml:space="preserve"> CHUPA Mallows Vanilla &amp; Strawberry 140 Gr</t>
  </si>
  <si>
    <t xml:space="preserve"> CHUPA Mallows Cola 120 Gr</t>
  </si>
  <si>
    <t>CHUPA Mallows Mixed fruit 65 Gr</t>
  </si>
  <si>
    <t>CHUPA Mallows Vanilla/Strawberry 13 Gr</t>
  </si>
  <si>
    <t>MELODY POPS COLA</t>
  </si>
  <si>
    <t/>
  </si>
  <si>
    <t xml:space="preserve"> </t>
  </si>
  <si>
    <t>Dear Sir,</t>
  </si>
  <si>
    <t>Please approve the discount for C4 Seeb against order number 6121014 for the below item:</t>
  </si>
  <si>
    <t>SAP CODE</t>
  </si>
  <si>
    <t>Product Description </t>
  </si>
  <si>
    <t>Packing</t>
  </si>
  <si>
    <t>Units per Cs</t>
  </si>
  <si>
    <t>Qty (in Pcs)</t>
  </si>
  <si>
    <t>KR Price</t>
  </si>
  <si>
    <t>Discount Price</t>
  </si>
  <si>
    <t>Les Enfants 40p - (5x8p)</t>
  </si>
  <si>
    <t>5 x 8 x 120gms</t>
  </si>
  <si>
    <t>Kiri 2x24p - 10% off</t>
  </si>
  <si>
    <t>2 x 8 x 432gms</t>
  </si>
  <si>
    <t>REGAL PICON WHITE JAR 2X900G- 15% off</t>
  </si>
  <si>
    <t>3x2x900gms</t>
  </si>
  <si>
    <t>Dear Kishore,</t>
  </si>
  <si>
    <t>It's a flyer order, which starts from tomorrow, so after the discount approval, please ensure delivery of the above order tomorrow. </t>
  </si>
  <si>
    <t>ddd</t>
  </si>
  <si>
    <t>CODE OLD</t>
  </si>
  <si>
    <t>LULU ZAKHER MALL</t>
  </si>
  <si>
    <t>LULU AMERAT</t>
  </si>
  <si>
    <t>LULU SAMADDD</t>
  </si>
  <si>
    <t>LULU LOGISTIC</t>
  </si>
  <si>
    <t>Deepak  176</t>
  </si>
  <si>
    <t>0010                       1126973                  DEVON Devon Crm.Crackers                               200g                                    3+1                     0635673975043              48 EA             1.143           0.000           1.143         0.00%          0.000         54.864</t>
  </si>
  <si>
    <t>KR CODE 404560</t>
  </si>
  <si>
    <t>183 KEMIL</t>
  </si>
  <si>
    <r>
      <rPr>
        <sz val="11.5"/>
        <rFont val="Times New Roman"/>
        <family val="1"/>
      </rPr>
      <t>DEVON</t>
    </r>
  </si>
  <si>
    <r>
      <rPr>
        <sz val="11.5"/>
        <rFont val="Times New Roman"/>
        <family val="1"/>
      </rPr>
      <t>Devon Crm.Crackers 200g 3+1</t>
    </r>
  </si>
  <si>
    <r>
      <rPr>
        <sz val="11.5"/>
        <rFont val="Times New Roman"/>
        <family val="1"/>
      </rPr>
      <t>CAR=6EA</t>
    </r>
  </si>
  <si>
    <t>Kiri Cheese 12P 3x200gm 3073781190922 60 EA 1EA 2.815 168.900</t>
  </si>
  <si>
    <t>0040 1037891 198523 PERFETTI CH ChupaChp.Jellies Astd 3x90g PO 2020000018728 24 EA 1.014 0.000 1.014 V2 5.00% 1.217 25.553</t>
  </si>
  <si>
    <t>BRITANNIA GOODDAY CHOCO CHIPS 44 GMS</t>
  </si>
  <si>
    <t>4X12X44GM</t>
  </si>
  <si>
    <t>BRITANNIA GOODDAY CHOCO CHIPS 120 GMS</t>
  </si>
  <si>
    <t>24X120GM</t>
  </si>
  <si>
    <t>BRITANNIA GOODDAY CHOCO CHUNKIES 125GMS</t>
  </si>
  <si>
    <t>18X125GM</t>
  </si>
  <si>
    <t>BRITANNIA GOODDAY CHUNKIES 60GM</t>
  </si>
  <si>
    <t>4X6X60GM</t>
  </si>
  <si>
    <t>BRITANNIA SOFT BAKED CHOCO CHIP 28 GM</t>
  </si>
  <si>
    <t>12X8X28G</t>
  </si>
  <si>
    <t>BRITANNIA SOFT BAKED DOUBLE CHOCO CHIP 28 GM</t>
  </si>
  <si>
    <t>BRITANNIA CHOCONUT COOKIES 100 GM</t>
  </si>
  <si>
    <t>24X100 GM</t>
  </si>
  <si>
    <t>BRITANNIA GOODDAY BUTTER 32 GMS</t>
  </si>
  <si>
    <t>8X12X32GM</t>
  </si>
  <si>
    <t>BRITANNIA GOODDAY CASHEW 32 GMS</t>
  </si>
  <si>
    <t>BRITANNIA GOODDAY PISTA 32 GMS</t>
  </si>
  <si>
    <t>BRITANNIA GOOD DAY PISTA 81 GM</t>
  </si>
  <si>
    <t>24X81GM</t>
  </si>
  <si>
    <t>BRITANNIA GOOD DAY BUTTER 81 GM</t>
  </si>
  <si>
    <t>BRITANNIA GOOD DAY CASHEW 81 GM</t>
  </si>
  <si>
    <t>1047291 </t>
  </si>
  <si>
    <t>BRITANNIA GOODDAY CASHEW 130 GMS</t>
  </si>
  <si>
    <t>24X130 GM</t>
  </si>
  <si>
    <t>1047320  </t>
  </si>
  <si>
    <t>BRITANNIA GOODDAY BUTTER 130 GMS</t>
  </si>
  <si>
    <t>1047297  </t>
  </si>
  <si>
    <t>BRITANNIA GOODDAY PISTA 130 GMS</t>
  </si>
  <si>
    <t>BRITANNIA DIGESTIVE 225 GM</t>
  </si>
  <si>
    <t>24X225GM</t>
  </si>
  <si>
    <t>BRITANNIA DIGESTIVE 400 GM</t>
  </si>
  <si>
    <t>12X400GM</t>
  </si>
  <si>
    <t>BRITANNIA DIGESTIVE SUGAR FREE 200 GM</t>
  </si>
  <si>
    <t>24X200GM</t>
  </si>
  <si>
    <t>BRITANNIA DIGESTIVE SUGAR FREE  350 GM</t>
  </si>
  <si>
    <t>12X350GM</t>
  </si>
  <si>
    <t>BRITANNIA DIGESTIVE LIGHT 225GM</t>
  </si>
  <si>
    <t>BRITANNIA DIGESTIVE LIGHT 400GM</t>
  </si>
  <si>
    <t>BRITANNIA BLACK SEED DIGESTIVE 350 GM</t>
  </si>
  <si>
    <t>BRITANNIA WHEAT RUSK 233 GM</t>
  </si>
  <si>
    <t>24X233GM</t>
  </si>
  <si>
    <t>BRITANNIA WHEAT RUSK 335 GM</t>
  </si>
  <si>
    <t>12X335GM</t>
  </si>
  <si>
    <t>BRITANNIA MILK RUSK 310 GM</t>
  </si>
  <si>
    <t>24X310 GM</t>
  </si>
  <si>
    <t>BRITANNIA CAKE RUSK 240 GM</t>
  </si>
  <si>
    <t>12X240 GM</t>
  </si>
  <si>
    <t>BRITANNIA DRY CAKE  RUSK 80 GM</t>
  </si>
  <si>
    <t>24X80 GM</t>
  </si>
  <si>
    <t>BRITANNIA BLACK SEED RUSK 330G</t>
  </si>
  <si>
    <t>24X330G</t>
  </si>
  <si>
    <t>BRITANNIA COW'S GHEE 1 LITRE</t>
  </si>
  <si>
    <t>15X1LTR</t>
  </si>
  <si>
    <t>BRITANNIA COWS GHEE 500 ML</t>
  </si>
  <si>
    <t>24X500GM</t>
  </si>
  <si>
    <t>BRITANNIA LITTLE HEART NEW</t>
  </si>
  <si>
    <t>72X50.5GM</t>
  </si>
  <si>
    <t>BRITANNIA BOURBON 100 GMS</t>
  </si>
  <si>
    <t>30X100GM</t>
  </si>
  <si>
    <t>BRITANNIA BISCUITS BOURNBON 200GMS</t>
  </si>
  <si>
    <t>BRITANNIA BISCUITS BOURNBON 400GMS</t>
  </si>
  <si>
    <t>24X400GM</t>
  </si>
  <si>
    <t>BRITANNIA BISCUITS JIMJAM 100GMS</t>
  </si>
  <si>
    <t>24X100GM</t>
  </si>
  <si>
    <t>BRITANNIA JIM JAM 150GMS</t>
  </si>
  <si>
    <t>24X150GM</t>
  </si>
  <si>
    <t>BRITANNIA TREAT CHOCOLATE 40 GM</t>
  </si>
  <si>
    <t>8X12X40GM</t>
  </si>
  <si>
    <t>BRITANNIA  TREAT VANILLA 40 GM</t>
  </si>
  <si>
    <t>BRITANNIA BISCUITS MILK BIKIES 90 GMS</t>
  </si>
  <si>
    <t>24X90 GM</t>
  </si>
  <si>
    <t>BRITANNIA BISCUITS MILK BIKIES 8X90GMS</t>
  </si>
  <si>
    <t>6X8X90GM</t>
  </si>
  <si>
    <t>BRITANNIA BISCUITS NICE TIME 100GMS</t>
  </si>
  <si>
    <t>BRITANNIA VITA MARIE 75 GMS</t>
  </si>
  <si>
    <t>40X75GM</t>
  </si>
  <si>
    <t>BRITANNIA VITA MARIE 140 GMS</t>
  </si>
  <si>
    <t>24X140GM</t>
  </si>
  <si>
    <t>BRITANNIA MARIE GOLD 90 GMS</t>
  </si>
  <si>
    <t>24X90 GMS</t>
  </si>
  <si>
    <t>BRITANNIA MARIE GOLD 176 GMS</t>
  </si>
  <si>
    <t>24X176GM</t>
  </si>
  <si>
    <t>BRITANNIA VITA MARIE 8X 75 GM</t>
  </si>
  <si>
    <t>8X8X75GM</t>
  </si>
  <si>
    <t xml:space="preserve">BRITANNIA MARIE GOLD  8X90GM </t>
  </si>
  <si>
    <t>8X8X90 GM</t>
  </si>
  <si>
    <t>BRITANNIA HAZELNUT WAFER 80 GM</t>
  </si>
  <si>
    <t>24X85GM</t>
  </si>
  <si>
    <t>BRITANNIA MILK CARAMEL WAFER 80 GM</t>
  </si>
  <si>
    <t>BRITANNIA CHOCOLATE WAFER 80 GM</t>
  </si>
  <si>
    <t>BRITANNIA MILK CARAMEL WAFER 175 GM</t>
  </si>
  <si>
    <t>24X175GM</t>
  </si>
  <si>
    <t>BRITANNIA CHOCOLATE WAFER 175 GM</t>
  </si>
  <si>
    <t xml:space="preserve"> BRITANNIA HAZELNUT WAFER 175 GM</t>
  </si>
  <si>
    <t>BRITANNIA BISCUITS 50 - 50 71GMS</t>
  </si>
  <si>
    <t>24X71GM</t>
  </si>
  <si>
    <t>BRITANNIA BISCUITS MASKA CHASKA 71GMS</t>
  </si>
  <si>
    <t>BRITANNIA 5050 TIMEPASS 40GM</t>
  </si>
  <si>
    <t>BRITANNIA FIFTY-FIFTY 6X71 GM</t>
  </si>
  <si>
    <t>8X6X71GM</t>
  </si>
  <si>
    <t>BRITANNIA POTAZOS 100GM</t>
  </si>
  <si>
    <t>BRITANNIA POTAZOS 3X 100GM</t>
  </si>
  <si>
    <t>8X3X100GM</t>
  </si>
  <si>
    <t>BRITANNIA 5 GRAIN BISCUITS 200 GM</t>
  </si>
  <si>
    <t>20X200GM</t>
  </si>
  <si>
    <t>BRITANNIA NUTRICHOICE OATS COOKIES  25GM</t>
  </si>
  <si>
    <t>6X24X25 GM</t>
  </si>
  <si>
    <t>BRITANNIA NUTRICHOICE OATS COOKIES 150GM</t>
  </si>
  <si>
    <t>12X150 GM</t>
  </si>
  <si>
    <t>NUTRI CHOICE OAT COOKIES - CHOCOLATE 75G</t>
  </si>
  <si>
    <t>8X6X75GM</t>
  </si>
  <si>
    <t>NUTRI CHOICE OAT COOKIES - ORANGE 75G</t>
  </si>
  <si>
    <t>NUTRI CHOICE OAT COOKIES - MILK &amp; ALMOND 75G</t>
  </si>
  <si>
    <t>BRITANNIA CUP CAKE- CHOCOLATE 60 GM</t>
  </si>
  <si>
    <t>6X12X60GM</t>
  </si>
  <si>
    <t>BRITANNIA CUP CAKE- STRAWBERRY 60 GM</t>
  </si>
  <si>
    <t>BRITANNIA  DATE ROLLS 90GM</t>
  </si>
  <si>
    <t>36X90GM</t>
  </si>
  <si>
    <t>BRITANNIA FIG ROLLS 90GM</t>
  </si>
  <si>
    <t>BAKERS PRIDE BUTTER COOKIES 200GMS</t>
  </si>
  <si>
    <t>12X200GM</t>
  </si>
  <si>
    <t>BAKERS PRIDE DANISH COOKIES 200GMS</t>
  </si>
  <si>
    <t>BAKERS PRIDE BUTTER COOKIES TIN 400GMS</t>
  </si>
  <si>
    <t>BAKERS PRIDE DANISH COOKIES TIN 400GMS</t>
  </si>
  <si>
    <t>BRITANNIA CHOCO LUSH 75 GM</t>
  </si>
  <si>
    <t>24X75GM</t>
  </si>
  <si>
    <t>NUTRO BISCUITS GLUCOSE 50 GMS</t>
  </si>
  <si>
    <t>48X50GM</t>
  </si>
  <si>
    <t>NUTRO BISCUITS NICE 50 GMS</t>
  </si>
  <si>
    <t>NUTRO BISCUITS MALT &amp; MILK 50 GMS</t>
  </si>
  <si>
    <t>NUTRO BISCUITS TASTY CRACKER 42  GMS</t>
  </si>
  <si>
    <t>48X42 GM</t>
  </si>
  <si>
    <t>NUTRO SWEET &amp; SALT (TEA TIME) BISCUITS 45 GM</t>
  </si>
  <si>
    <t>48X45GM</t>
  </si>
  <si>
    <t>NUTRO BISCUITS GLUCOSE 50 GMS WC</t>
  </si>
  <si>
    <t>48X50 GM</t>
  </si>
  <si>
    <t>WHOLESALE</t>
  </si>
  <si>
    <t>NUTRO BISCUITS NICE 50 GMS WC</t>
  </si>
  <si>
    <t>NUTRO BISCUITS MALT N MILK 50 GMS WC</t>
  </si>
  <si>
    <t>NUTRO TASTY CRACKER 42 GMS WC</t>
  </si>
  <si>
    <t>NUTRO BISCUITS SWEET N SALT (TEA TIME) 45 GMS WC</t>
  </si>
  <si>
    <t>48X45 GM</t>
  </si>
  <si>
    <t>NUTRO WAFER CHOCOLATE 75GM</t>
  </si>
  <si>
    <t>24X75 GM</t>
  </si>
  <si>
    <t>NUTRO WAFER VANILLA 75GM</t>
  </si>
  <si>
    <t>NUTRO WAFERS HAZELNUT 75GMS</t>
  </si>
  <si>
    <t>NUTRO WAFER STRAWBERRY 75GM</t>
  </si>
  <si>
    <t>NUTRO WAFERS CHOCOLATE 150GMS</t>
  </si>
  <si>
    <t>NUTRO WAFER STRAWBERRY 150 GM</t>
  </si>
  <si>
    <t>NUTRO WAFER HAZELNUT 150GM</t>
  </si>
  <si>
    <t>NUTRO WAFER VANILLA 150GM</t>
  </si>
  <si>
    <t>BRITANNIA GOODDAY CHOCO CHUNKIES 3X125GM</t>
  </si>
  <si>
    <t>6X3X125 GM</t>
  </si>
  <si>
    <t>BRITANNIA GOODDAY CHUNKIES 6X60 GM PROMO</t>
  </si>
  <si>
    <t>BRITANNIA GD CHOCOCHIPS 120 GMS 4+2 FREE</t>
  </si>
  <si>
    <t>5X6X120 GM</t>
  </si>
  <si>
    <t>BRITANNIA GOOD DAY CASHEW 8X81 GM SUPER SAVER</t>
  </si>
  <si>
    <t>6X8X81 GM</t>
  </si>
  <si>
    <t>BRITANNIA GOOD DAY BUTTER 8X81 GM SUPER SAVER</t>
  </si>
  <si>
    <t>BRITANNIA GOOD DAY PISTA 8X81 GM SUPER SAVER</t>
  </si>
  <si>
    <t>BRITANNIA GOOD DAY PISTA 16X81 GM</t>
  </si>
  <si>
    <t>6X16X81 GM</t>
  </si>
  <si>
    <t>EXCL.</t>
  </si>
  <si>
    <t>BRITANNIA GOOD DAY BUTTER 16X81 GM</t>
  </si>
  <si>
    <t>BRITANNIA GOOD DAY CASHEW 16X81 GM</t>
  </si>
  <si>
    <t>BRITANNIA DIGESTIVE 2X 400GM SPL OFFER</t>
  </si>
  <si>
    <t>6X2X400 GM</t>
  </si>
  <si>
    <t>BRITANNIA SF DIGESTIVE 2X350GM SPL OFFER</t>
  </si>
  <si>
    <t>6X2X350GM</t>
  </si>
  <si>
    <t>BRITANNIA DIG SF 2X350GM + BLACK SEED DIG.SP</t>
  </si>
  <si>
    <t>6X3X350GM</t>
  </si>
  <si>
    <t>BRITANNIA DIGESTIVE 3x400 GM SPL OFFER</t>
  </si>
  <si>
    <t>4X3X400GM</t>
  </si>
  <si>
    <t>BRITANNIA DIGESTIVE SF 3X350GM SPL OFFER</t>
  </si>
  <si>
    <t>4X3X350GM</t>
  </si>
  <si>
    <t>BRITANNIA WHEAT RUSK 2X335GM BOX PB</t>
  </si>
  <si>
    <t>12X2X335GM</t>
  </si>
  <si>
    <t>BRITANNIA MILK RUSK 2X310 GM BOX PB</t>
  </si>
  <si>
    <t>12X2X310 GM</t>
  </si>
  <si>
    <t xml:space="preserve">BRITANNIA MILK RUSK 3X 310 GM  SPL OFFER        </t>
  </si>
  <si>
    <t>8X3X310 GM</t>
  </si>
  <si>
    <t xml:space="preserve">BRITANNIA WHEAT RUSK 3X 335 GM  SPL OFFER      </t>
  </si>
  <si>
    <t>4X3X335 GM</t>
  </si>
  <si>
    <t>BRITANNIA LITTLE HEARTS 10X50.5GM SPL OFFER</t>
  </si>
  <si>
    <t>8X10X50.5 GM</t>
  </si>
  <si>
    <t>BRITANNIA BOURBON 100 GM 6+2 FREE NP</t>
  </si>
  <si>
    <t>8X8X100GM</t>
  </si>
  <si>
    <t>BRITANNIA MILK BIKIS TWIN PACK 2X8X90GM</t>
  </si>
  <si>
    <t>6X2X8X90 GM</t>
  </si>
  <si>
    <t>BRITANNIA MARIEGOLD  6X176 GM SUPERSAVER</t>
  </si>
  <si>
    <t>6X6X176GM</t>
  </si>
  <si>
    <t>BRITANNIA VITAMARIE 6X140 GM SUPERSAVER</t>
  </si>
  <si>
    <t>6X6X140GM</t>
  </si>
  <si>
    <t>BRITANNIA MARIE PETIT BURRE PROMO 2X450GM</t>
  </si>
  <si>
    <t>4X2X3X150G</t>
  </si>
  <si>
    <t>NUTRI CHOICE OATS- CHOCOLATE 6X75G PROMO</t>
  </si>
  <si>
    <t>NUTRI CHOICE OATS - ORANGE 6X75G PROMO</t>
  </si>
  <si>
    <t>NUTRI CHOICE OATS - MILK &amp; ALM. 6X75G PROMO</t>
  </si>
  <si>
    <t>BAKERS PRIDE BC+BC 400GM TIN PB</t>
  </si>
  <si>
    <t>6X2X400GM</t>
  </si>
  <si>
    <t>BAKERS PRIDE BC+ DC 400GM TIN PB</t>
  </si>
  <si>
    <t>NUTRO CREAM ASSORTED 15X90 GM SP</t>
  </si>
  <si>
    <t>6X15X90GM</t>
  </si>
  <si>
    <t>NUTRO PLAINS 3X10X50 GM NEW</t>
  </si>
  <si>
    <t>2X3X10X50 GM</t>
  </si>
  <si>
    <t>NUTRO WAFER (2CH+2HZ+2ST) 75GM</t>
  </si>
  <si>
    <t>4X6X75 GM</t>
  </si>
  <si>
    <t>DEVON CREAM CRACKERS 200G</t>
  </si>
  <si>
    <t>24X200 GMS</t>
  </si>
  <si>
    <t>DEVON LIGHT CREAM CRACKERS 200G</t>
  </si>
  <si>
    <t>DEVON C/CRACKER ASSTD 3X200 GM</t>
  </si>
  <si>
    <t>8X3X200 GMS</t>
  </si>
  <si>
    <t>BRITANNIA BISCUITS MILK BIKIES 85 GMS</t>
  </si>
  <si>
    <t>24x85 gm</t>
  </si>
  <si>
    <t>BRITANNIA BISCUITS MILK BIKIES 8X85GMS</t>
  </si>
  <si>
    <t>6X8X85GM</t>
  </si>
  <si>
    <t>BRITANNIA GOOD DAY BUTTER 72 GM</t>
  </si>
  <si>
    <t>24X72GM</t>
  </si>
  <si>
    <r>
      <rPr>
        <sz val="11.5"/>
        <rFont val="Times New Roman"/>
        <family val="1"/>
      </rPr>
      <t>Brit.NutriChc W/Wheat Crkr175g</t>
    </r>
  </si>
  <si>
    <r>
      <rPr>
        <sz val="11.5"/>
        <rFont val="Times New Roman"/>
        <family val="1"/>
      </rPr>
      <t>Brita Marie Gold 10x43g 2s PO</t>
    </r>
  </si>
  <si>
    <r>
      <rPr>
        <sz val="11.5"/>
        <rFont val="Times New Roman"/>
        <family val="1"/>
      </rPr>
      <t>Brit.JimJam Pops Vanla.Crm 70g</t>
    </r>
  </si>
  <si>
    <r>
      <rPr>
        <sz val="11.5"/>
        <rFont val="Times New Roman"/>
        <family val="1"/>
      </rPr>
      <t>Brit.G/Day Pista&amp;Almd 72g8s VP</t>
    </r>
  </si>
  <si>
    <r>
      <rPr>
        <sz val="11.5"/>
        <rFont val="Times New Roman"/>
        <family val="1"/>
      </rPr>
      <t>Brt.GoodDay Bsct Cashw 8x72gVP</t>
    </r>
  </si>
  <si>
    <r>
      <rPr>
        <sz val="11.5"/>
        <rFont val="Times New Roman"/>
        <family val="1"/>
      </rPr>
      <t>Brit Digestive 225gm 3s</t>
    </r>
  </si>
  <si>
    <r>
      <rPr>
        <sz val="11.5"/>
        <rFont val="Times New Roman"/>
        <family val="1"/>
      </rPr>
      <t>Britannia Digestive S/F200g 3s</t>
    </r>
  </si>
  <si>
    <r>
      <rPr>
        <sz val="11.5"/>
        <rFont val="Times New Roman"/>
        <family val="1"/>
      </rPr>
      <t>Brit Good Day Pista&amp;Almond 72g</t>
    </r>
  </si>
  <si>
    <r>
      <rPr>
        <sz val="11.5"/>
        <rFont val="Times New Roman"/>
        <family val="1"/>
      </rPr>
      <t>Brit Good Day Cashew 72g</t>
    </r>
  </si>
  <si>
    <t>BRITANNIA MARIE GOLD 154 GMS</t>
  </si>
  <si>
    <t>24x154 GM</t>
  </si>
  <si>
    <r>
      <rPr>
        <sz val="11.5"/>
        <rFont val="Times New Roman"/>
        <family val="1"/>
      </rPr>
      <t>Britannia Marie Gold 80g</t>
    </r>
  </si>
  <si>
    <r>
      <rPr>
        <sz val="11.5"/>
        <rFont val="Times New Roman"/>
        <family val="1"/>
      </rPr>
      <t>Britannia Vita Marie Gold 122g</t>
    </r>
  </si>
  <si>
    <r>
      <rPr>
        <sz val="11.5"/>
        <rFont val="Times New Roman"/>
        <family val="1"/>
      </rPr>
      <t>Brit.50-50Golmal Crkr Bksd110g</t>
    </r>
  </si>
  <si>
    <t>BRITANNIA  MILK BIKIES CREAM 100 GMS</t>
  </si>
  <si>
    <t>48X100 GM</t>
  </si>
  <si>
    <t>BRITANNIA VITA MARIE 66 GMS</t>
  </si>
  <si>
    <t>40x66 GM</t>
  </si>
  <si>
    <t>BRITANNIA DRY CAKE  RUSK 300 GM</t>
  </si>
  <si>
    <t>10X300GM</t>
  </si>
  <si>
    <t>BRITANNIA MARIE GOLD 80 GMS</t>
  </si>
  <si>
    <t>BRITANNIA VITA MARIE 122 GMS</t>
  </si>
  <si>
    <t>BRITANNIA WHEAT RUSK 305 GM</t>
  </si>
  <si>
    <r>
      <rPr>
        <sz val="11.5"/>
        <rFont val="Times New Roman"/>
        <family val="1"/>
      </rPr>
      <t>Britania JimJam Crm Bisct 92g</t>
    </r>
  </si>
  <si>
    <r>
      <rPr>
        <sz val="11.5"/>
        <rFont val="Times New Roman"/>
        <family val="1"/>
      </rPr>
      <t>Brit.NutriChc SugrFre Crkr175g</t>
    </r>
  </si>
  <si>
    <t>MENTOS WHITE BOTTLE TWIN PACK</t>
  </si>
  <si>
    <t>Cashew Cookies, 72g</t>
  </si>
  <si>
    <t>24 0.217 0.217 5.208 5.00% 0.260 5.468</t>
  </si>
  <si>
    <t xml:space="preserve">5 0ZZU44 365212 06291007901047 </t>
  </si>
  <si>
    <t>Britannia Good Day</t>
  </si>
  <si>
    <t>Delm Skjk.TunaFlk/SFO 4x180gPO</t>
  </si>
  <si>
    <t>Delm Skj.TunaChnk/Brn 4x185gPO</t>
  </si>
  <si>
    <t>Delm Skj.Tuna/Hot.SFO 4x180gPO</t>
  </si>
  <si>
    <t>Delm Skj.TunaChnk.SFO 4x185gPO</t>
  </si>
  <si>
    <t>Kr code</t>
  </si>
  <si>
    <t>SKU</t>
  </si>
  <si>
    <t> CTN </t>
  </si>
  <si>
    <t> PTT </t>
  </si>
  <si>
    <t> Barcode </t>
  </si>
  <si>
    <t>DELMONTE TUNA CHUNK IN BRINE 185GM X 4</t>
  </si>
  <si>
    <t>   2.534</t>
  </si>
  <si>
    <t>DELMONTE TUNA CHUNK IN OIL 185GM X 4</t>
  </si>
  <si>
    <t>   2.542</t>
  </si>
  <si>
    <t>DM(48) LM TUNA IN BRINE 185GM X 4</t>
  </si>
  <si>
    <t>   2.884</t>
  </si>
  <si>
    <t>DM(48) LM TUNA IN OIL 185GM X 4</t>
  </si>
  <si>
    <t>   2.891</t>
  </si>
  <si>
    <t>DELMONTE WM TUNA IN BRINE 185GM X 4</t>
  </si>
  <si>
    <t>   3.064</t>
  </si>
  <si>
    <t>DELMONTE WM TUNA IN OIL 185GM X 4</t>
  </si>
  <si>
    <t>   3.169</t>
  </si>
  <si>
    <t>DM SKIPJACK TUNA IN SF OIL 180GM X 4</t>
  </si>
  <si>
    <t>   2.191</t>
  </si>
  <si>
    <t>DM  SKIPJACK TUNA HOT &amp; SPICY 180GM X 4</t>
  </si>
  <si>
    <r>
      <t>365220 </t>
    </r>
    <r>
      <rPr>
        <sz val="12"/>
        <color rgb="FF222222"/>
        <rFont val="Arial"/>
        <family val="2"/>
      </rPr>
      <t>- 1498843 BRITANNIA Brit.G/Day Pista&amp;Alm. 8x72g 2s 6291007909098 100 EA 1.985 0.000 1.985 V2 5.00% 9.925 208.425</t>
    </r>
  </si>
  <si>
    <r>
      <t>365218</t>
    </r>
    <r>
      <rPr>
        <sz val="12"/>
        <color rgb="FF222222"/>
        <rFont val="Arial"/>
        <family val="2"/>
      </rPr>
      <t> - 1498844 BRITANNIA Brit.G/Day CashewCkie 8x72g 2s 6291007909081 80 EA 1.985 0.000 1.985 V2 5.00% 7.940 166.740</t>
    </r>
  </si>
  <si>
    <r>
      <t>365219</t>
    </r>
    <r>
      <rPr>
        <sz val="12"/>
        <color rgb="FF222222"/>
        <rFont val="Arial"/>
        <family val="2"/>
      </rPr>
      <t> - 1498845 BRITANNIA Brit.G/Day ButterCkie 8x72g 2s 6291007909104 100 EA 1.985 0.000 1.985 V2 5.00% 9.925 208.425</t>
    </r>
  </si>
  <si>
    <t> BARCODE  6291007914719         Britannia Chunkies 82g X 4 /</t>
  </si>
  <si>
    <t>Britannia /</t>
  </si>
  <si>
    <r>
      <t>396374 </t>
    </r>
    <r>
      <rPr>
        <sz val="12"/>
        <color rgb="FF222222"/>
        <rFont val="Arial"/>
        <family val="2"/>
      </rPr>
      <t>-BRITANNIA CHUNKIES 4X82GM</t>
    </r>
  </si>
  <si>
    <t>2227886 396374 BRITANNIA Brt.G/Day Chunkie Choc.4x82gPO 6291007914719 24 EA 1.095 0.000 1.095 V2 5.00% 1.314 27.594</t>
  </si>
  <si>
    <t>Brt.G/Day Chunkie Choc.4x82gPO</t>
  </si>
  <si>
    <t>Good Day Cashew 72g</t>
  </si>
  <si>
    <t>5 CTN</t>
  </si>
  <si>
    <t>Britania Marie Gold 154g</t>
  </si>
  <si>
    <t>Britania 50 50 Maska Chaska</t>
  </si>
  <si>
    <t>Britania 50 50</t>
  </si>
  <si>
    <t> 4 CTN</t>
  </si>
  <si>
    <t>Britania Good Day ChocoAlm100g</t>
  </si>
  <si>
    <t>Britania Digestive 225g</t>
  </si>
  <si>
    <t>1 CTN</t>
  </si>
  <si>
    <t>Britania Bourbon 200g</t>
  </si>
  <si>
    <t>Britania Vita Marie Gold 122g</t>
  </si>
  <si>
    <t>Britania Good Day Chunkies60g</t>
  </si>
  <si>
    <t>Les Enfants 4X8P</t>
  </si>
  <si>
    <t>La Vache Quirit Dipper 4’s  12X140 gm</t>
  </si>
  <si>
    <t>0210 2571733 LES ENFANTS Enfant.Cheese 8Prtn 120g 4s PO 3073781219654 120 EA 0.950 0.000 0.950 V1 0.00% 0.000 114.000</t>
  </si>
  <si>
    <t>0280 8316 8316 LAVACHE QUI Lvqt Cheese Dippers 4p 140g 0000000083164 12 EA 1.193 0.000 1.193 V1 0.00% 0.000 14.316</t>
  </si>
  <si>
    <t>3073781219654/49</t>
  </si>
  <si>
    <t>Regular</t>
  </si>
  <si>
    <t>Les Enfants Cheese 32p - (4x8p)</t>
  </si>
  <si>
    <t>   1.269</t>
  </si>
  <si>
    <t>   4.061</t>
  </si>
  <si>
    <t>  81.216</t>
  </si>
  <si>
    <t>  85.277</t>
  </si>
  <si>
    <r>
      <rPr>
        <sz val="11.5"/>
        <rFont val="Times New Roman"/>
        <family val="1"/>
      </rPr>
      <t>DELMONTE</t>
    </r>
  </si>
  <si>
    <r>
      <rPr>
        <sz val="11.5"/>
        <rFont val="Times New Roman"/>
        <family val="1"/>
      </rPr>
      <t>Delmonte Sliced Mushrooms 400g</t>
    </r>
  </si>
  <si>
    <r>
      <rPr>
        <sz val="11.5"/>
        <rFont val="Times New Roman"/>
        <family val="1"/>
      </rPr>
      <t>CAR=24EA</t>
    </r>
  </si>
  <si>
    <r>
      <rPr>
        <sz val="11.5"/>
        <rFont val="Times New Roman"/>
        <family val="1"/>
      </rPr>
      <t>Delmonte Sliced Mushrooms 200g</t>
    </r>
  </si>
  <si>
    <r>
      <rPr>
        <sz val="11.5"/>
        <rFont val="Times New Roman"/>
        <family val="1"/>
      </rPr>
      <t>Delmonte Whole Mushrooms 400g</t>
    </r>
  </si>
  <si>
    <r>
      <rPr>
        <sz val="11.5"/>
        <rFont val="Times New Roman"/>
        <family val="1"/>
      </rPr>
      <t>Delm Garden Peas 425g</t>
    </r>
  </si>
  <si>
    <r>
      <rPr>
        <sz val="11.5"/>
        <rFont val="Times New Roman"/>
        <family val="1"/>
      </rPr>
      <t>Delm Golden Sweet Corn 410gm</t>
    </r>
  </si>
  <si>
    <r>
      <rPr>
        <sz val="11.5"/>
        <rFont val="Times New Roman"/>
        <family val="1"/>
      </rPr>
      <t>Delmonte Whole Mushrooms 200g</t>
    </r>
  </si>
  <si>
    <r>
      <rPr>
        <sz val="11.5"/>
        <rFont val="Times New Roman"/>
        <family val="1"/>
      </rPr>
      <t>Delm Red Kidney Beans 400gm</t>
    </r>
  </si>
  <si>
    <r>
      <rPr>
        <sz val="11.5"/>
        <rFont val="Times New Roman"/>
        <family val="1"/>
      </rPr>
      <t>Delm Mixed Vegitables 425g</t>
    </r>
  </si>
  <si>
    <r>
      <rPr>
        <sz val="11.5"/>
        <rFont val="Times New Roman"/>
        <family val="1"/>
      </rPr>
      <t>Delm Tuna Chunks in Oil 185g</t>
    </r>
  </si>
  <si>
    <r>
      <rPr>
        <sz val="11.5"/>
        <rFont val="Times New Roman"/>
        <family val="1"/>
      </rPr>
      <t>CAR=48EA</t>
    </r>
  </si>
  <si>
    <r>
      <rPr>
        <sz val="11.5"/>
        <rFont val="Times New Roman"/>
        <family val="1"/>
      </rPr>
      <t>Delm.L/M Tuna in SFO 185g</t>
    </r>
  </si>
  <si>
    <r>
      <rPr>
        <sz val="11.5"/>
        <rFont val="Times New Roman"/>
        <family val="1"/>
      </rPr>
      <t>Delm W/M Tuna in SFO 185g</t>
    </r>
  </si>
  <si>
    <r>
      <rPr>
        <sz val="11.5"/>
        <rFont val="Times New Roman"/>
        <family val="1"/>
      </rPr>
      <t>Delm W/M Tuna in Brine 185g</t>
    </r>
  </si>
  <si>
    <r>
      <rPr>
        <sz val="11.5"/>
        <rFont val="Times New Roman"/>
        <family val="1"/>
      </rPr>
      <t>Dlm SJ.TunaFlk HotSpc SFO 180g</t>
    </r>
  </si>
  <si>
    <r>
      <rPr>
        <sz val="11.5"/>
        <rFont val="Times New Roman"/>
        <family val="1"/>
      </rPr>
      <t>Delmonte Pineapple Slice 567gm</t>
    </r>
  </si>
  <si>
    <r>
      <rPr>
        <sz val="11.5"/>
        <rFont val="Times New Roman"/>
      </rPr>
      <t>DELMONTE</t>
    </r>
  </si>
  <si>
    <r>
      <rPr>
        <sz val="11.5"/>
        <rFont val="Times New Roman"/>
      </rPr>
      <t>Delmonte Sliced Mushrooms 400g</t>
    </r>
  </si>
  <si>
    <r>
      <rPr>
        <sz val="11.5"/>
        <rFont val="Times New Roman"/>
      </rPr>
      <t>CAR=24EA</t>
    </r>
  </si>
  <si>
    <r>
      <rPr>
        <sz val="11.5"/>
        <rFont val="Times New Roman"/>
      </rPr>
      <t>Delmonte Sliced Mushrooms 200g</t>
    </r>
  </si>
  <si>
    <r>
      <rPr>
        <sz val="11.5"/>
        <rFont val="Times New Roman"/>
      </rPr>
      <t>Delmonte Whole Mushrooms 400g</t>
    </r>
  </si>
  <si>
    <r>
      <rPr>
        <sz val="11.5"/>
        <rFont val="Times New Roman"/>
      </rPr>
      <t>Delmonte Whole Mushrooms 200g</t>
    </r>
  </si>
  <si>
    <r>
      <rPr>
        <sz val="11.5"/>
        <rFont val="Times New Roman"/>
      </rPr>
      <t>PERFETTI ME</t>
    </r>
  </si>
  <si>
    <r>
      <rPr>
        <sz val="11.5"/>
        <rFont val="Times New Roman"/>
      </rPr>
      <t>Ment.FrshDive Cool.Ppmnt SF88g</t>
    </r>
  </si>
  <si>
    <r>
      <rPr>
        <sz val="11.5"/>
        <rFont val="Times New Roman"/>
      </rPr>
      <t>CH1=6EA</t>
    </r>
  </si>
  <si>
    <r>
      <rPr>
        <sz val="11.5"/>
        <rFont val="Times New Roman"/>
      </rPr>
      <t>Ment.FrshDive Tid.Grape SF 88g</t>
    </r>
  </si>
  <si>
    <r>
      <rPr>
        <sz val="11.5"/>
        <rFont val="Times New Roman"/>
      </rPr>
      <t>Mentos Incredbl Chew Cola 45g</t>
    </r>
  </si>
  <si>
    <r>
      <rPr>
        <sz val="11.5"/>
        <rFont val="Times New Roman"/>
      </rPr>
      <t>CH1=20EA</t>
    </r>
  </si>
  <si>
    <r>
      <rPr>
        <sz val="11.5"/>
        <rFont val="Times New Roman"/>
      </rPr>
      <t>Mentos PureFresh Mint SF 87.5g</t>
    </r>
  </si>
  <si>
    <r>
      <rPr>
        <sz val="11.5"/>
        <rFont val="Times New Roman"/>
      </rPr>
      <t>PERFETTI CH</t>
    </r>
  </si>
  <si>
    <r>
      <rPr>
        <sz val="11.5"/>
        <rFont val="Times New Roman"/>
      </rPr>
      <t>ChupaChup Sour Belts Cola 57g</t>
    </r>
  </si>
  <si>
    <r>
      <rPr>
        <sz val="11.5"/>
        <rFont val="Times New Roman"/>
      </rPr>
      <t>CH1=12EA</t>
    </r>
  </si>
  <si>
    <t>0290 2238055 412003 PERFETTI ME Ment.FrshDive Cool.Ppmnt SF88g 8682790000440 2 CH1=6EA 7.440 0.000 7.440 V2 5.00% 0.744 15.624</t>
  </si>
  <si>
    <t>0300 2238056 412004 PERFETTI ME Ment.FrshDive Tid.Grape SF 88g 8682790000419 2 CH1=6EA 7.440 0.000 7.440 V2 5.00% 0.744 15.624</t>
  </si>
  <si>
    <t>8 Portions  RP</t>
  </si>
  <si>
    <t>8 Portions   LVQR</t>
  </si>
  <si>
    <r>
      <rPr>
        <sz val="11.5"/>
        <rFont val="Times New Roman"/>
      </rPr>
      <t>Mentos Gum Fresh Mint 56g</t>
    </r>
  </si>
  <si>
    <t xml:space="preserve"> @ 0.889</t>
  </si>
  <si>
    <t>Hero Baby Food Jar 125g 3+1</t>
  </si>
  <si>
    <t>445177   3+1</t>
  </si>
  <si>
    <t xml:space="preserve"> 1800000001835 b</t>
  </si>
  <si>
    <t>@</t>
  </si>
  <si>
    <t>D078</t>
  </si>
  <si>
    <r>
      <rPr>
        <sz val="11.5"/>
        <rFont val="Times New Roman"/>
        <family val="1"/>
      </rPr>
      <t>CHUPA CHUP JELLIES- TWIN PACK 160G</t>
    </r>
  </si>
  <si>
    <t>1800000025206 411514 PONS EXTRA VIRGIN OLIVE OIL 500ML X 2 PCS 2X500ML 6.000 0 4.000 24.000 0.000</t>
  </si>
  <si>
    <t>MENTOS INCREDIBLE CHEW COLA 45G</t>
  </si>
  <si>
    <t>    5.208</t>
  </si>
  <si>
    <t>CHUPA CHUP MONO BELT COLA 57G</t>
  </si>
  <si>
    <t>    5.496</t>
  </si>
  <si>
    <t>CHUPA CHUPS JLY SOUR BLT COLA 10.5G</t>
  </si>
  <si>
    <t>    0.984</t>
  </si>
  <si>
    <t>MENTOS PURE FRSH FRSHMNT 50PC 87.5G</t>
  </si>
  <si>
    <t>  14.280</t>
  </si>
  <si>
    <t>MENTOS FRESH DIVE PEPPERMINT 88G</t>
  </si>
  <si>
    <t>  14.880</t>
  </si>
  <si>
    <t>MENTOS FRESH DIVE GRAPE 88G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</si>
</sst>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;[Red]0"/>
    <numFmt numFmtId="165" formatCode="0.000"/>
    <numFmt numFmtId="166" formatCode="_-* #,##0_-;\-* #,##0_-;_-* &quot;-&quot;??_-;_-@_-"/>
    <numFmt numFmtId="167" formatCode="_(* #,##0.000_);_(* \(#,##0.000\);_(* &quot;-&quot;??_);_(@_)"/>
    <numFmt numFmtId="168" formatCode="&quot;$&quot;#,##0.00"/>
    <numFmt numFmtId="169" formatCode="00.000"/>
    <numFmt numFmtId="170" formatCode="0.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8"/>
      <color rgb="FF000000"/>
      <name val="Microsoft Sans Serif"/>
      <family val="2"/>
    </font>
    <font>
      <sz val="8"/>
      <name val="Tahoma"/>
      <family val="2"/>
    </font>
    <font>
      <sz val="8"/>
      <color theme="1"/>
      <name val="Tahoma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.5"/>
      <name val="Times New Roman"/>
      <family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222222"/>
      <name val="Arial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.5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 Light"/>
      <family val="2"/>
    </font>
    <font>
      <b/>
      <sz val="12"/>
      <color rgb="FF222222"/>
      <name val="Arial"/>
      <family val="2"/>
    </font>
    <font>
      <sz val="10"/>
      <color rgb="FF000000"/>
      <name val="Arial"/>
      <family val="2"/>
    </font>
    <font>
      <sz val="12"/>
      <color rgb="FF1F497D"/>
      <name val="Arial"/>
      <family val="2"/>
    </font>
    <font>
      <sz val="10"/>
      <color rgb="FF000000"/>
      <name val="Times New Roman"/>
      <family val="1"/>
    </font>
    <font>
      <sz val="11.5"/>
      <name val="Times New Roman"/>
      <family val="1"/>
    </font>
    <font>
      <sz val="11.5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9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0">
    <xf numFmtId="0" fontId="0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0" fontId="19" fillId="0" borderId="0"/>
    <xf numFmtId="0" fontId="20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3" fillId="0" borderId="0"/>
    <xf numFmtId="0" fontId="34" fillId="0" borderId="0"/>
    <xf numFmtId="0" fontId="35" fillId="0" borderId="0"/>
    <xf numFmtId="0" fontId="36" fillId="0" borderId="0"/>
    <xf numFmtId="0" fontId="37" fillId="0" borderId="0"/>
    <xf numFmtId="0" fontId="42" fillId="0" borderId="0"/>
    <xf numFmtId="0" fontId="43" fillId="0" borderId="0"/>
    <xf numFmtId="0" fontId="45" fillId="0" borderId="0"/>
    <xf numFmtId="4" fontId="46" fillId="6" borderId="23" applyNumberFormat="0" applyProtection="0">
      <alignment horizontal="left" vertical="center" indent="1"/>
    </xf>
    <xf numFmtId="4" fontId="46" fillId="6" borderId="23" applyNumberFormat="0" applyProtection="0">
      <alignment horizontal="left" vertical="center" indent="1"/>
    </xf>
  </cellStyleXfs>
  <cellXfs count="312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1" fontId="4" fillId="0" borderId="1" xfId="2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1" applyFont="1" applyFill="1" applyBorder="1" applyAlignment="1">
      <alignment vertical="center" wrapText="1"/>
    </xf>
    <xf numFmtId="0" fontId="4" fillId="0" borderId="1" xfId="2" quotePrefix="1" applyFont="1" applyFill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1" fontId="4" fillId="0" borderId="4" xfId="0" applyNumberFormat="1" applyFont="1" applyFill="1" applyBorder="1" applyAlignment="1">
      <alignment horizontal="center" vertical="center"/>
    </xf>
    <xf numFmtId="0" fontId="4" fillId="0" borderId="1" xfId="2" quotePrefix="1" applyFont="1" applyBorder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1" fontId="4" fillId="0" borderId="1" xfId="2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3" applyFont="1" applyBorder="1" applyAlignment="1">
      <alignment vertical="center"/>
    </xf>
    <xf numFmtId="0" fontId="4" fillId="0" borderId="1" xfId="3" applyFont="1" applyBorder="1" applyAlignment="1">
      <alignment horizontal="center" vertical="center"/>
    </xf>
    <xf numFmtId="1" fontId="5" fillId="0" borderId="4" xfId="3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2" borderId="6" xfId="2" quotePrefix="1" applyFont="1" applyFill="1" applyBorder="1" applyAlignment="1">
      <alignment horizontal="center" vertical="center"/>
    </xf>
    <xf numFmtId="0" fontId="4" fillId="0" borderId="6" xfId="2" applyFont="1" applyBorder="1" applyAlignment="1">
      <alignment vertical="center"/>
    </xf>
    <xf numFmtId="0" fontId="4" fillId="0" borderId="6" xfId="2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3" xfId="0" applyFont="1" applyFill="1" applyBorder="1" applyAlignment="1" applyProtection="1">
      <alignment vertical="center"/>
    </xf>
    <xf numFmtId="0" fontId="5" fillId="0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vertic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0" xfId="0" applyFont="1" applyBorder="1"/>
    <xf numFmtId="164" fontId="6" fillId="0" borderId="5" xfId="0" applyNumberFormat="1" applyFont="1" applyBorder="1" applyAlignment="1">
      <alignment horizontal="center"/>
    </xf>
    <xf numFmtId="0" fontId="4" fillId="0" borderId="3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5" fillId="0" borderId="3" xfId="0" applyFont="1" applyBorder="1"/>
    <xf numFmtId="0" fontId="10" fillId="0" borderId="1" xfId="0" applyFont="1" applyFill="1" applyBorder="1" applyAlignment="1" applyProtection="1">
      <alignment vertical="center"/>
    </xf>
    <xf numFmtId="0" fontId="10" fillId="0" borderId="1" xfId="0" applyFont="1" applyFill="1" applyBorder="1" applyAlignment="1" applyProtection="1">
      <alignment horizontal="center" vertical="center"/>
    </xf>
    <xf numFmtId="0" fontId="4" fillId="0" borderId="5" xfId="0" applyFont="1" applyBorder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/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5" xfId="0" applyNumberFormat="1" applyFont="1" applyBorder="1"/>
    <xf numFmtId="0" fontId="5" fillId="0" borderId="1" xfId="0" applyFont="1" applyBorder="1" applyAlignment="1">
      <alignment horizontal="center" vertical="top"/>
    </xf>
    <xf numFmtId="0" fontId="4" fillId="0" borderId="1" xfId="5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4" fillId="0" borderId="6" xfId="2" quotePrefix="1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/>
    <xf numFmtId="1" fontId="5" fillId="0" borderId="1" xfId="3" applyNumberFormat="1" applyFont="1" applyFill="1" applyBorder="1" applyAlignment="1">
      <alignment horizontal="center" vertical="center"/>
    </xf>
    <xf numFmtId="1" fontId="5" fillId="0" borderId="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left" vertical="center" wrapText="1"/>
    </xf>
    <xf numFmtId="164" fontId="6" fillId="0" borderId="5" xfId="0" applyNumberFormat="1" applyFont="1" applyBorder="1"/>
    <xf numFmtId="0" fontId="6" fillId="0" borderId="3" xfId="0" applyFont="1" applyBorder="1" applyAlignment="1">
      <alignment vertical="center"/>
    </xf>
    <xf numFmtId="1" fontId="5" fillId="0" borderId="1" xfId="0" applyNumberFormat="1" applyFont="1" applyFill="1" applyBorder="1" applyAlignment="1" applyProtection="1">
      <alignment horizontal="center"/>
    </xf>
    <xf numFmtId="1" fontId="5" fillId="0" borderId="10" xfId="0" applyNumberFormat="1" applyFont="1" applyFill="1" applyBorder="1" applyAlignment="1" applyProtection="1">
      <alignment horizontal="center"/>
    </xf>
    <xf numFmtId="0" fontId="7" fillId="0" borderId="3" xfId="0" applyNumberFormat="1" applyFont="1" applyBorder="1" applyAlignment="1">
      <alignment vertical="center"/>
    </xf>
    <xf numFmtId="1" fontId="5" fillId="0" borderId="5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 applyProtection="1">
      <alignment horizontal="center" vertical="center"/>
    </xf>
    <xf numFmtId="1" fontId="4" fillId="0" borderId="4" xfId="2" applyNumberFormat="1" applyFont="1" applyBorder="1" applyAlignment="1">
      <alignment horizontal="center" vertical="center"/>
    </xf>
    <xf numFmtId="1" fontId="5" fillId="0" borderId="1" xfId="4" applyNumberFormat="1" applyFont="1" applyFill="1" applyBorder="1" applyAlignment="1" applyProtection="1">
      <alignment horizontal="center"/>
    </xf>
    <xf numFmtId="1" fontId="5" fillId="0" borderId="5" xfId="4" applyNumberFormat="1" applyFont="1" applyFill="1" applyBorder="1" applyAlignment="1" applyProtection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/>
    <xf numFmtId="1" fontId="5" fillId="0" borderId="5" xfId="0" applyNumberFormat="1" applyFont="1" applyBorder="1" applyAlignment="1">
      <alignment horizontal="center"/>
    </xf>
    <xf numFmtId="0" fontId="5" fillId="0" borderId="3" xfId="0" applyNumberFormat="1" applyFont="1" applyFill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0" xfId="0" applyNumberFormat="1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/>
    <xf numFmtId="164" fontId="6" fillId="0" borderId="5" xfId="0" applyNumberFormat="1" applyFont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vertical="center"/>
    </xf>
    <xf numFmtId="0" fontId="5" fillId="0" borderId="3" xfId="5" applyNumberFormat="1" applyFont="1" applyBorder="1" applyAlignment="1">
      <alignment vertical="center"/>
    </xf>
    <xf numFmtId="1" fontId="5" fillId="0" borderId="5" xfId="5" applyNumberFormat="1" applyFont="1" applyFill="1" applyBorder="1" applyAlignment="1">
      <alignment horizontal="center" vertical="center"/>
    </xf>
    <xf numFmtId="1" fontId="5" fillId="0" borderId="4" xfId="5" applyNumberFormat="1" applyFont="1" applyBorder="1" applyAlignment="1">
      <alignment horizontal="center" vertical="center"/>
    </xf>
    <xf numFmtId="0" fontId="4" fillId="0" borderId="3" xfId="5" applyNumberFormat="1" applyFont="1" applyFill="1" applyBorder="1" applyAlignment="1">
      <alignment vertical="center"/>
    </xf>
    <xf numFmtId="1" fontId="4" fillId="0" borderId="4" xfId="5" applyNumberFormat="1" applyFont="1" applyFill="1" applyBorder="1" applyAlignment="1">
      <alignment horizontal="center" vertical="center"/>
    </xf>
    <xf numFmtId="0" fontId="5" fillId="0" borderId="3" xfId="5" applyNumberFormat="1" applyFont="1" applyBorder="1" applyAlignment="1">
      <alignment horizontal="left" vertical="center" wrapText="1"/>
    </xf>
    <xf numFmtId="1" fontId="5" fillId="0" borderId="5" xfId="5" applyNumberFormat="1" applyFont="1" applyBorder="1" applyAlignment="1">
      <alignment horizontal="center" vertical="center"/>
    </xf>
    <xf numFmtId="1" fontId="7" fillId="0" borderId="4" xfId="5" applyNumberFormat="1" applyFont="1" applyBorder="1" applyAlignment="1">
      <alignment horizontal="center" vertical="center"/>
    </xf>
    <xf numFmtId="1" fontId="7" fillId="0" borderId="12" xfId="5" applyNumberFormat="1" applyFont="1" applyBorder="1" applyAlignment="1">
      <alignment horizontal="center" vertical="center"/>
    </xf>
    <xf numFmtId="1" fontId="5" fillId="0" borderId="13" xfId="0" applyNumberFormat="1" applyFont="1" applyFill="1" applyBorder="1" applyAlignment="1">
      <alignment horizontal="center"/>
    </xf>
    <xf numFmtId="1" fontId="5" fillId="0" borderId="14" xfId="5" applyNumberFormat="1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/>
    <xf numFmtId="1" fontId="12" fillId="0" borderId="16" xfId="0" applyNumberFormat="1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left" vertical="top" wrapText="1"/>
    </xf>
    <xf numFmtId="1" fontId="4" fillId="4" borderId="4" xfId="0" applyNumberFormat="1" applyFont="1" applyFill="1" applyBorder="1" applyAlignment="1">
      <alignment horizontal="center" vertical="center"/>
    </xf>
    <xf numFmtId="0" fontId="5" fillId="0" borderId="1" xfId="0" quotePrefix="1" applyNumberFormat="1" applyFont="1" applyFill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4" fillId="0" borderId="5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left" vertical="center" wrapText="1"/>
    </xf>
    <xf numFmtId="0" fontId="15" fillId="0" borderId="1" xfId="0" applyNumberFormat="1" applyFont="1" applyFill="1" applyBorder="1" applyAlignment="1">
      <alignment horizontal="left" vertical="center" wrapText="1"/>
    </xf>
    <xf numFmtId="0" fontId="16" fillId="0" borderId="1" xfId="0" applyNumberFormat="1" applyFont="1" applyBorder="1" applyAlignment="1">
      <alignment horizontal="left" vertical="center" wrapText="1"/>
    </xf>
    <xf numFmtId="0" fontId="15" fillId="0" borderId="1" xfId="0" applyNumberFormat="1" applyFont="1" applyBorder="1" applyAlignment="1">
      <alignment vertical="center"/>
    </xf>
    <xf numFmtId="1" fontId="17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5" fillId="4" borderId="1" xfId="0" applyNumberFormat="1" applyFont="1" applyFill="1" applyBorder="1" applyAlignment="1">
      <alignment horizontal="left" vertical="center" wrapText="1"/>
    </xf>
    <xf numFmtId="1" fontId="15" fillId="0" borderId="1" xfId="0" applyNumberFormat="1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1" fontId="12" fillId="0" borderId="0" xfId="0" applyNumberFormat="1" applyFont="1" applyBorder="1" applyAlignment="1">
      <alignment vertical="top" wrapText="1"/>
    </xf>
    <xf numFmtId="0" fontId="3" fillId="0" borderId="0" xfId="1" applyFont="1" applyBorder="1" applyAlignment="1">
      <alignment horizontal="center" vertical="center"/>
    </xf>
    <xf numFmtId="166" fontId="3" fillId="5" borderId="0" xfId="6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3" fillId="0" borderId="0" xfId="1" applyFont="1" applyBorder="1" applyAlignment="1">
      <alignment vertical="center" wrapText="1"/>
    </xf>
    <xf numFmtId="0" fontId="4" fillId="0" borderId="0" xfId="2" applyFont="1" applyFill="1" applyBorder="1" applyAlignment="1">
      <alignment vertical="center"/>
    </xf>
    <xf numFmtId="0" fontId="4" fillId="0" borderId="0" xfId="2" applyFont="1" applyFill="1" applyBorder="1" applyAlignment="1">
      <alignment horizontal="center" vertical="center"/>
    </xf>
    <xf numFmtId="1" fontId="12" fillId="0" borderId="0" xfId="6" applyNumberFormat="1" applyFont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6" fontId="5" fillId="5" borderId="0" xfId="6" applyNumberFormat="1" applyFont="1" applyFill="1" applyBorder="1" applyAlignment="1">
      <alignment horizontal="center" vertical="center"/>
    </xf>
    <xf numFmtId="0" fontId="0" fillId="4" borderId="0" xfId="0" applyFill="1" applyBorder="1"/>
    <xf numFmtId="166" fontId="0" fillId="5" borderId="0" xfId="6" applyNumberFormat="1" applyFont="1" applyFill="1" applyBorder="1"/>
    <xf numFmtId="0" fontId="0" fillId="5" borderId="0" xfId="0" applyFill="1" applyBorder="1"/>
    <xf numFmtId="0" fontId="11" fillId="0" borderId="0" xfId="0" applyFont="1" applyFill="1" applyBorder="1" applyAlignment="1">
      <alignment horizontal="center" vertical="center"/>
    </xf>
    <xf numFmtId="1" fontId="4" fillId="0" borderId="0" xfId="2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0" borderId="0" xfId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15" fillId="0" borderId="1" xfId="0" applyNumberFormat="1" applyFont="1" applyBorder="1" applyAlignment="1">
      <alignment horizontal="center" vertical="center"/>
    </xf>
    <xf numFmtId="166" fontId="5" fillId="5" borderId="10" xfId="6" applyNumberFormat="1" applyFont="1" applyFill="1" applyBorder="1" applyAlignment="1">
      <alignment horizontal="center" vertical="center"/>
    </xf>
    <xf numFmtId="0" fontId="4" fillId="0" borderId="10" xfId="2" applyFont="1" applyFill="1" applyBorder="1" applyAlignment="1">
      <alignment vertical="center"/>
    </xf>
    <xf numFmtId="0" fontId="4" fillId="0" borderId="10" xfId="2" applyFont="1" applyFill="1" applyBorder="1" applyAlignment="1">
      <alignment horizontal="center" vertical="center"/>
    </xf>
    <xf numFmtId="1" fontId="12" fillId="0" borderId="10" xfId="0" applyNumberFormat="1" applyFont="1" applyBorder="1" applyAlignment="1">
      <alignment vertical="top" wrapText="1"/>
    </xf>
    <xf numFmtId="1" fontId="4" fillId="0" borderId="10" xfId="2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38" fillId="0" borderId="0" xfId="0" applyFont="1"/>
    <xf numFmtId="0" fontId="39" fillId="0" borderId="18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39" fillId="4" borderId="19" xfId="0" applyFont="1" applyFill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41" fillId="0" borderId="21" xfId="0" applyFont="1" applyBorder="1" applyAlignment="1">
      <alignment vertical="center" wrapText="1"/>
    </xf>
    <xf numFmtId="0" fontId="16" fillId="0" borderId="21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4" borderId="21" xfId="0" applyFont="1" applyFill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0" fillId="0" borderId="0" xfId="0" applyAlignment="1"/>
    <xf numFmtId="1" fontId="41" fillId="0" borderId="1" xfId="0" applyNumberFormat="1" applyFont="1" applyBorder="1" applyAlignment="1">
      <alignment horizontal="center" vertical="center" wrapText="1"/>
    </xf>
    <xf numFmtId="1" fontId="41" fillId="0" borderId="17" xfId="0" applyNumberFormat="1" applyFont="1" applyBorder="1" applyAlignment="1">
      <alignment horizontal="center" vertical="center" wrapText="1"/>
    </xf>
    <xf numFmtId="1" fontId="44" fillId="0" borderId="1" xfId="0" applyNumberFormat="1" applyFont="1" applyBorder="1" applyAlignment="1">
      <alignment horizontal="left" vertical="top" wrapText="1"/>
    </xf>
    <xf numFmtId="0" fontId="44" fillId="0" borderId="1" xfId="0" applyFont="1" applyBorder="1" applyAlignment="1">
      <alignment horizontal="left" vertical="top" wrapText="1"/>
    </xf>
    <xf numFmtId="167" fontId="44" fillId="0" borderId="1" xfId="6" applyNumberFormat="1" applyFont="1" applyBorder="1" applyAlignment="1">
      <alignment horizontal="left" vertical="top" wrapText="1"/>
    </xf>
    <xf numFmtId="0" fontId="4" fillId="5" borderId="4" xfId="3" applyFont="1" applyFill="1" applyBorder="1" applyAlignment="1">
      <alignment horizontal="center" vertical="center"/>
    </xf>
    <xf numFmtId="1" fontId="0" fillId="0" borderId="3" xfId="28" quotePrefix="1" applyNumberFormat="1" applyFont="1" applyFill="1" applyBorder="1" applyAlignment="1">
      <alignment horizontal="center" vertical="center"/>
    </xf>
    <xf numFmtId="165" fontId="0" fillId="0" borderId="1" xfId="28" quotePrefix="1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47" fillId="0" borderId="1" xfId="0" applyFont="1" applyBorder="1" applyAlignment="1">
      <alignment horizontal="left"/>
    </xf>
    <xf numFmtId="165" fontId="0" fillId="0" borderId="1" xfId="29" quotePrefix="1" applyNumberFormat="1" applyFont="1" applyFill="1" applyBorder="1" applyAlignment="1">
      <alignment horizontal="left" vertical="center"/>
    </xf>
    <xf numFmtId="0" fontId="47" fillId="0" borderId="1" xfId="28" quotePrefix="1" applyNumberFormat="1" applyFont="1" applyFill="1" applyBorder="1" applyAlignment="1">
      <alignment horizontal="left" vertical="center"/>
    </xf>
    <xf numFmtId="165" fontId="1" fillId="0" borderId="1" xfId="28" applyNumberFormat="1" applyFont="1" applyFill="1" applyBorder="1" applyAlignment="1">
      <alignment horizontal="left" vertical="center"/>
    </xf>
    <xf numFmtId="165" fontId="1" fillId="0" borderId="1" xfId="28" quotePrefix="1" applyNumberFormat="1" applyFont="1" applyFill="1" applyBorder="1" applyAlignment="1">
      <alignment horizontal="left" vertical="center"/>
    </xf>
    <xf numFmtId="165" fontId="0" fillId="0" borderId="1" xfId="28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4" borderId="3" xfId="28" quotePrefix="1" applyNumberFormat="1" applyFont="1" applyFill="1" applyBorder="1" applyAlignment="1">
      <alignment horizontal="center" vertical="center"/>
    </xf>
    <xf numFmtId="165" fontId="0" fillId="4" borderId="1" xfId="28" applyNumberFormat="1" applyFont="1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center" vertical="center"/>
    </xf>
    <xf numFmtId="1" fontId="47" fillId="0" borderId="1" xfId="28" applyNumberFormat="1" applyFont="1" applyFill="1" applyBorder="1" applyAlignment="1">
      <alignment horizontal="center" vertical="center"/>
    </xf>
    <xf numFmtId="0" fontId="0" fillId="0" borderId="1" xfId="28" quotePrefix="1" applyNumberFormat="1" applyFont="1" applyFill="1" applyBorder="1" applyAlignment="1">
      <alignment horizontal="left" vertical="center"/>
    </xf>
    <xf numFmtId="0" fontId="47" fillId="0" borderId="1" xfId="29" quotePrefix="1" applyNumberFormat="1" applyFont="1" applyFill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/>
    </xf>
    <xf numFmtId="168" fontId="19" fillId="0" borderId="1" xfId="0" applyNumberFormat="1" applyFont="1" applyBorder="1" applyAlignment="1">
      <alignment horizontal="left" vertical="center" wrapText="1"/>
    </xf>
    <xf numFmtId="165" fontId="1" fillId="0" borderId="6" xfId="28" quotePrefix="1" applyNumberFormat="1" applyFont="1" applyFill="1" applyBorder="1" applyAlignment="1">
      <alignment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47" fillId="0" borderId="6" xfId="28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29" applyNumberFormat="1" applyFont="1" applyFill="1" applyBorder="1" applyAlignment="1">
      <alignment horizontal="left" vertical="center"/>
    </xf>
    <xf numFmtId="1" fontId="0" fillId="0" borderId="4" xfId="28" quotePrefix="1" applyNumberFormat="1" applyFont="1" applyFill="1" applyBorder="1" applyAlignment="1">
      <alignment horizontal="center" vertical="center"/>
    </xf>
    <xf numFmtId="1" fontId="1" fillId="0" borderId="4" xfId="28" quotePrefix="1" applyNumberFormat="1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7" fillId="0" borderId="4" xfId="28" quotePrefix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" fillId="4" borderId="4" xfId="28" quotePrefix="1" applyNumberFormat="1" applyFont="1" applyFill="1" applyBorder="1" applyAlignment="1">
      <alignment horizontal="center" vertical="center"/>
    </xf>
    <xf numFmtId="0" fontId="1" fillId="0" borderId="4" xfId="28" quotePrefix="1" applyNumberFormat="1" applyFont="1" applyFill="1" applyBorder="1" applyAlignment="1">
      <alignment horizontal="center" vertical="center"/>
    </xf>
    <xf numFmtId="0" fontId="0" fillId="0" borderId="4" xfId="28" quotePrefix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" fontId="0" fillId="0" borderId="7" xfId="28" quotePrefix="1" applyNumberFormat="1" applyFont="1" applyFill="1" applyBorder="1" applyAlignment="1">
      <alignment horizontal="center" vertical="center"/>
    </xf>
    <xf numFmtId="1" fontId="1" fillId="0" borderId="4" xfId="29" quotePrefix="1" applyNumberFormat="1" applyFont="1" applyFill="1" applyBorder="1" applyAlignment="1">
      <alignment horizontal="center" vertical="center"/>
    </xf>
    <xf numFmtId="0" fontId="47" fillId="0" borderId="4" xfId="29" quotePrefix="1" applyNumberFormat="1" applyFont="1" applyFill="1" applyBorder="1" applyAlignment="1">
      <alignment horizontal="center" vertical="center"/>
    </xf>
    <xf numFmtId="1" fontId="44" fillId="0" borderId="24" xfId="0" applyNumberFormat="1" applyFont="1" applyBorder="1" applyAlignment="1">
      <alignment horizontal="left" vertical="top" wrapText="1"/>
    </xf>
    <xf numFmtId="0" fontId="0" fillId="0" borderId="4" xfId="29" quotePrefix="1" applyNumberFormat="1" applyFont="1" applyFill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 wrapText="1"/>
    </xf>
    <xf numFmtId="0" fontId="25" fillId="7" borderId="21" xfId="0" applyFont="1" applyFill="1" applyBorder="1" applyAlignment="1">
      <alignment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vertical="center" wrapText="1"/>
    </xf>
    <xf numFmtId="1" fontId="21" fillId="0" borderId="24" xfId="0" applyNumberFormat="1" applyFont="1" applyBorder="1" applyAlignment="1">
      <alignment horizontal="left" vertical="top" wrapText="1"/>
    </xf>
    <xf numFmtId="0" fontId="44" fillId="0" borderId="24" xfId="0" applyFont="1" applyBorder="1" applyAlignment="1">
      <alignment horizontal="left" vertical="top" wrapText="1"/>
    </xf>
    <xf numFmtId="1" fontId="17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" fontId="15" fillId="0" borderId="24" xfId="0" applyNumberFormat="1" applyFont="1" applyBorder="1" applyAlignment="1">
      <alignment horizontal="center" vertical="center"/>
    </xf>
    <xf numFmtId="0" fontId="44" fillId="0" borderId="24" xfId="0" applyFont="1" applyBorder="1" applyAlignment="1">
      <alignment horizontal="left" vertical="top" wrapText="1"/>
    </xf>
    <xf numFmtId="0" fontId="44" fillId="0" borderId="24" xfId="0" applyFont="1" applyBorder="1" applyAlignment="1">
      <alignment horizontal="left" vertical="top" wrapText="1"/>
    </xf>
    <xf numFmtId="0" fontId="38" fillId="0" borderId="0" xfId="0" applyFont="1" applyAlignment="1">
      <alignment vertical="center" wrapText="1"/>
    </xf>
    <xf numFmtId="0" fontId="49" fillId="4" borderId="24" xfId="0" applyFont="1" applyFill="1" applyBorder="1" applyAlignment="1">
      <alignment horizontal="center" wrapText="1"/>
    </xf>
    <xf numFmtId="0" fontId="49" fillId="4" borderId="25" xfId="0" applyFont="1" applyFill="1" applyBorder="1" applyAlignment="1">
      <alignment horizontal="center" wrapText="1"/>
    </xf>
    <xf numFmtId="0" fontId="19" fillId="7" borderId="17" xfId="0" applyFont="1" applyFill="1" applyBorder="1" applyAlignment="1">
      <alignment horizontal="center" wrapText="1"/>
    </xf>
    <xf numFmtId="0" fontId="50" fillId="7" borderId="21" xfId="0" applyFont="1" applyFill="1" applyBorder="1" applyAlignment="1">
      <alignment horizontal="center" wrapText="1"/>
    </xf>
    <xf numFmtId="0" fontId="19" fillId="8" borderId="21" xfId="0" applyFont="1" applyFill="1" applyBorder="1" applyAlignment="1">
      <alignment horizontal="center" vertical="center" wrapText="1"/>
    </xf>
    <xf numFmtId="0" fontId="19" fillId="8" borderId="0" xfId="0" applyFont="1" applyFill="1" applyBorder="1" applyAlignment="1">
      <alignment horizontal="center" vertical="center" wrapText="1"/>
    </xf>
    <xf numFmtId="0" fontId="51" fillId="0" borderId="0" xfId="0" applyFont="1"/>
    <xf numFmtId="0" fontId="44" fillId="0" borderId="24" xfId="0" applyFont="1" applyBorder="1" applyAlignment="1">
      <alignment horizontal="left" vertical="top" wrapText="1"/>
    </xf>
    <xf numFmtId="0" fontId="0" fillId="7" borderId="0" xfId="0" applyFill="1"/>
    <xf numFmtId="0" fontId="52" fillId="7" borderId="9" xfId="0" applyFont="1" applyFill="1" applyBorder="1" applyAlignment="1">
      <alignment vertical="center"/>
    </xf>
    <xf numFmtId="0" fontId="52" fillId="7" borderId="27" xfId="0" applyFont="1" applyFill="1" applyBorder="1" applyAlignment="1">
      <alignment vertical="center"/>
    </xf>
    <xf numFmtId="0" fontId="53" fillId="0" borderId="0" xfId="0" applyFont="1" applyAlignment="1">
      <alignment vertical="center" wrapText="1"/>
    </xf>
    <xf numFmtId="0" fontId="41" fillId="4" borderId="9" xfId="0" applyFont="1" applyFill="1" applyBorder="1" applyAlignment="1">
      <alignment horizontal="center" vertical="center" wrapText="1"/>
    </xf>
    <xf numFmtId="0" fontId="41" fillId="4" borderId="25" xfId="0" applyFont="1" applyFill="1" applyBorder="1" applyAlignment="1">
      <alignment vertical="center" wrapText="1"/>
    </xf>
    <xf numFmtId="0" fontId="19" fillId="7" borderId="27" xfId="0" applyFont="1" applyFill="1" applyBorder="1" applyAlignment="1">
      <alignment horizontal="center" vertical="center"/>
    </xf>
    <xf numFmtId="0" fontId="41" fillId="7" borderId="9" xfId="0" applyFont="1" applyFill="1" applyBorder="1" applyAlignment="1">
      <alignment horizontal="center" vertical="center"/>
    </xf>
    <xf numFmtId="0" fontId="41" fillId="7" borderId="4" xfId="0" applyFont="1" applyFill="1" applyBorder="1" applyAlignment="1">
      <alignment horizontal="center" vertical="center" wrapText="1"/>
    </xf>
    <xf numFmtId="0" fontId="40" fillId="7" borderId="25" xfId="0" applyFont="1" applyFill="1" applyBorder="1" applyAlignment="1">
      <alignment horizontal="center" vertical="center" wrapText="1"/>
    </xf>
    <xf numFmtId="0" fontId="41" fillId="7" borderId="25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54" fillId="7" borderId="0" xfId="0" applyFont="1" applyFill="1" applyAlignment="1">
      <alignment horizontal="right" vertical="top" wrapText="1"/>
    </xf>
    <xf numFmtId="0" fontId="54" fillId="7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1" fontId="55" fillId="0" borderId="24" xfId="0" applyNumberFormat="1" applyFont="1" applyBorder="1" applyAlignment="1">
      <alignment horizontal="left" vertical="top" wrapText="1"/>
    </xf>
    <xf numFmtId="0" fontId="55" fillId="0" borderId="24" xfId="0" applyFont="1" applyBorder="1" applyAlignment="1">
      <alignment horizontal="left" vertical="top" wrapText="1"/>
    </xf>
    <xf numFmtId="169" fontId="55" fillId="0" borderId="24" xfId="0" applyNumberFormat="1" applyFont="1" applyBorder="1" applyAlignment="1">
      <alignment horizontal="left" vertical="top" wrapText="1"/>
    </xf>
    <xf numFmtId="165" fontId="55" fillId="0" borderId="24" xfId="0" applyNumberFormat="1" applyFont="1" applyBorder="1" applyAlignment="1">
      <alignment horizontal="left" vertical="top" wrapText="1"/>
    </xf>
    <xf numFmtId="170" fontId="55" fillId="0" borderId="24" xfId="0" applyNumberFormat="1" applyFont="1" applyBorder="1" applyAlignment="1">
      <alignment horizontal="left" vertical="top" wrapText="1"/>
    </xf>
    <xf numFmtId="1" fontId="56" fillId="0" borderId="24" xfId="0" applyNumberFormat="1" applyFont="1" applyBorder="1" applyAlignment="1">
      <alignment horizontal="left" vertical="top" wrapText="1"/>
    </xf>
    <xf numFmtId="0" fontId="56" fillId="0" borderId="24" xfId="0" applyFont="1" applyBorder="1" applyAlignment="1">
      <alignment horizontal="left" vertical="top" wrapText="1"/>
    </xf>
    <xf numFmtId="169" fontId="56" fillId="0" borderId="24" xfId="0" applyNumberFormat="1" applyFont="1" applyBorder="1" applyAlignment="1">
      <alignment horizontal="left" vertical="top" wrapText="1"/>
    </xf>
    <xf numFmtId="165" fontId="56" fillId="0" borderId="24" xfId="0" applyNumberFormat="1" applyFont="1" applyBorder="1" applyAlignment="1">
      <alignment horizontal="left" vertical="top" wrapText="1"/>
    </xf>
    <xf numFmtId="170" fontId="56" fillId="0" borderId="24" xfId="0" applyNumberFormat="1" applyFont="1" applyBorder="1" applyAlignment="1">
      <alignment horizontal="left" vertical="top" wrapText="1"/>
    </xf>
    <xf numFmtId="0" fontId="56" fillId="0" borderId="24" xfId="0" applyFont="1" applyBorder="1" applyAlignment="1">
      <alignment horizontal="left" vertical="top" wrapText="1"/>
    </xf>
    <xf numFmtId="167" fontId="56" fillId="0" borderId="24" xfId="6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1" fontId="21" fillId="0" borderId="0" xfId="0" applyNumberFormat="1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167" fontId="21" fillId="0" borderId="0" xfId="6" applyNumberFormat="1" applyFont="1" applyBorder="1" applyAlignment="1">
      <alignment horizontal="left" vertical="top" wrapText="1"/>
    </xf>
    <xf numFmtId="1" fontId="0" fillId="9" borderId="7" xfId="28" quotePrefix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right" vertical="top" wrapText="1"/>
    </xf>
    <xf numFmtId="0" fontId="21" fillId="0" borderId="0" xfId="0" applyFont="1" applyAlignment="1">
      <alignment vertical="top" wrapText="1"/>
    </xf>
    <xf numFmtId="0" fontId="19" fillId="0" borderId="0" xfId="0" applyFont="1" applyAlignment="1">
      <alignment horizontal="right" wrapText="1"/>
    </xf>
    <xf numFmtId="0" fontId="44" fillId="0" borderId="26" xfId="0" applyFont="1" applyBorder="1" applyAlignment="1">
      <alignment horizontal="left" vertical="top" wrapText="1"/>
    </xf>
    <xf numFmtId="0" fontId="44" fillId="0" borderId="25" xfId="0" applyFont="1" applyBorder="1" applyAlignment="1">
      <alignment horizontal="left" vertical="top" wrapText="1"/>
    </xf>
    <xf numFmtId="0" fontId="21" fillId="0" borderId="24" xfId="0" applyFont="1" applyBorder="1" applyAlignment="1">
      <alignment horizontal="left" vertical="top" wrapText="1"/>
    </xf>
    <xf numFmtId="0" fontId="44" fillId="0" borderId="24" xfId="0" applyFont="1" applyBorder="1" applyAlignment="1">
      <alignment horizontal="left" vertical="top" wrapText="1"/>
    </xf>
    <xf numFmtId="0" fontId="44" fillId="0" borderId="1" xfId="0" applyFont="1" applyBorder="1" applyAlignment="1">
      <alignment horizontal="left" vertical="top" wrapText="1"/>
    </xf>
    <xf numFmtId="0" fontId="56" fillId="0" borderId="24" xfId="0" applyFont="1" applyBorder="1" applyAlignment="1">
      <alignment horizontal="left" vertical="top" wrapText="1"/>
    </xf>
    <xf numFmtId="0" fontId="38" fillId="0" borderId="0" xfId="0" applyFont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2" fillId="7" borderId="0" xfId="0" applyFont="1" applyFill="1" applyAlignment="1">
      <alignment vertical="top" wrapText="1"/>
    </xf>
    <xf numFmtId="0" fontId="55" fillId="0" borderId="24" xfId="0" applyFont="1" applyBorder="1" applyAlignment="1">
      <alignment horizontal="left" vertical="top" wrapText="1"/>
    </xf>
    <xf numFmtId="1" fontId="56" fillId="0" borderId="24" xfId="7" applyNumberFormat="1" applyFont="1" applyBorder="1" applyAlignment="1">
      <alignment horizontal="left" vertical="top" wrapText="1"/>
    </xf>
    <xf numFmtId="1" fontId="56" fillId="0" borderId="24" xfId="7" applyNumberFormat="1" applyFont="1" applyBorder="1" applyAlignment="1">
      <alignment horizontal="left" vertical="top" wrapText="1"/>
    </xf>
    <xf numFmtId="1" fontId="56" fillId="0" borderId="24" xfId="7" applyNumberFormat="1" applyFont="1" applyBorder="1" applyAlignment="1">
      <alignment horizontal="left" vertical="top" wrapText="1"/>
    </xf>
  </cellXfs>
  <cellStyles count="30">
    <cellStyle name="Comma" xfId="6" builtinId="3"/>
    <cellStyle name="Hyperlink" xfId="4" builtinId="8"/>
    <cellStyle name="Normal" xfId="0" builtinId="0"/>
    <cellStyle name="Normal 10" xfId="12" xr:uid="{4C6EB24D-3442-4A6E-938C-ABEEDDC7402A}"/>
    <cellStyle name="Normal 11" xfId="13" xr:uid="{33DC6BAD-2900-40E8-934D-EF50D2B03901}"/>
    <cellStyle name="Normal 12" xfId="14" xr:uid="{49276119-5C64-4676-8869-ADC6003ACA26}"/>
    <cellStyle name="Normal 13" xfId="15" xr:uid="{61D37890-2F1D-457C-8590-9FB80E44A8EA}"/>
    <cellStyle name="Normal 14" xfId="16" xr:uid="{B7F04E5C-00CA-4191-84C7-F7653C733FF5}"/>
    <cellStyle name="Normal 15" xfId="17" xr:uid="{98D63BDE-8B98-4510-A038-8475E0C1D355}"/>
    <cellStyle name="Normal 16" xfId="18" xr:uid="{78A19CA6-B1C9-4B76-8C7E-EE0F60BA5DA1}"/>
    <cellStyle name="Normal 17" xfId="19" xr:uid="{A1CB3D56-F6B2-49A8-84BA-A4B03192C8B9}"/>
    <cellStyle name="Normal 18" xfId="20" xr:uid="{879F19B8-2D83-440A-8BE6-173E1FCE5400}"/>
    <cellStyle name="Normal 19" xfId="21" xr:uid="{1D4BBE65-9157-41FD-99C4-E11DBE78C758}"/>
    <cellStyle name="Normal 2" xfId="2" xr:uid="{00000000-0005-0000-0000-000003000000}"/>
    <cellStyle name="Normal 20" xfId="22" xr:uid="{A6B64928-E04F-4468-BD19-C1FE9EEC813B}"/>
    <cellStyle name="Normal 21" xfId="23" xr:uid="{13773AA0-293D-4883-90E4-7CAE9E6A6CA2}"/>
    <cellStyle name="Normal 22" xfId="24" xr:uid="{97470FC3-18CC-4CDD-97BB-2C881C9DAC95}"/>
    <cellStyle name="Normal 23" xfId="25" xr:uid="{157AEEFE-0A17-400E-8B32-65AB8CA3DA75}"/>
    <cellStyle name="Normal 24" xfId="26" xr:uid="{368B8A95-5372-4AEE-9012-E2C89C1BE9DE}"/>
    <cellStyle name="Normal 25" xfId="27" xr:uid="{D2EE3CAC-24CD-4D72-99A2-FD7C7DB5EB9E}"/>
    <cellStyle name="Normal 3" xfId="3" xr:uid="{00000000-0005-0000-0000-000004000000}"/>
    <cellStyle name="Normal 4" xfId="5" xr:uid="{00000000-0005-0000-0000-000005000000}"/>
    <cellStyle name="Normal 5" xfId="7" xr:uid="{A9899905-732E-42A7-9E1E-5D15D1524DD4}"/>
    <cellStyle name="Normal 6" xfId="8" xr:uid="{36B16E3F-C6F2-4972-B645-367F0C758E94}"/>
    <cellStyle name="Normal 7" xfId="9" xr:uid="{58E77203-EB57-4ACB-A3EF-983DE61C793A}"/>
    <cellStyle name="Normal 8" xfId="10" xr:uid="{3194CD9E-87FE-4C6F-8D19-0294041F4333}"/>
    <cellStyle name="Normal 9" xfId="11" xr:uid="{4B91A6EF-E4C8-433A-9258-2A9ABD1A8CDD}"/>
    <cellStyle name="Normal_ORD03-modified 20.01.2004_BEl order sheets" xfId="1" xr:uid="{00000000-0005-0000-0000-000006000000}"/>
    <cellStyle name="SAPBEXstdItem" xfId="28" xr:uid="{4F707444-C851-4F90-A0CD-FC11E15C26BA}"/>
    <cellStyle name="SAPBEXstdItem 3" xfId="29" xr:uid="{DA4BA793-2BD9-4327-985D-22014B484C2E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.mehta/Desktop/Tejal%20Order%20forms/Lulu%20Order%20Form%20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el%20Consolidated%20Order%20Form%202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lu"/>
      <sheetName val="Sheet2"/>
    </sheetNames>
    <sheetDataSet>
      <sheetData sheetId="0">
        <row r="1">
          <cell r="E1" t="str">
            <v>KR CODE</v>
          </cell>
          <cell r="F1" t="str">
            <v>LULU CODE</v>
          </cell>
        </row>
        <row r="2">
          <cell r="E2">
            <v>152859</v>
          </cell>
          <cell r="F2">
            <v>100565</v>
          </cell>
        </row>
        <row r="3">
          <cell r="E3">
            <v>94576</v>
          </cell>
          <cell r="F3">
            <v>100567</v>
          </cell>
        </row>
        <row r="4">
          <cell r="E4">
            <v>94581</v>
          </cell>
          <cell r="F4">
            <v>71252</v>
          </cell>
        </row>
        <row r="5">
          <cell r="E5">
            <v>94590</v>
          </cell>
          <cell r="F5">
            <v>347068</v>
          </cell>
        </row>
        <row r="6">
          <cell r="E6">
            <v>177009</v>
          </cell>
          <cell r="F6">
            <v>983035</v>
          </cell>
        </row>
        <row r="7">
          <cell r="E7">
            <v>114599</v>
          </cell>
          <cell r="F7">
            <v>655536</v>
          </cell>
        </row>
        <row r="8">
          <cell r="E8">
            <v>114598</v>
          </cell>
          <cell r="F8">
            <v>655534</v>
          </cell>
        </row>
        <row r="9">
          <cell r="E9">
            <v>114600</v>
          </cell>
          <cell r="F9">
            <v>655535</v>
          </cell>
        </row>
        <row r="10">
          <cell r="E10">
            <v>122516</v>
          </cell>
          <cell r="F10">
            <v>657347</v>
          </cell>
        </row>
        <row r="11">
          <cell r="E11"/>
          <cell r="F11">
            <v>1214623</v>
          </cell>
        </row>
        <row r="12">
          <cell r="E12">
            <v>293087</v>
          </cell>
          <cell r="F12">
            <v>575539</v>
          </cell>
        </row>
        <row r="13">
          <cell r="E13">
            <v>293088</v>
          </cell>
          <cell r="F13">
            <v>575538</v>
          </cell>
        </row>
        <row r="14">
          <cell r="E14">
            <v>293293</v>
          </cell>
          <cell r="F14">
            <v>1646509</v>
          </cell>
        </row>
        <row r="15">
          <cell r="E15">
            <v>313207</v>
          </cell>
          <cell r="F15">
            <v>1676485</v>
          </cell>
        </row>
        <row r="16">
          <cell r="E16">
            <v>293294</v>
          </cell>
          <cell r="F16">
            <v>586001</v>
          </cell>
        </row>
        <row r="17">
          <cell r="E17">
            <v>293732</v>
          </cell>
          <cell r="F17">
            <v>1657510</v>
          </cell>
        </row>
        <row r="18">
          <cell r="E18">
            <v>94595</v>
          </cell>
          <cell r="F18">
            <v>257160</v>
          </cell>
        </row>
        <row r="19">
          <cell r="E19">
            <v>155145</v>
          </cell>
          <cell r="F19">
            <v>590615</v>
          </cell>
        </row>
        <row r="20">
          <cell r="E20">
            <v>94589</v>
          </cell>
          <cell r="F20">
            <v>401846</v>
          </cell>
        </row>
        <row r="21">
          <cell r="E21">
            <v>252498</v>
          </cell>
          <cell r="F21">
            <v>537522</v>
          </cell>
        </row>
        <row r="22">
          <cell r="E22">
            <v>152860</v>
          </cell>
          <cell r="F22">
            <v>8310</v>
          </cell>
        </row>
        <row r="23">
          <cell r="E23">
            <v>94649</v>
          </cell>
          <cell r="F23">
            <v>302650</v>
          </cell>
        </row>
        <row r="24">
          <cell r="E24">
            <v>133208</v>
          </cell>
          <cell r="F24">
            <v>976946</v>
          </cell>
        </row>
        <row r="25">
          <cell r="E25">
            <v>202753</v>
          </cell>
          <cell r="F25">
            <v>1081171</v>
          </cell>
        </row>
        <row r="26">
          <cell r="E26">
            <v>155146</v>
          </cell>
          <cell r="F26">
            <v>410607</v>
          </cell>
        </row>
        <row r="27">
          <cell r="E27">
            <v>94654</v>
          </cell>
          <cell r="F27">
            <v>401780</v>
          </cell>
        </row>
        <row r="28">
          <cell r="E28">
            <v>155147</v>
          </cell>
          <cell r="F28">
            <v>8209</v>
          </cell>
        </row>
        <row r="29">
          <cell r="E29">
            <v>94659</v>
          </cell>
          <cell r="F29">
            <v>8214</v>
          </cell>
        </row>
        <row r="30">
          <cell r="E30">
            <v>94661</v>
          </cell>
          <cell r="F30">
            <v>8216</v>
          </cell>
        </row>
        <row r="31">
          <cell r="E31">
            <v>94664</v>
          </cell>
          <cell r="F31">
            <v>8218</v>
          </cell>
        </row>
        <row r="32">
          <cell r="E32">
            <v>268317</v>
          </cell>
          <cell r="F32">
            <v>981192</v>
          </cell>
        </row>
        <row r="33">
          <cell r="E33">
            <v>94656</v>
          </cell>
          <cell r="F33">
            <v>8211</v>
          </cell>
        </row>
        <row r="34">
          <cell r="E34">
            <v>194963</v>
          </cell>
          <cell r="F34">
            <v>8316</v>
          </cell>
        </row>
        <row r="35">
          <cell r="E35">
            <v>309827</v>
          </cell>
          <cell r="F35">
            <v>763478</v>
          </cell>
        </row>
        <row r="36">
          <cell r="E36">
            <v>125019</v>
          </cell>
          <cell r="F36">
            <v>504157</v>
          </cell>
        </row>
        <row r="37">
          <cell r="E37">
            <v>94674</v>
          </cell>
          <cell r="F37">
            <v>572786</v>
          </cell>
        </row>
        <row r="38">
          <cell r="E38">
            <v>94671</v>
          </cell>
          <cell r="F38">
            <v>574190</v>
          </cell>
        </row>
        <row r="39">
          <cell r="E39">
            <v>94698</v>
          </cell>
          <cell r="F39">
            <v>572784</v>
          </cell>
        </row>
        <row r="40">
          <cell r="E40">
            <v>94693</v>
          </cell>
          <cell r="F40">
            <v>574119</v>
          </cell>
        </row>
        <row r="41">
          <cell r="E41">
            <v>318173</v>
          </cell>
          <cell r="F41">
            <v>653820</v>
          </cell>
        </row>
        <row r="42">
          <cell r="E42">
            <v>94672</v>
          </cell>
          <cell r="F42">
            <v>572788</v>
          </cell>
        </row>
        <row r="43">
          <cell r="E43">
            <v>94667</v>
          </cell>
          <cell r="F43">
            <v>197536</v>
          </cell>
        </row>
        <row r="44">
          <cell r="E44">
            <v>182808</v>
          </cell>
          <cell r="F44">
            <v>8219</v>
          </cell>
        </row>
        <row r="45">
          <cell r="E45">
            <v>182809</v>
          </cell>
          <cell r="F45">
            <v>8226</v>
          </cell>
        </row>
        <row r="46">
          <cell r="E46">
            <v>94714</v>
          </cell>
          <cell r="F46">
            <v>8229</v>
          </cell>
        </row>
        <row r="47">
          <cell r="E47">
            <v>194957</v>
          </cell>
          <cell r="F47">
            <v>338612</v>
          </cell>
        </row>
        <row r="48">
          <cell r="E48">
            <v>308347</v>
          </cell>
          <cell r="F48">
            <v>1679247</v>
          </cell>
        </row>
        <row r="49">
          <cell r="E49">
            <v>213406</v>
          </cell>
          <cell r="F49">
            <v>1050330</v>
          </cell>
        </row>
        <row r="50">
          <cell r="E50">
            <v>312609</v>
          </cell>
          <cell r="F50">
            <v>1735232</v>
          </cell>
        </row>
        <row r="51">
          <cell r="E51">
            <v>312610</v>
          </cell>
          <cell r="F51">
            <v>1735233</v>
          </cell>
        </row>
        <row r="52">
          <cell r="E52">
            <v>312611</v>
          </cell>
          <cell r="F52">
            <v>1735235</v>
          </cell>
        </row>
        <row r="53">
          <cell r="E53">
            <v>312612</v>
          </cell>
          <cell r="F53">
            <v>1735236</v>
          </cell>
        </row>
        <row r="54">
          <cell r="E54">
            <v>215668</v>
          </cell>
          <cell r="F54">
            <v>619306</v>
          </cell>
        </row>
        <row r="55">
          <cell r="E55">
            <v>293035</v>
          </cell>
          <cell r="F55">
            <v>1084707</v>
          </cell>
        </row>
        <row r="56">
          <cell r="E56">
            <v>208761</v>
          </cell>
          <cell r="F56">
            <v>1084878</v>
          </cell>
        </row>
        <row r="57">
          <cell r="E57">
            <v>293032</v>
          </cell>
          <cell r="F57">
            <v>923774</v>
          </cell>
        </row>
        <row r="58">
          <cell r="E58">
            <v>293033</v>
          </cell>
          <cell r="F58">
            <v>1086171</v>
          </cell>
        </row>
        <row r="59">
          <cell r="E59">
            <v>194958</v>
          </cell>
          <cell r="F59">
            <v>366219</v>
          </cell>
        </row>
        <row r="60">
          <cell r="E60">
            <v>293030</v>
          </cell>
          <cell r="F60">
            <v>758705</v>
          </cell>
        </row>
        <row r="61">
          <cell r="E61">
            <v>293031</v>
          </cell>
          <cell r="F61">
            <v>1084708</v>
          </cell>
        </row>
        <row r="62">
          <cell r="E62">
            <v>233270</v>
          </cell>
          <cell r="F62">
            <v>894053</v>
          </cell>
        </row>
        <row r="63">
          <cell r="E63">
            <v>233271</v>
          </cell>
          <cell r="F63">
            <v>1255462</v>
          </cell>
        </row>
        <row r="64">
          <cell r="E64">
            <v>94715</v>
          </cell>
          <cell r="F64">
            <v>342734</v>
          </cell>
        </row>
        <row r="65">
          <cell r="E65">
            <v>195621</v>
          </cell>
          <cell r="F65">
            <v>238019</v>
          </cell>
        </row>
        <row r="66">
          <cell r="E66">
            <v>94703</v>
          </cell>
          <cell r="F66">
            <v>946783</v>
          </cell>
        </row>
        <row r="67">
          <cell r="E67">
            <v>195536</v>
          </cell>
          <cell r="F67">
            <v>765692</v>
          </cell>
        </row>
        <row r="68">
          <cell r="E68">
            <v>195540</v>
          </cell>
          <cell r="F68">
            <v>989753</v>
          </cell>
        </row>
        <row r="69">
          <cell r="E69">
            <v>214355</v>
          </cell>
          <cell r="F69">
            <v>8312</v>
          </cell>
        </row>
        <row r="70">
          <cell r="E70">
            <v>94734</v>
          </cell>
          <cell r="F70">
            <v>557366</v>
          </cell>
        </row>
        <row r="71">
          <cell r="E71">
            <v>94733</v>
          </cell>
          <cell r="F71">
            <v>557367</v>
          </cell>
        </row>
        <row r="72">
          <cell r="E72">
            <v>94730</v>
          </cell>
          <cell r="F72">
            <v>500315</v>
          </cell>
        </row>
        <row r="73">
          <cell r="E73">
            <v>351970</v>
          </cell>
          <cell r="F73">
            <v>24592</v>
          </cell>
        </row>
        <row r="74">
          <cell r="E74">
            <v>351378</v>
          </cell>
          <cell r="F74">
            <v>24593</v>
          </cell>
        </row>
        <row r="75">
          <cell r="E75">
            <v>351379</v>
          </cell>
          <cell r="F75">
            <v>789317</v>
          </cell>
        </row>
        <row r="76">
          <cell r="E76">
            <v>351380</v>
          </cell>
          <cell r="F76">
            <v>351380</v>
          </cell>
        </row>
        <row r="77">
          <cell r="E77">
            <v>351380</v>
          </cell>
          <cell r="F77">
            <v>866372</v>
          </cell>
        </row>
        <row r="78">
          <cell r="E78">
            <v>194501</v>
          </cell>
          <cell r="F78">
            <v>1054710</v>
          </cell>
        </row>
        <row r="79">
          <cell r="E79">
            <v>352470</v>
          </cell>
          <cell r="F79">
            <v>1895790</v>
          </cell>
        </row>
        <row r="80">
          <cell r="E80">
            <v>234076</v>
          </cell>
          <cell r="F80">
            <v>1312522</v>
          </cell>
        </row>
        <row r="81">
          <cell r="E81">
            <v>271359</v>
          </cell>
          <cell r="F81">
            <v>1551232</v>
          </cell>
        </row>
        <row r="82">
          <cell r="E82">
            <v>271358</v>
          </cell>
          <cell r="F82">
            <v>1551231</v>
          </cell>
        </row>
        <row r="83">
          <cell r="E83">
            <v>309760</v>
          </cell>
          <cell r="F83">
            <v>1708562</v>
          </cell>
        </row>
        <row r="84">
          <cell r="E84">
            <v>309771</v>
          </cell>
          <cell r="F84">
            <v>1708563</v>
          </cell>
        </row>
        <row r="85">
          <cell r="E85">
            <v>351374</v>
          </cell>
          <cell r="F85">
            <v>2032859</v>
          </cell>
        </row>
        <row r="86">
          <cell r="E86">
            <v>138937</v>
          </cell>
          <cell r="F86">
            <v>529679</v>
          </cell>
        </row>
        <row r="87">
          <cell r="E87">
            <v>138938</v>
          </cell>
          <cell r="F87">
            <v>529678</v>
          </cell>
        </row>
        <row r="88">
          <cell r="E88">
            <v>138939</v>
          </cell>
          <cell r="F88">
            <v>678429</v>
          </cell>
        </row>
        <row r="89">
          <cell r="E89">
            <v>138940</v>
          </cell>
          <cell r="F89">
            <v>678428</v>
          </cell>
        </row>
        <row r="90">
          <cell r="E90">
            <v>138942</v>
          </cell>
          <cell r="F90">
            <v>723325</v>
          </cell>
        </row>
        <row r="91">
          <cell r="E91">
            <v>252583</v>
          </cell>
          <cell r="F91">
            <v>1467352</v>
          </cell>
        </row>
        <row r="92">
          <cell r="E92">
            <v>252584</v>
          </cell>
          <cell r="F92">
            <v>1467355</v>
          </cell>
        </row>
        <row r="93">
          <cell r="E93">
            <v>308535</v>
          </cell>
          <cell r="F93">
            <v>1708550</v>
          </cell>
        </row>
        <row r="94">
          <cell r="E94">
            <v>308536</v>
          </cell>
          <cell r="F94">
            <v>1708561</v>
          </cell>
        </row>
        <row r="95">
          <cell r="E95">
            <v>183930</v>
          </cell>
          <cell r="F95">
            <v>1014687</v>
          </cell>
        </row>
        <row r="96">
          <cell r="E96">
            <v>184051</v>
          </cell>
          <cell r="F96">
            <v>1014688</v>
          </cell>
        </row>
        <row r="97">
          <cell r="E97">
            <v>138945</v>
          </cell>
          <cell r="F97">
            <v>678425</v>
          </cell>
        </row>
        <row r="98">
          <cell r="E98">
            <v>138946</v>
          </cell>
          <cell r="F98">
            <v>687680</v>
          </cell>
        </row>
        <row r="99">
          <cell r="E99">
            <v>138947</v>
          </cell>
          <cell r="F99">
            <v>678426</v>
          </cell>
        </row>
        <row r="100">
          <cell r="E100">
            <v>138948</v>
          </cell>
          <cell r="F100">
            <v>744430</v>
          </cell>
        </row>
        <row r="101">
          <cell r="E101">
            <v>138949</v>
          </cell>
          <cell r="F101">
            <v>744431</v>
          </cell>
        </row>
        <row r="102">
          <cell r="E102">
            <v>138950</v>
          </cell>
          <cell r="F102">
            <v>744432</v>
          </cell>
        </row>
        <row r="103">
          <cell r="E103">
            <v>157590</v>
          </cell>
          <cell r="F103">
            <v>905367</v>
          </cell>
        </row>
        <row r="104">
          <cell r="E104">
            <v>157591</v>
          </cell>
          <cell r="F104">
            <v>905364</v>
          </cell>
        </row>
        <row r="105">
          <cell r="E105">
            <v>176179</v>
          </cell>
          <cell r="F105">
            <v>978427</v>
          </cell>
        </row>
        <row r="106">
          <cell r="E106">
            <v>176180</v>
          </cell>
          <cell r="F106">
            <v>978428</v>
          </cell>
        </row>
        <row r="107">
          <cell r="E107">
            <v>138936</v>
          </cell>
          <cell r="F107">
            <v>899867</v>
          </cell>
        </row>
        <row r="108">
          <cell r="E108">
            <v>176176</v>
          </cell>
          <cell r="F108">
            <v>340239</v>
          </cell>
        </row>
        <row r="109">
          <cell r="E109">
            <v>351375</v>
          </cell>
          <cell r="F109">
            <v>1933443</v>
          </cell>
        </row>
        <row r="110">
          <cell r="E110">
            <v>351376</v>
          </cell>
          <cell r="F110">
            <v>1933441</v>
          </cell>
        </row>
        <row r="111">
          <cell r="E111">
            <v>351377</v>
          </cell>
          <cell r="F111">
            <v>1933445</v>
          </cell>
        </row>
        <row r="112">
          <cell r="E112">
            <v>353006</v>
          </cell>
          <cell r="F112">
            <v>1933448</v>
          </cell>
        </row>
        <row r="113">
          <cell r="E113">
            <v>353007</v>
          </cell>
          <cell r="F113">
            <v>1933451</v>
          </cell>
        </row>
        <row r="114">
          <cell r="E114">
            <v>229396</v>
          </cell>
          <cell r="F114">
            <v>24828</v>
          </cell>
        </row>
        <row r="115">
          <cell r="E115">
            <v>229395</v>
          </cell>
          <cell r="F115">
            <v>24826</v>
          </cell>
        </row>
        <row r="116">
          <cell r="E116">
            <v>229394</v>
          </cell>
          <cell r="F116">
            <v>31274</v>
          </cell>
        </row>
        <row r="117">
          <cell r="E117">
            <v>229397</v>
          </cell>
          <cell r="F117">
            <v>24824</v>
          </cell>
        </row>
        <row r="118">
          <cell r="E118">
            <v>269087</v>
          </cell>
          <cell r="F118">
            <v>1521988</v>
          </cell>
        </row>
        <row r="119">
          <cell r="E119">
            <v>269088</v>
          </cell>
          <cell r="F119">
            <v>1521984</v>
          </cell>
        </row>
        <row r="120">
          <cell r="E120">
            <v>269086</v>
          </cell>
          <cell r="F120">
            <v>1521995</v>
          </cell>
        </row>
        <row r="121">
          <cell r="E121">
            <v>176183</v>
          </cell>
          <cell r="F121">
            <v>895452</v>
          </cell>
        </row>
        <row r="122">
          <cell r="E122">
            <v>176184</v>
          </cell>
          <cell r="F122">
            <v>895419</v>
          </cell>
        </row>
        <row r="123">
          <cell r="E123"/>
          <cell r="F123"/>
        </row>
        <row r="124">
          <cell r="E124">
            <v>176185</v>
          </cell>
          <cell r="F124">
            <v>1011941</v>
          </cell>
        </row>
        <row r="125">
          <cell r="E125">
            <v>176186</v>
          </cell>
          <cell r="F125">
            <v>989033</v>
          </cell>
        </row>
        <row r="126">
          <cell r="E126">
            <v>176187</v>
          </cell>
          <cell r="F126">
            <v>1011572</v>
          </cell>
        </row>
        <row r="127">
          <cell r="E127">
            <v>234071</v>
          </cell>
          <cell r="F127">
            <v>895450</v>
          </cell>
        </row>
        <row r="128">
          <cell r="E128">
            <v>176194</v>
          </cell>
          <cell r="F128">
            <v>428880</v>
          </cell>
        </row>
        <row r="129">
          <cell r="E129">
            <v>176195</v>
          </cell>
          <cell r="F129">
            <v>428836</v>
          </cell>
        </row>
        <row r="130">
          <cell r="E130">
            <v>176196</v>
          </cell>
          <cell r="F130">
            <v>428837</v>
          </cell>
        </row>
        <row r="131">
          <cell r="E131">
            <v>176197</v>
          </cell>
          <cell r="F131">
            <v>682368</v>
          </cell>
        </row>
        <row r="132">
          <cell r="E132">
            <v>176188</v>
          </cell>
          <cell r="F132">
            <v>16305</v>
          </cell>
        </row>
        <row r="133">
          <cell r="E133">
            <v>176189</v>
          </cell>
          <cell r="F133">
            <v>16291</v>
          </cell>
        </row>
        <row r="134">
          <cell r="E134">
            <v>176190</v>
          </cell>
          <cell r="F134">
            <v>16304</v>
          </cell>
        </row>
        <row r="135">
          <cell r="E135">
            <v>176191</v>
          </cell>
          <cell r="F135">
            <v>87213</v>
          </cell>
        </row>
        <row r="136">
          <cell r="E136">
            <v>176198</v>
          </cell>
          <cell r="F136">
            <v>239507</v>
          </cell>
        </row>
        <row r="137">
          <cell r="E137">
            <v>176199</v>
          </cell>
          <cell r="F137">
            <v>78183</v>
          </cell>
        </row>
        <row r="138">
          <cell r="E138">
            <v>176200</v>
          </cell>
          <cell r="F138">
            <v>24799</v>
          </cell>
        </row>
        <row r="139">
          <cell r="E139">
            <v>176201</v>
          </cell>
          <cell r="F139">
            <v>24798</v>
          </cell>
        </row>
        <row r="140">
          <cell r="E140">
            <v>176204</v>
          </cell>
          <cell r="F140">
            <v>405148</v>
          </cell>
        </row>
        <row r="141">
          <cell r="E141">
            <v>176205</v>
          </cell>
          <cell r="F141">
            <v>512204</v>
          </cell>
        </row>
        <row r="142">
          <cell r="E142">
            <v>176206</v>
          </cell>
          <cell r="F142">
            <v>69869</v>
          </cell>
        </row>
        <row r="143">
          <cell r="E143">
            <v>176207</v>
          </cell>
          <cell r="F143">
            <v>69868</v>
          </cell>
        </row>
        <row r="144">
          <cell r="E144">
            <v>176208</v>
          </cell>
          <cell r="F144">
            <v>723058</v>
          </cell>
        </row>
        <row r="145">
          <cell r="E145">
            <v>176210</v>
          </cell>
          <cell r="F145">
            <v>69872</v>
          </cell>
        </row>
        <row r="146">
          <cell r="E146">
            <v>181553</v>
          </cell>
          <cell r="F146">
            <v>1014330</v>
          </cell>
        </row>
        <row r="147">
          <cell r="E147">
            <v>181554</v>
          </cell>
          <cell r="F147">
            <v>1014331</v>
          </cell>
        </row>
        <row r="148">
          <cell r="E148">
            <v>181555</v>
          </cell>
          <cell r="F148">
            <v>1014332</v>
          </cell>
        </row>
        <row r="149">
          <cell r="E149">
            <v>181556</v>
          </cell>
          <cell r="F149">
            <v>1014333</v>
          </cell>
        </row>
        <row r="150">
          <cell r="E150">
            <v>181557</v>
          </cell>
          <cell r="F150">
            <v>1014335</v>
          </cell>
        </row>
        <row r="151">
          <cell r="E151">
            <v>181558</v>
          </cell>
          <cell r="F151">
            <v>1014334</v>
          </cell>
        </row>
        <row r="152">
          <cell r="E152">
            <v>181559</v>
          </cell>
          <cell r="F152">
            <v>1014336</v>
          </cell>
        </row>
        <row r="153">
          <cell r="E153">
            <v>255467</v>
          </cell>
          <cell r="F153">
            <v>1313880</v>
          </cell>
        </row>
        <row r="154">
          <cell r="E154">
            <v>308066</v>
          </cell>
          <cell r="F154">
            <v>1708546</v>
          </cell>
        </row>
        <row r="155">
          <cell r="E155">
            <v>308067</v>
          </cell>
          <cell r="F155">
            <v>1708547</v>
          </cell>
        </row>
        <row r="156">
          <cell r="E156">
            <v>308068</v>
          </cell>
          <cell r="F156">
            <v>1708549</v>
          </cell>
        </row>
        <row r="157">
          <cell r="E157">
            <v>234075</v>
          </cell>
          <cell r="F157">
            <v>1359847</v>
          </cell>
        </row>
        <row r="158">
          <cell r="E158">
            <v>293097</v>
          </cell>
          <cell r="F158">
            <v>1634094</v>
          </cell>
        </row>
        <row r="159">
          <cell r="E159">
            <v>293098</v>
          </cell>
          <cell r="F159">
            <v>1634095</v>
          </cell>
        </row>
        <row r="160">
          <cell r="E160">
            <v>293099</v>
          </cell>
          <cell r="F160">
            <v>1634097</v>
          </cell>
        </row>
        <row r="161">
          <cell r="E161">
            <v>177501</v>
          </cell>
          <cell r="F161">
            <v>786310</v>
          </cell>
        </row>
        <row r="162">
          <cell r="E162">
            <v>198523</v>
          </cell>
          <cell r="F162">
            <v>1037891</v>
          </cell>
        </row>
        <row r="163">
          <cell r="E163">
            <v>229190</v>
          </cell>
          <cell r="F163">
            <v>23459</v>
          </cell>
        </row>
        <row r="164">
          <cell r="E164">
            <v>229391</v>
          </cell>
          <cell r="F164">
            <v>406292</v>
          </cell>
        </row>
        <row r="165">
          <cell r="E165">
            <v>229392</v>
          </cell>
          <cell r="F165">
            <v>3531</v>
          </cell>
        </row>
        <row r="166">
          <cell r="E166">
            <v>229393</v>
          </cell>
          <cell r="F166">
            <v>23431</v>
          </cell>
        </row>
        <row r="167">
          <cell r="E167">
            <v>229186</v>
          </cell>
          <cell r="F167">
            <v>74692</v>
          </cell>
        </row>
        <row r="168">
          <cell r="E168">
            <v>229187</v>
          </cell>
          <cell r="F168">
            <v>341845</v>
          </cell>
        </row>
        <row r="169">
          <cell r="E169">
            <v>229188</v>
          </cell>
          <cell r="F169">
            <v>1248814</v>
          </cell>
        </row>
        <row r="170">
          <cell r="E170">
            <v>229189</v>
          </cell>
          <cell r="F170">
            <v>740118</v>
          </cell>
        </row>
        <row r="171">
          <cell r="E171">
            <v>229182</v>
          </cell>
          <cell r="F171"/>
        </row>
        <row r="172">
          <cell r="E172">
            <v>229183</v>
          </cell>
          <cell r="F172">
            <v>596826</v>
          </cell>
        </row>
        <row r="173">
          <cell r="E173">
            <v>229184</v>
          </cell>
          <cell r="F173">
            <v>74705</v>
          </cell>
        </row>
        <row r="174">
          <cell r="E174"/>
          <cell r="F174">
            <v>1467656</v>
          </cell>
        </row>
        <row r="175">
          <cell r="E175"/>
          <cell r="F175">
            <v>1253043</v>
          </cell>
        </row>
        <row r="176">
          <cell r="E176"/>
          <cell r="F176">
            <v>1558418</v>
          </cell>
        </row>
        <row r="177">
          <cell r="E177"/>
          <cell r="F177"/>
        </row>
        <row r="178">
          <cell r="E178"/>
          <cell r="F178"/>
        </row>
        <row r="179">
          <cell r="E179">
            <v>345781</v>
          </cell>
          <cell r="F179">
            <v>1996521</v>
          </cell>
        </row>
        <row r="180">
          <cell r="E180">
            <v>345782</v>
          </cell>
          <cell r="F180">
            <v>1996554</v>
          </cell>
        </row>
        <row r="181">
          <cell r="E181">
            <v>91558</v>
          </cell>
          <cell r="F181">
            <v>357480</v>
          </cell>
        </row>
        <row r="182">
          <cell r="E182">
            <v>356749</v>
          </cell>
        </row>
        <row r="183">
          <cell r="E183">
            <v>91560</v>
          </cell>
          <cell r="F183">
            <v>357479</v>
          </cell>
        </row>
        <row r="184">
          <cell r="E184">
            <v>356746</v>
          </cell>
          <cell r="F184">
            <v>1701284</v>
          </cell>
        </row>
        <row r="185">
          <cell r="E185">
            <v>91566</v>
          </cell>
          <cell r="F185">
            <v>2299</v>
          </cell>
        </row>
        <row r="186">
          <cell r="E186">
            <v>356747</v>
          </cell>
          <cell r="F186">
            <v>411213</v>
          </cell>
        </row>
        <row r="187">
          <cell r="E187">
            <v>91568</v>
          </cell>
          <cell r="F187">
            <v>256423</v>
          </cell>
        </row>
        <row r="188">
          <cell r="E188">
            <v>91570</v>
          </cell>
          <cell r="F188">
            <v>440504</v>
          </cell>
        </row>
        <row r="189">
          <cell r="E189">
            <v>356748</v>
          </cell>
          <cell r="F189">
            <v>659808</v>
          </cell>
        </row>
        <row r="190">
          <cell r="E190">
            <v>91572</v>
          </cell>
          <cell r="F190">
            <v>439177</v>
          </cell>
        </row>
        <row r="191">
          <cell r="E191">
            <v>356744</v>
          </cell>
        </row>
        <row r="192">
          <cell r="E192">
            <v>91575</v>
          </cell>
          <cell r="F192">
            <v>437194</v>
          </cell>
        </row>
        <row r="193">
          <cell r="E193">
            <v>356745</v>
          </cell>
          <cell r="F193">
            <v>479197</v>
          </cell>
        </row>
        <row r="194">
          <cell r="E194">
            <v>91531</v>
          </cell>
          <cell r="F194">
            <v>2335</v>
          </cell>
        </row>
        <row r="195">
          <cell r="E195">
            <v>356740</v>
          </cell>
          <cell r="F195">
            <v>289580</v>
          </cell>
        </row>
        <row r="196">
          <cell r="E196">
            <v>91535</v>
          </cell>
          <cell r="F196">
            <v>2333</v>
          </cell>
        </row>
        <row r="197">
          <cell r="E197">
            <v>91538</v>
          </cell>
          <cell r="F197">
            <v>38808</v>
          </cell>
        </row>
        <row r="198">
          <cell r="E198">
            <v>356739</v>
          </cell>
        </row>
        <row r="199">
          <cell r="E199">
            <v>91552</v>
          </cell>
          <cell r="F199">
            <v>290342</v>
          </cell>
        </row>
        <row r="200">
          <cell r="E200">
            <v>356741</v>
          </cell>
          <cell r="F200">
            <v>538716</v>
          </cell>
        </row>
        <row r="201">
          <cell r="E201">
            <v>91554</v>
          </cell>
          <cell r="F201">
            <v>347452</v>
          </cell>
        </row>
        <row r="202">
          <cell r="E202">
            <v>91555</v>
          </cell>
        </row>
        <row r="203">
          <cell r="E203">
            <v>91579</v>
          </cell>
          <cell r="F203">
            <v>439174</v>
          </cell>
        </row>
        <row r="204">
          <cell r="E204">
            <v>356737</v>
          </cell>
          <cell r="F204">
            <v>538548</v>
          </cell>
        </row>
        <row r="205">
          <cell r="E205">
            <v>91584</v>
          </cell>
        </row>
        <row r="206">
          <cell r="E206">
            <v>91586</v>
          </cell>
        </row>
        <row r="207">
          <cell r="E207">
            <v>91589</v>
          </cell>
        </row>
        <row r="208">
          <cell r="E208">
            <v>356738</v>
          </cell>
        </row>
        <row r="209">
          <cell r="E209">
            <v>91592</v>
          </cell>
          <cell r="F209">
            <v>439175</v>
          </cell>
        </row>
        <row r="210">
          <cell r="E210">
            <v>91597</v>
          </cell>
        </row>
        <row r="211">
          <cell r="E211">
            <v>165189</v>
          </cell>
        </row>
        <row r="212">
          <cell r="E212">
            <v>91599</v>
          </cell>
          <cell r="F212">
            <v>457165</v>
          </cell>
        </row>
        <row r="213">
          <cell r="E213">
            <v>356743</v>
          </cell>
          <cell r="F213">
            <v>508525</v>
          </cell>
        </row>
        <row r="214">
          <cell r="E214">
            <v>165099</v>
          </cell>
          <cell r="F214">
            <v>1652224</v>
          </cell>
        </row>
        <row r="215">
          <cell r="E215">
            <v>165100</v>
          </cell>
          <cell r="F215">
            <v>1660422</v>
          </cell>
        </row>
        <row r="216">
          <cell r="E216">
            <v>356742</v>
          </cell>
        </row>
        <row r="217">
          <cell r="E217">
            <v>165101</v>
          </cell>
          <cell r="F217">
            <v>1660421</v>
          </cell>
        </row>
        <row r="218">
          <cell r="E218">
            <v>255031</v>
          </cell>
          <cell r="F218">
            <v>1475346</v>
          </cell>
        </row>
        <row r="219">
          <cell r="E219">
            <v>302679</v>
          </cell>
        </row>
        <row r="220">
          <cell r="E220">
            <v>91604</v>
          </cell>
          <cell r="F220">
            <v>432420</v>
          </cell>
        </row>
        <row r="221">
          <cell r="E221">
            <v>91606</v>
          </cell>
          <cell r="F221">
            <v>432403</v>
          </cell>
        </row>
        <row r="222">
          <cell r="E222">
            <v>91607</v>
          </cell>
          <cell r="F222">
            <v>432406</v>
          </cell>
        </row>
        <row r="223">
          <cell r="E223">
            <v>91608</v>
          </cell>
          <cell r="F223">
            <v>432405</v>
          </cell>
        </row>
        <row r="224">
          <cell r="E224">
            <v>91614</v>
          </cell>
        </row>
        <row r="225">
          <cell r="E225">
            <v>91616</v>
          </cell>
        </row>
        <row r="226">
          <cell r="E226">
            <v>193127</v>
          </cell>
          <cell r="F226">
            <v>1059107</v>
          </cell>
        </row>
        <row r="227">
          <cell r="E227">
            <v>198563</v>
          </cell>
          <cell r="F227">
            <v>1059756</v>
          </cell>
        </row>
        <row r="228">
          <cell r="E228">
            <v>296891</v>
          </cell>
        </row>
        <row r="229">
          <cell r="E229">
            <v>304053</v>
          </cell>
        </row>
        <row r="230">
          <cell r="E230">
            <v>159579</v>
          </cell>
        </row>
        <row r="231">
          <cell r="E231">
            <v>159580</v>
          </cell>
        </row>
        <row r="232">
          <cell r="E232">
            <v>159661</v>
          </cell>
        </row>
        <row r="233">
          <cell r="E233">
            <v>159662</v>
          </cell>
        </row>
        <row r="234">
          <cell r="E234">
            <v>159749</v>
          </cell>
        </row>
        <row r="235">
          <cell r="E235">
            <v>159750</v>
          </cell>
        </row>
        <row r="236">
          <cell r="E236">
            <v>293042</v>
          </cell>
        </row>
        <row r="237">
          <cell r="E237">
            <v>293043</v>
          </cell>
        </row>
        <row r="238">
          <cell r="E238">
            <v>372600</v>
          </cell>
        </row>
        <row r="239">
          <cell r="E239">
            <v>372601</v>
          </cell>
        </row>
        <row r="240">
          <cell r="E240">
            <v>372602</v>
          </cell>
        </row>
        <row r="241">
          <cell r="E241">
            <v>372603</v>
          </cell>
        </row>
        <row r="242">
          <cell r="E242">
            <v>372604</v>
          </cell>
        </row>
        <row r="243">
          <cell r="E243">
            <v>372605</v>
          </cell>
        </row>
        <row r="244">
          <cell r="E244">
            <v>341279</v>
          </cell>
          <cell r="F244">
            <v>400433</v>
          </cell>
        </row>
        <row r="245">
          <cell r="E245">
            <v>341280</v>
          </cell>
          <cell r="F245">
            <v>2085127</v>
          </cell>
        </row>
        <row r="246">
          <cell r="E246">
            <v>341281</v>
          </cell>
          <cell r="F246">
            <v>2085130</v>
          </cell>
        </row>
        <row r="247">
          <cell r="E247">
            <v>341282</v>
          </cell>
          <cell r="F247">
            <v>2085131</v>
          </cell>
        </row>
        <row r="248">
          <cell r="E248">
            <v>341283</v>
          </cell>
          <cell r="F248">
            <v>2085129</v>
          </cell>
        </row>
        <row r="249">
          <cell r="E249">
            <v>357352</v>
          </cell>
          <cell r="F249"/>
        </row>
        <row r="250">
          <cell r="E250">
            <v>357353</v>
          </cell>
        </row>
        <row r="251">
          <cell r="E251">
            <v>357354</v>
          </cell>
        </row>
        <row r="252">
          <cell r="E252">
            <v>357355</v>
          </cell>
        </row>
        <row r="253">
          <cell r="E253">
            <v>357356</v>
          </cell>
        </row>
        <row r="254">
          <cell r="E254">
            <v>106958</v>
          </cell>
        </row>
        <row r="255">
          <cell r="E255">
            <v>91275</v>
          </cell>
          <cell r="F255">
            <v>307255</v>
          </cell>
        </row>
        <row r="256">
          <cell r="E256">
            <v>91277</v>
          </cell>
          <cell r="F256">
            <v>307256</v>
          </cell>
        </row>
        <row r="257">
          <cell r="E257">
            <v>106959</v>
          </cell>
        </row>
        <row r="258">
          <cell r="E258">
            <v>91284</v>
          </cell>
        </row>
        <row r="259">
          <cell r="E259">
            <v>107250</v>
          </cell>
          <cell r="F259">
            <v>439172</v>
          </cell>
        </row>
        <row r="260">
          <cell r="E260">
            <v>282412</v>
          </cell>
        </row>
        <row r="261">
          <cell r="E261">
            <v>176167</v>
          </cell>
        </row>
        <row r="262">
          <cell r="E262">
            <v>176168</v>
          </cell>
        </row>
        <row r="263">
          <cell r="E263">
            <v>176169</v>
          </cell>
        </row>
        <row r="264">
          <cell r="E264">
            <v>176170</v>
          </cell>
        </row>
        <row r="265">
          <cell r="E265">
            <v>176171</v>
          </cell>
        </row>
        <row r="266">
          <cell r="E266">
            <v>352469</v>
          </cell>
        </row>
        <row r="267">
          <cell r="E267">
            <v>351381</v>
          </cell>
        </row>
        <row r="268">
          <cell r="E268">
            <v>310039</v>
          </cell>
        </row>
        <row r="269">
          <cell r="E269">
            <v>372697</v>
          </cell>
        </row>
        <row r="270">
          <cell r="E270">
            <v>365133</v>
          </cell>
        </row>
        <row r="271">
          <cell r="E271">
            <v>371251</v>
          </cell>
        </row>
        <row r="272">
          <cell r="E272">
            <v>365134</v>
          </cell>
        </row>
        <row r="273">
          <cell r="E273">
            <v>176174</v>
          </cell>
        </row>
        <row r="274">
          <cell r="E274">
            <v>176175</v>
          </cell>
        </row>
        <row r="275">
          <cell r="E275">
            <v>327491</v>
          </cell>
          <cell r="F275">
            <v>1763122</v>
          </cell>
        </row>
        <row r="276">
          <cell r="E276">
            <v>374046</v>
          </cell>
        </row>
        <row r="277">
          <cell r="E277">
            <v>247102</v>
          </cell>
        </row>
        <row r="278">
          <cell r="E278">
            <v>363700</v>
          </cell>
        </row>
        <row r="279">
          <cell r="E279">
            <v>384689</v>
          </cell>
          <cell r="F279">
            <v>895450</v>
          </cell>
        </row>
        <row r="280">
          <cell r="E280">
            <v>387686</v>
          </cell>
          <cell r="F280">
            <v>2189172</v>
          </cell>
        </row>
        <row r="281">
          <cell r="E281">
            <v>386805</v>
          </cell>
          <cell r="F281">
            <v>2249913</v>
          </cell>
        </row>
        <row r="282">
          <cell r="E282">
            <v>386804</v>
          </cell>
          <cell r="F282">
            <v>2249914</v>
          </cell>
        </row>
        <row r="283">
          <cell r="E283">
            <v>386803</v>
          </cell>
          <cell r="F283">
            <v>2249915</v>
          </cell>
        </row>
        <row r="284">
          <cell r="E284">
            <v>386802</v>
          </cell>
          <cell r="F284">
            <v>2249919</v>
          </cell>
        </row>
        <row r="285">
          <cell r="E285">
            <v>387687</v>
          </cell>
          <cell r="F285">
            <v>2261965</v>
          </cell>
        </row>
        <row r="286">
          <cell r="E286">
            <v>384691</v>
          </cell>
          <cell r="F286">
            <v>2307394</v>
          </cell>
        </row>
        <row r="287">
          <cell r="E287">
            <v>384692</v>
          </cell>
          <cell r="F287">
            <v>2307395</v>
          </cell>
        </row>
        <row r="288">
          <cell r="E288">
            <v>384690</v>
          </cell>
          <cell r="F288">
            <v>2308904</v>
          </cell>
        </row>
        <row r="289">
          <cell r="E289">
            <v>329171</v>
          </cell>
          <cell r="F289">
            <v>1858417</v>
          </cell>
        </row>
        <row r="290">
          <cell r="E290">
            <v>329172</v>
          </cell>
          <cell r="F290">
            <v>1858416</v>
          </cell>
        </row>
        <row r="291">
          <cell r="E291">
            <v>255466</v>
          </cell>
          <cell r="F291">
            <v>1474003</v>
          </cell>
        </row>
        <row r="292">
          <cell r="E292">
            <v>255467</v>
          </cell>
          <cell r="F292">
            <v>1313880</v>
          </cell>
        </row>
        <row r="293">
          <cell r="E293">
            <v>324335</v>
          </cell>
          <cell r="F293">
            <v>1763098</v>
          </cell>
        </row>
        <row r="294">
          <cell r="E294">
            <v>324336</v>
          </cell>
          <cell r="F294">
            <v>1763096</v>
          </cell>
        </row>
        <row r="295">
          <cell r="E295">
            <v>234074</v>
          </cell>
        </row>
        <row r="296">
          <cell r="E296">
            <v>372698</v>
          </cell>
          <cell r="F296">
            <v>2189111</v>
          </cell>
        </row>
        <row r="297">
          <cell r="E297">
            <v>371252</v>
          </cell>
        </row>
        <row r="298">
          <cell r="E298">
            <v>372699</v>
          </cell>
          <cell r="F298">
            <v>2215678</v>
          </cell>
        </row>
        <row r="299">
          <cell r="E299">
            <v>329173</v>
          </cell>
          <cell r="F299">
            <v>1858413</v>
          </cell>
        </row>
        <row r="300">
          <cell r="E300">
            <v>370080</v>
          </cell>
        </row>
        <row r="301">
          <cell r="E301">
            <v>194964</v>
          </cell>
        </row>
        <row r="302">
          <cell r="E302">
            <v>293034</v>
          </cell>
        </row>
        <row r="303">
          <cell r="E303">
            <v>94567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lookup"/>
      <sheetName val="Sheet3"/>
      <sheetName val="Sheet2"/>
    </sheetNames>
    <sheetDataSet>
      <sheetData sheetId="0">
        <row r="1">
          <cell r="B1" t="str">
            <v>SAP CODE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511"/>
  <sheetViews>
    <sheetView tabSelected="1" view="pageBreakPreview" zoomScaleNormal="100" zoomScaleSheetLayoutView="100" workbookViewId="0">
      <pane xSplit="2" ySplit="1" topLeftCell="C45" activePane="bottomRight" state="frozen"/>
      <selection pane="topRight" activeCell="C1" sqref="C1"/>
      <selection pane="bottomLeft" activeCell="A2" sqref="A2"/>
      <selection pane="bottomRight" activeCell="F45" sqref="F45"/>
    </sheetView>
  </sheetViews>
  <sheetFormatPr defaultRowHeight="15" x14ac:dyDescent="0.2"/>
  <cols>
    <col min="1" max="1" width="15" style="74" bestFit="1" customWidth="1"/>
    <col min="2" max="2" width="57.42578125" style="74" bestFit="1" customWidth="1"/>
    <col min="3" max="3" width="28.5703125" style="74" bestFit="1" customWidth="1"/>
    <col min="4" max="4" width="14.28515625" style="120" bestFit="1" customWidth="1"/>
    <col min="5" max="5" width="21.42578125" style="74" bestFit="1" customWidth="1"/>
    <col min="6" max="6" width="16.5703125" style="74" bestFit="1" customWidth="1"/>
    <col min="7" max="7" width="18.28515625" style="74" bestFit="1" customWidth="1"/>
    <col min="8" max="8" width="9.140625" style="74" customWidth="1"/>
    <col min="9" max="11" width="9.140625" style="74"/>
    <col min="12" max="12" width="13.140625" style="74" bestFit="1" customWidth="1"/>
    <col min="13" max="16384" width="9.140625" style="74"/>
  </cols>
  <sheetData>
    <row r="1" spans="1:8" ht="31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3" t="s">
        <v>5</v>
      </c>
      <c r="G1" s="2" t="s">
        <v>6</v>
      </c>
      <c r="H1" s="3" t="s">
        <v>442</v>
      </c>
    </row>
    <row r="2" spans="1:8" ht="15.75" x14ac:dyDescent="0.2">
      <c r="A2" s="4">
        <v>100565</v>
      </c>
      <c r="B2" s="5" t="s">
        <v>837</v>
      </c>
      <c r="C2" s="4" t="s">
        <v>8</v>
      </c>
      <c r="D2" s="4" t="s">
        <v>9</v>
      </c>
      <c r="E2" s="6">
        <v>3251350126002</v>
      </c>
      <c r="F2" s="7">
        <v>152859</v>
      </c>
      <c r="G2" s="8">
        <f>IFERROR(VLOOKUP(F2,[1]Lulu!$E:$F,2,0),"")</f>
        <v>100565</v>
      </c>
      <c r="H2" s="141">
        <f>IFERROR(G2-A2,"")</f>
        <v>0</v>
      </c>
    </row>
    <row r="3" spans="1:8" ht="15.75" x14ac:dyDescent="0.2">
      <c r="A3" s="4">
        <v>100567</v>
      </c>
      <c r="B3" s="5" t="s">
        <v>10</v>
      </c>
      <c r="C3" s="4" t="s">
        <v>11</v>
      </c>
      <c r="D3" s="4" t="s">
        <v>9</v>
      </c>
      <c r="E3" s="6">
        <v>3073780896504</v>
      </c>
      <c r="F3" s="7">
        <v>94576</v>
      </c>
      <c r="G3" s="8">
        <f>IFERROR(VLOOKUP(F3,[1]Lulu!$E:$F,2,0),"")</f>
        <v>100567</v>
      </c>
      <c r="H3" s="141">
        <f t="shared" ref="H3:H66" si="0">IFERROR(G3-A3,"")</f>
        <v>0</v>
      </c>
    </row>
    <row r="4" spans="1:8" ht="15.75" x14ac:dyDescent="0.2">
      <c r="A4" s="9">
        <v>71252</v>
      </c>
      <c r="B4" s="5" t="s">
        <v>12</v>
      </c>
      <c r="C4" s="4" t="s">
        <v>13</v>
      </c>
      <c r="D4" s="4" t="s">
        <v>9</v>
      </c>
      <c r="E4" s="10">
        <v>3073780896528</v>
      </c>
      <c r="F4" s="7">
        <v>94581</v>
      </c>
      <c r="G4" s="8">
        <f>IFERROR(VLOOKUP(F4,[1]Lulu!$E:$F,2,0),"")</f>
        <v>71252</v>
      </c>
      <c r="H4" s="141">
        <f t="shared" si="0"/>
        <v>0</v>
      </c>
    </row>
    <row r="5" spans="1:8" ht="15.75" x14ac:dyDescent="0.2">
      <c r="A5" s="4">
        <v>347068</v>
      </c>
      <c r="B5" s="5" t="s">
        <v>14</v>
      </c>
      <c r="C5" s="4" t="s">
        <v>15</v>
      </c>
      <c r="D5" s="4" t="s">
        <v>9</v>
      </c>
      <c r="E5" s="6">
        <v>3073780896542</v>
      </c>
      <c r="F5" s="7">
        <v>94590</v>
      </c>
      <c r="G5" s="8">
        <f>IFERROR(VLOOKUP(F5,[1]Lulu!$E:$F,2,0),"")</f>
        <v>347068</v>
      </c>
      <c r="H5" s="141">
        <f t="shared" si="0"/>
        <v>0</v>
      </c>
    </row>
    <row r="6" spans="1:8" ht="15.75" x14ac:dyDescent="0.2">
      <c r="A6" s="4">
        <v>983035</v>
      </c>
      <c r="B6" s="5" t="s">
        <v>16</v>
      </c>
      <c r="C6" s="4" t="s">
        <v>17</v>
      </c>
      <c r="D6" s="4" t="s">
        <v>18</v>
      </c>
      <c r="E6" s="6">
        <v>3073781046601</v>
      </c>
      <c r="F6" s="7">
        <v>177009</v>
      </c>
      <c r="G6" s="8">
        <f>IFERROR(VLOOKUP(F6,[1]Lulu!$E:$F,2,0),"")</f>
        <v>983035</v>
      </c>
      <c r="H6" s="141">
        <f t="shared" si="0"/>
        <v>0</v>
      </c>
    </row>
    <row r="7" spans="1:8" ht="15.75" x14ac:dyDescent="0.2">
      <c r="A7" s="4">
        <v>655536</v>
      </c>
      <c r="B7" s="5" t="s">
        <v>19</v>
      </c>
      <c r="C7" s="4" t="s">
        <v>20</v>
      </c>
      <c r="D7" s="4" t="s">
        <v>9</v>
      </c>
      <c r="E7" s="11">
        <v>3073780998352</v>
      </c>
      <c r="F7" s="7">
        <v>114599</v>
      </c>
      <c r="G7" s="8">
        <f>IFERROR(VLOOKUP(F7,[1]Lulu!$E:$F,2,0),"")</f>
        <v>655536</v>
      </c>
      <c r="H7" s="141">
        <f t="shared" si="0"/>
        <v>0</v>
      </c>
    </row>
    <row r="8" spans="1:8" ht="15.75" x14ac:dyDescent="0.2">
      <c r="A8" s="4">
        <v>655534</v>
      </c>
      <c r="B8" s="5" t="s">
        <v>21</v>
      </c>
      <c r="C8" s="4" t="s">
        <v>20</v>
      </c>
      <c r="D8" s="4" t="s">
        <v>9</v>
      </c>
      <c r="E8" s="11">
        <v>3073780998338</v>
      </c>
      <c r="F8" s="7">
        <v>114598</v>
      </c>
      <c r="G8" s="8">
        <f>IFERROR(VLOOKUP(F8,[1]Lulu!$E:$F,2,0),"")</f>
        <v>655534</v>
      </c>
      <c r="H8" s="141">
        <f t="shared" si="0"/>
        <v>0</v>
      </c>
    </row>
    <row r="9" spans="1:8" ht="15.75" x14ac:dyDescent="0.2">
      <c r="A9" s="4">
        <v>655535</v>
      </c>
      <c r="B9" s="5" t="s">
        <v>22</v>
      </c>
      <c r="C9" s="4" t="s">
        <v>23</v>
      </c>
      <c r="D9" s="4" t="s">
        <v>9</v>
      </c>
      <c r="E9" s="11">
        <v>3073780998376</v>
      </c>
      <c r="F9" s="7">
        <v>114600</v>
      </c>
      <c r="G9" s="8">
        <f>IFERROR(VLOOKUP(F9,[1]Lulu!$E:$F,2,0),"")</f>
        <v>655535</v>
      </c>
      <c r="H9" s="141">
        <f t="shared" si="0"/>
        <v>0</v>
      </c>
    </row>
    <row r="10" spans="1:8" ht="15.75" x14ac:dyDescent="0.2">
      <c r="A10" s="4">
        <v>657347</v>
      </c>
      <c r="B10" s="17" t="s">
        <v>403</v>
      </c>
      <c r="C10" s="4"/>
      <c r="D10" s="4" t="s">
        <v>24</v>
      </c>
      <c r="E10" s="19">
        <v>1800000005192</v>
      </c>
      <c r="F10" s="7">
        <v>122516</v>
      </c>
      <c r="G10" s="8">
        <f>IFERROR(VLOOKUP(F10,[1]Lulu!$E:$F,2,0),"")</f>
        <v>657347</v>
      </c>
      <c r="H10" s="141">
        <f t="shared" si="0"/>
        <v>0</v>
      </c>
    </row>
    <row r="11" spans="1:8" ht="15.75" x14ac:dyDescent="0.2">
      <c r="A11" s="4">
        <v>1214623</v>
      </c>
      <c r="B11" s="17" t="s">
        <v>404</v>
      </c>
      <c r="C11" s="4"/>
      <c r="D11" s="4" t="s">
        <v>24</v>
      </c>
      <c r="E11" s="19">
        <v>1800000008148</v>
      </c>
      <c r="F11" s="12"/>
      <c r="G11" s="8" t="str">
        <f>IFERROR(VLOOKUP(F11,[1]Lulu!$E:$F,2,0),"")</f>
        <v/>
      </c>
      <c r="H11" s="141" t="str">
        <f t="shared" si="0"/>
        <v/>
      </c>
    </row>
    <row r="12" spans="1:8" ht="15.75" x14ac:dyDescent="0.2">
      <c r="A12" s="4">
        <v>575539</v>
      </c>
      <c r="B12" s="13" t="s">
        <v>25</v>
      </c>
      <c r="C12" s="14" t="s">
        <v>26</v>
      </c>
      <c r="D12" s="4" t="s">
        <v>9</v>
      </c>
      <c r="E12" s="15">
        <v>3073781125627</v>
      </c>
      <c r="F12" s="16">
        <v>293087</v>
      </c>
      <c r="G12" s="8">
        <f>IFERROR(VLOOKUP(F12,[1]Lulu!$E:$F,2,0),"")</f>
        <v>575539</v>
      </c>
      <c r="H12" s="141">
        <f t="shared" si="0"/>
        <v>0</v>
      </c>
    </row>
    <row r="13" spans="1:8" ht="15.75" x14ac:dyDescent="0.2">
      <c r="A13" s="4">
        <v>575538</v>
      </c>
      <c r="B13" s="13" t="s">
        <v>27</v>
      </c>
      <c r="C13" s="14" t="s">
        <v>28</v>
      </c>
      <c r="D13" s="4" t="s">
        <v>9</v>
      </c>
      <c r="E13" s="15">
        <v>3073781125634</v>
      </c>
      <c r="F13" s="16">
        <v>293088</v>
      </c>
      <c r="G13" s="8">
        <f>IFERROR(VLOOKUP(F13,[1]Lulu!$E:$F,2,0),"")</f>
        <v>575538</v>
      </c>
      <c r="H13" s="141">
        <f t="shared" si="0"/>
        <v>0</v>
      </c>
    </row>
    <row r="14" spans="1:8" ht="15.75" x14ac:dyDescent="0.2">
      <c r="A14" s="4">
        <v>1646509</v>
      </c>
      <c r="B14" s="13" t="s">
        <v>29</v>
      </c>
      <c r="C14" s="14" t="s">
        <v>30</v>
      </c>
      <c r="D14" s="4" t="s">
        <v>18</v>
      </c>
      <c r="E14" s="15">
        <v>3073781125641</v>
      </c>
      <c r="F14" s="16">
        <v>293293</v>
      </c>
      <c r="G14" s="8">
        <f>IFERROR(VLOOKUP(F14,[1]Lulu!$E:$F,2,0),"")</f>
        <v>1646509</v>
      </c>
      <c r="H14" s="141">
        <f t="shared" si="0"/>
        <v>0</v>
      </c>
    </row>
    <row r="15" spans="1:8" ht="15.75" x14ac:dyDescent="0.2">
      <c r="A15" s="4">
        <v>1676485</v>
      </c>
      <c r="B15" s="17" t="s">
        <v>31</v>
      </c>
      <c r="C15" s="18" t="s">
        <v>32</v>
      </c>
      <c r="D15" s="4" t="s">
        <v>24</v>
      </c>
      <c r="E15" s="19">
        <v>3073781136982</v>
      </c>
      <c r="F15" s="16">
        <v>313207</v>
      </c>
      <c r="G15" s="8">
        <f>IFERROR(VLOOKUP(F15,[1]Lulu!$E:$F,2,0),"")</f>
        <v>1676485</v>
      </c>
      <c r="H15" s="141">
        <f t="shared" si="0"/>
        <v>0</v>
      </c>
    </row>
    <row r="16" spans="1:8" ht="15.75" x14ac:dyDescent="0.2">
      <c r="A16" s="4">
        <v>586001</v>
      </c>
      <c r="B16" s="13" t="s">
        <v>33</v>
      </c>
      <c r="C16" s="14" t="s">
        <v>34</v>
      </c>
      <c r="D16" s="4" t="s">
        <v>24</v>
      </c>
      <c r="E16" s="15">
        <v>3073781134537</v>
      </c>
      <c r="F16" s="16">
        <v>293294</v>
      </c>
      <c r="G16" s="8">
        <f>IFERROR(VLOOKUP(F16,[1]Lulu!$E:$F,2,0),"")</f>
        <v>586001</v>
      </c>
      <c r="H16" s="141">
        <f t="shared" si="0"/>
        <v>0</v>
      </c>
    </row>
    <row r="17" spans="1:9" ht="15.75" x14ac:dyDescent="0.2">
      <c r="A17" s="4">
        <v>1657510</v>
      </c>
      <c r="B17" s="13" t="s">
        <v>35</v>
      </c>
      <c r="C17" s="20" t="s">
        <v>36</v>
      </c>
      <c r="D17" s="4" t="s">
        <v>24</v>
      </c>
      <c r="E17" s="21">
        <v>3073781134193</v>
      </c>
      <c r="F17" s="22">
        <v>293732</v>
      </c>
      <c r="G17" s="8">
        <f>IFERROR(VLOOKUP(F17,[1]Lulu!$E:$F,2,0),"")</f>
        <v>1657510</v>
      </c>
      <c r="H17" s="141">
        <f t="shared" si="0"/>
        <v>0</v>
      </c>
    </row>
    <row r="18" spans="1:9" ht="15.75" x14ac:dyDescent="0.2">
      <c r="A18" s="4">
        <v>257160</v>
      </c>
      <c r="B18" s="5" t="s">
        <v>37</v>
      </c>
      <c r="C18" s="4" t="s">
        <v>38</v>
      </c>
      <c r="D18" s="4" t="s">
        <v>24</v>
      </c>
      <c r="E18" s="19">
        <v>3073781053616</v>
      </c>
      <c r="F18" s="7">
        <v>94595</v>
      </c>
      <c r="G18" s="8">
        <f>IFERROR(VLOOKUP(F18,[1]Lulu!$E:$F,2,0),"")</f>
        <v>257160</v>
      </c>
      <c r="H18" s="141">
        <f t="shared" si="0"/>
        <v>0</v>
      </c>
    </row>
    <row r="19" spans="1:9" ht="15.75" x14ac:dyDescent="0.2">
      <c r="A19" s="4">
        <v>590615</v>
      </c>
      <c r="B19" s="5" t="s">
        <v>37</v>
      </c>
      <c r="C19" s="4" t="s">
        <v>39</v>
      </c>
      <c r="D19" s="4" t="s">
        <v>24</v>
      </c>
      <c r="E19" s="19">
        <v>3073781059793</v>
      </c>
      <c r="F19" s="7">
        <v>155145</v>
      </c>
      <c r="G19" s="8">
        <f>IFERROR(VLOOKUP(F19,[1]Lulu!$E:$F,2,0),"")</f>
        <v>590615</v>
      </c>
      <c r="H19" s="141">
        <f t="shared" si="0"/>
        <v>0</v>
      </c>
    </row>
    <row r="20" spans="1:9" ht="15.75" x14ac:dyDescent="0.2">
      <c r="A20" s="4">
        <v>401846</v>
      </c>
      <c r="B20" s="5" t="s">
        <v>37</v>
      </c>
      <c r="C20" s="4" t="s">
        <v>40</v>
      </c>
      <c r="D20" s="4" t="s">
        <v>24</v>
      </c>
      <c r="E20" s="19">
        <v>3073780992114</v>
      </c>
      <c r="F20" s="7">
        <v>94589</v>
      </c>
      <c r="G20" s="8">
        <f>IFERROR(VLOOKUP(F20,[1]Lulu!$E:$F,2,0),"")</f>
        <v>401846</v>
      </c>
      <c r="H20" s="141">
        <f t="shared" si="0"/>
        <v>0</v>
      </c>
    </row>
    <row r="21" spans="1:9" x14ac:dyDescent="0.2">
      <c r="A21" s="4">
        <v>537522</v>
      </c>
      <c r="B21" s="23" t="s">
        <v>41</v>
      </c>
      <c r="C21" s="30" t="s">
        <v>42</v>
      </c>
      <c r="D21" s="4" t="s">
        <v>24</v>
      </c>
      <c r="E21" s="19">
        <v>3073780977869</v>
      </c>
      <c r="F21" s="7">
        <v>395985</v>
      </c>
      <c r="G21" s="8">
        <f>IFERROR(VLOOKUP(H21,[1]Lulu!$E:$F,2,0),"")</f>
        <v>537522</v>
      </c>
      <c r="H21" s="24">
        <v>252498</v>
      </c>
      <c r="I21" s="74" t="s">
        <v>485</v>
      </c>
    </row>
    <row r="22" spans="1:9" ht="15.75" x14ac:dyDescent="0.2">
      <c r="A22" s="25">
        <v>8310</v>
      </c>
      <c r="B22" s="26" t="s">
        <v>7</v>
      </c>
      <c r="C22" s="27" t="s">
        <v>43</v>
      </c>
      <c r="D22" s="25" t="s">
        <v>18</v>
      </c>
      <c r="E22" s="6">
        <v>3073780905817</v>
      </c>
      <c r="F22" s="7">
        <v>152860</v>
      </c>
      <c r="G22" s="8">
        <f>IFERROR(VLOOKUP(F22,[1]Lulu!$E:$F,2,0),"")</f>
        <v>8310</v>
      </c>
      <c r="H22" s="141">
        <f t="shared" si="0"/>
        <v>0</v>
      </c>
    </row>
    <row r="23" spans="1:9" ht="15.75" x14ac:dyDescent="0.2">
      <c r="A23" s="4">
        <v>302650</v>
      </c>
      <c r="B23" s="26" t="s">
        <v>12</v>
      </c>
      <c r="C23" s="4" t="s">
        <v>13</v>
      </c>
      <c r="D23" s="4" t="s">
        <v>9</v>
      </c>
      <c r="E23" s="6">
        <v>3073780905831</v>
      </c>
      <c r="F23" s="7">
        <v>94649</v>
      </c>
      <c r="G23" s="8">
        <f>IFERROR(VLOOKUP(F23,[1]Lulu!$E:$F,2,0),"")</f>
        <v>302650</v>
      </c>
      <c r="H23" s="141">
        <f t="shared" si="0"/>
        <v>0</v>
      </c>
    </row>
    <row r="24" spans="1:9" ht="15.75" x14ac:dyDescent="0.2">
      <c r="A24" s="4">
        <v>976946</v>
      </c>
      <c r="B24" s="26" t="s">
        <v>14</v>
      </c>
      <c r="C24" s="4" t="s">
        <v>44</v>
      </c>
      <c r="D24" s="4" t="s">
        <v>18</v>
      </c>
      <c r="E24" s="28"/>
      <c r="F24" s="7">
        <v>133208</v>
      </c>
      <c r="G24" s="8">
        <f>IFERROR(VLOOKUP(F24,[1]Lulu!$E:$F,2,0),"")</f>
        <v>976946</v>
      </c>
      <c r="H24" s="141">
        <f t="shared" si="0"/>
        <v>0</v>
      </c>
    </row>
    <row r="25" spans="1:9" ht="15.75" x14ac:dyDescent="0.2">
      <c r="A25" s="25">
        <v>1081171</v>
      </c>
      <c r="B25" s="26" t="s">
        <v>16</v>
      </c>
      <c r="C25" s="27" t="s">
        <v>17</v>
      </c>
      <c r="D25" s="25" t="s">
        <v>18</v>
      </c>
      <c r="E25" s="28"/>
      <c r="F25" s="7">
        <v>202753</v>
      </c>
      <c r="G25" s="8">
        <f>IFERROR(VLOOKUP(F25,[1]Lulu!$E:$F,2,0),"")</f>
        <v>1081171</v>
      </c>
      <c r="H25" s="141">
        <f t="shared" si="0"/>
        <v>0</v>
      </c>
    </row>
    <row r="26" spans="1:9" ht="15.75" x14ac:dyDescent="0.2">
      <c r="A26" s="4">
        <v>410607</v>
      </c>
      <c r="B26" s="26" t="s">
        <v>45</v>
      </c>
      <c r="C26" s="4" t="s">
        <v>39</v>
      </c>
      <c r="D26" s="4" t="s">
        <v>24</v>
      </c>
      <c r="E26" s="29">
        <v>3073780959704</v>
      </c>
      <c r="F26" s="7">
        <v>155146</v>
      </c>
      <c r="G26" s="8">
        <f>IFERROR(VLOOKUP(F26,[1]Lulu!$E:$F,2,0),"")</f>
        <v>410607</v>
      </c>
      <c r="H26" s="141">
        <f t="shared" si="0"/>
        <v>0</v>
      </c>
    </row>
    <row r="27" spans="1:9" ht="15.75" x14ac:dyDescent="0.2">
      <c r="A27" s="4">
        <v>401780</v>
      </c>
      <c r="B27" s="26" t="s">
        <v>46</v>
      </c>
      <c r="C27" s="4" t="s">
        <v>47</v>
      </c>
      <c r="D27" s="4" t="s">
        <v>24</v>
      </c>
      <c r="E27" s="29">
        <v>3251350000265</v>
      </c>
      <c r="F27" s="7">
        <v>94654</v>
      </c>
      <c r="G27" s="8">
        <f>IFERROR(VLOOKUP(F27,[1]Lulu!$E:$F,2,0),"")</f>
        <v>401780</v>
      </c>
      <c r="H27" s="141">
        <f t="shared" si="0"/>
        <v>0</v>
      </c>
    </row>
    <row r="28" spans="1:9" ht="15.75" x14ac:dyDescent="0.2">
      <c r="A28" s="25">
        <v>8209</v>
      </c>
      <c r="B28" s="26" t="s">
        <v>838</v>
      </c>
      <c r="C28" s="27" t="s">
        <v>8</v>
      </c>
      <c r="D28" s="27" t="s">
        <v>9</v>
      </c>
      <c r="E28" s="6">
        <v>3073786155186</v>
      </c>
      <c r="F28" s="7">
        <v>155147</v>
      </c>
      <c r="G28" s="8">
        <f>IFERROR(VLOOKUP(F28,[1]Lulu!$E:$F,2,0),"")</f>
        <v>8209</v>
      </c>
      <c r="H28" s="141">
        <f t="shared" si="0"/>
        <v>0</v>
      </c>
    </row>
    <row r="29" spans="1:9" ht="15.75" x14ac:dyDescent="0.2">
      <c r="A29" s="9">
        <v>8214</v>
      </c>
      <c r="B29" s="26" t="s">
        <v>10</v>
      </c>
      <c r="C29" s="4" t="s">
        <v>11</v>
      </c>
      <c r="D29" s="9" t="s">
        <v>9</v>
      </c>
      <c r="E29" s="6">
        <v>3073780574242</v>
      </c>
      <c r="F29" s="7">
        <v>94659</v>
      </c>
      <c r="G29" s="8">
        <f>IFERROR(VLOOKUP(F29,[1]Lulu!$E:$F,2,0),"")</f>
        <v>8214</v>
      </c>
      <c r="H29" s="141">
        <f t="shared" si="0"/>
        <v>0</v>
      </c>
    </row>
    <row r="30" spans="1:9" ht="15.75" x14ac:dyDescent="0.2">
      <c r="A30" s="9">
        <v>8216</v>
      </c>
      <c r="B30" s="26" t="s">
        <v>12</v>
      </c>
      <c r="C30" s="4" t="s">
        <v>13</v>
      </c>
      <c r="D30" s="9" t="s">
        <v>9</v>
      </c>
      <c r="E30" s="6">
        <v>3073780574310</v>
      </c>
      <c r="F30" s="7">
        <v>94661</v>
      </c>
      <c r="G30" s="8">
        <f>IFERROR(VLOOKUP(F30,[1]Lulu!$E:$F,2,0),"")</f>
        <v>8216</v>
      </c>
      <c r="H30" s="141">
        <f t="shared" si="0"/>
        <v>0</v>
      </c>
    </row>
    <row r="31" spans="1:9" ht="15.75" x14ac:dyDescent="0.2">
      <c r="A31" s="25">
        <v>8218</v>
      </c>
      <c r="B31" s="26" t="s">
        <v>14</v>
      </c>
      <c r="C31" s="4" t="s">
        <v>15</v>
      </c>
      <c r="D31" s="25" t="s">
        <v>9</v>
      </c>
      <c r="E31" s="6">
        <v>3073780593083</v>
      </c>
      <c r="F31" s="7">
        <v>94664</v>
      </c>
      <c r="G31" s="8">
        <f>IFERROR(VLOOKUP(F31,[1]Lulu!$E:$F,2,0),"")</f>
        <v>8218</v>
      </c>
      <c r="H31" s="141">
        <f t="shared" si="0"/>
        <v>0</v>
      </c>
    </row>
    <row r="32" spans="1:9" ht="15.75" x14ac:dyDescent="0.2">
      <c r="A32" s="25">
        <v>981192</v>
      </c>
      <c r="B32" s="26" t="s">
        <v>16</v>
      </c>
      <c r="C32" s="4" t="s">
        <v>48</v>
      </c>
      <c r="D32" s="25" t="s">
        <v>18</v>
      </c>
      <c r="E32" s="6"/>
      <c r="F32" s="7">
        <v>268317</v>
      </c>
      <c r="G32" s="8">
        <f>IFERROR(VLOOKUP(F32,[1]Lulu!$E:$F,2,0),"")</f>
        <v>981192</v>
      </c>
      <c r="H32" s="141">
        <f t="shared" si="0"/>
        <v>0</v>
      </c>
    </row>
    <row r="33" spans="1:8" ht="15.75" x14ac:dyDescent="0.2">
      <c r="A33" s="25">
        <v>8211</v>
      </c>
      <c r="B33" s="26" t="s">
        <v>49</v>
      </c>
      <c r="C33" s="4" t="s">
        <v>50</v>
      </c>
      <c r="D33" s="25" t="s">
        <v>9</v>
      </c>
      <c r="E33" s="6">
        <v>3073780689014</v>
      </c>
      <c r="F33" s="7">
        <v>94656</v>
      </c>
      <c r="G33" s="8">
        <f>IFERROR(VLOOKUP(F33,[1]Lulu!$E:$F,2,0),"")</f>
        <v>8211</v>
      </c>
      <c r="H33" s="141">
        <f t="shared" si="0"/>
        <v>0</v>
      </c>
    </row>
    <row r="34" spans="1:8" ht="15.75" x14ac:dyDescent="0.2">
      <c r="A34" s="25">
        <v>8316</v>
      </c>
      <c r="B34" s="26" t="s">
        <v>51</v>
      </c>
      <c r="C34" s="4" t="s">
        <v>52</v>
      </c>
      <c r="D34" s="25" t="s">
        <v>18</v>
      </c>
      <c r="E34" s="6">
        <v>30737808110661</v>
      </c>
      <c r="F34" s="7">
        <v>194963</v>
      </c>
      <c r="G34" s="8">
        <f>IFERROR(VLOOKUP(F34,[1]Lulu!$E:$F,2,0),"")</f>
        <v>8316</v>
      </c>
      <c r="H34" s="141">
        <f t="shared" si="0"/>
        <v>0</v>
      </c>
    </row>
    <row r="35" spans="1:8" ht="15.75" x14ac:dyDescent="0.2">
      <c r="A35" s="25">
        <v>763478</v>
      </c>
      <c r="B35" s="26" t="s">
        <v>53</v>
      </c>
      <c r="C35" s="4" t="s">
        <v>54</v>
      </c>
      <c r="D35" s="25" t="s">
        <v>18</v>
      </c>
      <c r="E35" s="6">
        <v>30087798</v>
      </c>
      <c r="F35" s="7">
        <v>309827</v>
      </c>
      <c r="G35" s="8">
        <f>IFERROR(VLOOKUP(F35,[1]Lulu!$E:$F,2,0),"")</f>
        <v>763478</v>
      </c>
      <c r="H35" s="141">
        <f t="shared" si="0"/>
        <v>0</v>
      </c>
    </row>
    <row r="36" spans="1:8" ht="15.75" x14ac:dyDescent="0.2">
      <c r="A36" s="25">
        <v>504157</v>
      </c>
      <c r="B36" s="23" t="s">
        <v>55</v>
      </c>
      <c r="C36" s="4" t="s">
        <v>38</v>
      </c>
      <c r="D36" s="25" t="s">
        <v>24</v>
      </c>
      <c r="E36" s="6"/>
      <c r="F36" s="24">
        <v>125019</v>
      </c>
      <c r="G36" s="8">
        <f>IFERROR(VLOOKUP(F36,[1]Lulu!$E:$F,2,0),"")</f>
        <v>504157</v>
      </c>
      <c r="H36" s="141">
        <f t="shared" si="0"/>
        <v>0</v>
      </c>
    </row>
    <row r="37" spans="1:8" ht="15.75" x14ac:dyDescent="0.2">
      <c r="A37" s="25">
        <v>572786</v>
      </c>
      <c r="B37" s="5" t="s">
        <v>56</v>
      </c>
      <c r="C37" s="27" t="s">
        <v>57</v>
      </c>
      <c r="D37" s="25" t="s">
        <v>9</v>
      </c>
      <c r="E37" s="6">
        <v>3073780985581</v>
      </c>
      <c r="F37" s="7">
        <v>94674</v>
      </c>
      <c r="G37" s="8">
        <f>IFERROR(VLOOKUP(F37,[1]Lulu!$E:$F,2,0),"")</f>
        <v>572786</v>
      </c>
      <c r="H37" s="141">
        <f t="shared" si="0"/>
        <v>0</v>
      </c>
    </row>
    <row r="38" spans="1:8" ht="15.75" x14ac:dyDescent="0.2">
      <c r="A38" s="25">
        <v>574190</v>
      </c>
      <c r="B38" s="5" t="s">
        <v>58</v>
      </c>
      <c r="C38" s="27" t="s">
        <v>57</v>
      </c>
      <c r="D38" s="25" t="s">
        <v>9</v>
      </c>
      <c r="E38" s="6">
        <v>3073780450461</v>
      </c>
      <c r="F38" s="7">
        <v>94671</v>
      </c>
      <c r="G38" s="8">
        <f>IFERROR(VLOOKUP(F38,[1]Lulu!$E:$F,2,0),"")</f>
        <v>574190</v>
      </c>
      <c r="H38" s="141">
        <f t="shared" si="0"/>
        <v>0</v>
      </c>
    </row>
    <row r="39" spans="1:8" ht="15.75" x14ac:dyDescent="0.2">
      <c r="A39" s="25">
        <v>572784</v>
      </c>
      <c r="B39" s="5" t="s">
        <v>59</v>
      </c>
      <c r="C39" s="27" t="s">
        <v>57</v>
      </c>
      <c r="D39" s="25" t="s">
        <v>9</v>
      </c>
      <c r="E39" s="6">
        <v>3073780450386</v>
      </c>
      <c r="F39" s="7">
        <v>94698</v>
      </c>
      <c r="G39" s="8">
        <f>IFERROR(VLOOKUP(F39,[1]Lulu!$E:$F,2,0),"")</f>
        <v>572784</v>
      </c>
      <c r="H39" s="141">
        <f t="shared" si="0"/>
        <v>0</v>
      </c>
    </row>
    <row r="40" spans="1:8" ht="15.75" x14ac:dyDescent="0.2">
      <c r="A40" s="25">
        <v>574119</v>
      </c>
      <c r="B40" s="5" t="s">
        <v>60</v>
      </c>
      <c r="C40" s="27" t="s">
        <v>57</v>
      </c>
      <c r="D40" s="25" t="s">
        <v>9</v>
      </c>
      <c r="E40" s="6">
        <v>3073780543989</v>
      </c>
      <c r="F40" s="7">
        <v>94693</v>
      </c>
      <c r="G40" s="8">
        <f>IFERROR(VLOOKUP(F40,[1]Lulu!$E:$F,2,0),"")</f>
        <v>574119</v>
      </c>
      <c r="H40" s="141">
        <f t="shared" si="0"/>
        <v>0</v>
      </c>
    </row>
    <row r="41" spans="1:8" ht="15.75" x14ac:dyDescent="0.2">
      <c r="A41" s="25">
        <v>653820</v>
      </c>
      <c r="B41" s="5" t="s">
        <v>61</v>
      </c>
      <c r="C41" s="27" t="s">
        <v>62</v>
      </c>
      <c r="D41" s="25" t="s">
        <v>63</v>
      </c>
      <c r="E41" s="6">
        <v>3073780999816</v>
      </c>
      <c r="F41" s="7">
        <v>318173</v>
      </c>
      <c r="G41" s="8">
        <f>IFERROR(VLOOKUP(F41,[1]Lulu!$E:$F,2,0),"")</f>
        <v>653820</v>
      </c>
      <c r="H41" s="141">
        <f t="shared" si="0"/>
        <v>0</v>
      </c>
    </row>
    <row r="42" spans="1:8" ht="15.75" x14ac:dyDescent="0.2">
      <c r="A42" s="25">
        <v>572788</v>
      </c>
      <c r="B42" s="5" t="s">
        <v>64</v>
      </c>
      <c r="C42" s="27" t="s">
        <v>65</v>
      </c>
      <c r="D42" s="25" t="s">
        <v>63</v>
      </c>
      <c r="E42" s="6">
        <v>3073780985604</v>
      </c>
      <c r="F42" s="7">
        <v>94672</v>
      </c>
      <c r="G42" s="8">
        <f>IFERROR(VLOOKUP(F42,[1]Lulu!$E:$F,2,0),"")</f>
        <v>572788</v>
      </c>
      <c r="H42" s="141">
        <f t="shared" si="0"/>
        <v>0</v>
      </c>
    </row>
    <row r="43" spans="1:8" ht="15.75" x14ac:dyDescent="0.2">
      <c r="A43" s="25">
        <v>197536</v>
      </c>
      <c r="B43" s="17" t="s">
        <v>66</v>
      </c>
      <c r="C43" s="27"/>
      <c r="D43" s="25" t="s">
        <v>24</v>
      </c>
      <c r="E43" s="19">
        <v>6291100552900</v>
      </c>
      <c r="F43" s="31">
        <v>94667</v>
      </c>
      <c r="G43" s="8">
        <f>IFERROR(VLOOKUP(F43,[1]Lulu!$E:$F,2,0),"")</f>
        <v>197536</v>
      </c>
      <c r="H43" s="141">
        <f t="shared" si="0"/>
        <v>0</v>
      </c>
    </row>
    <row r="44" spans="1:8" ht="15.75" x14ac:dyDescent="0.2">
      <c r="A44" s="27">
        <v>8219</v>
      </c>
      <c r="B44" s="26" t="s">
        <v>67</v>
      </c>
      <c r="C44" s="27" t="s">
        <v>68</v>
      </c>
      <c r="D44" s="27" t="s">
        <v>9</v>
      </c>
      <c r="E44" s="6">
        <v>3073780839631</v>
      </c>
      <c r="F44" s="7">
        <v>182808</v>
      </c>
      <c r="G44" s="8">
        <f>IFERROR(VLOOKUP(F44,[1]Lulu!$E:$F,2,0),"")</f>
        <v>8219</v>
      </c>
      <c r="H44" s="141">
        <f t="shared" si="0"/>
        <v>0</v>
      </c>
    </row>
    <row r="45" spans="1:8" ht="15.75" x14ac:dyDescent="0.2">
      <c r="A45" s="25">
        <v>8226</v>
      </c>
      <c r="B45" s="26" t="s">
        <v>69</v>
      </c>
      <c r="C45" s="27" t="s">
        <v>70</v>
      </c>
      <c r="D45" s="25" t="s">
        <v>9</v>
      </c>
      <c r="E45" s="6">
        <v>3073780894326</v>
      </c>
      <c r="F45" s="7">
        <v>182809</v>
      </c>
      <c r="G45" s="8">
        <f>IFERROR(VLOOKUP(F45,[1]Lulu!$E:$F,2,0),"")</f>
        <v>8226</v>
      </c>
      <c r="H45" s="141">
        <f t="shared" si="0"/>
        <v>0</v>
      </c>
    </row>
    <row r="46" spans="1:8" ht="15.75" x14ac:dyDescent="0.2">
      <c r="A46" s="9">
        <v>8229</v>
      </c>
      <c r="B46" s="26" t="s">
        <v>71</v>
      </c>
      <c r="C46" s="4" t="s">
        <v>72</v>
      </c>
      <c r="D46" s="9" t="s">
        <v>9</v>
      </c>
      <c r="E46" s="6">
        <v>3073780767897</v>
      </c>
      <c r="F46" s="7">
        <v>94714</v>
      </c>
      <c r="G46" s="8">
        <f>IFERROR(VLOOKUP(F46,[1]Lulu!$E:$F,2,0),"")</f>
        <v>8229</v>
      </c>
      <c r="H46" s="141">
        <f t="shared" si="0"/>
        <v>0</v>
      </c>
    </row>
    <row r="47" spans="1:8" ht="15.75" x14ac:dyDescent="0.2">
      <c r="A47" s="9">
        <v>338612</v>
      </c>
      <c r="B47" s="26" t="s">
        <v>73</v>
      </c>
      <c r="C47" s="4" t="s">
        <v>74</v>
      </c>
      <c r="D47" s="9" t="s">
        <v>9</v>
      </c>
      <c r="E47" s="6">
        <v>3073780853545</v>
      </c>
      <c r="F47" s="7">
        <v>194957</v>
      </c>
      <c r="G47" s="8">
        <f>IFERROR(VLOOKUP(F47,[1]Lulu!$E:$F,2,0),"")</f>
        <v>338612</v>
      </c>
      <c r="H47" s="141">
        <f t="shared" si="0"/>
        <v>0</v>
      </c>
    </row>
    <row r="48" spans="1:8" ht="15.75" x14ac:dyDescent="0.2">
      <c r="A48" s="9">
        <v>1679247</v>
      </c>
      <c r="B48" s="26" t="s">
        <v>75</v>
      </c>
      <c r="C48" s="4" t="s">
        <v>76</v>
      </c>
      <c r="D48" s="9" t="s">
        <v>9</v>
      </c>
      <c r="E48" s="6">
        <v>3073781089172</v>
      </c>
      <c r="F48" s="7">
        <v>308347</v>
      </c>
      <c r="G48" s="8">
        <f>IFERROR(VLOOKUP(F48,[1]Lulu!$E:$F,2,0),"")</f>
        <v>1679247</v>
      </c>
      <c r="H48" s="141">
        <f t="shared" si="0"/>
        <v>0</v>
      </c>
    </row>
    <row r="49" spans="1:8" ht="15.75" x14ac:dyDescent="0.2">
      <c r="A49" s="9">
        <v>1050330</v>
      </c>
      <c r="B49" s="26" t="s">
        <v>77</v>
      </c>
      <c r="C49" s="4" t="s">
        <v>78</v>
      </c>
      <c r="D49" s="9" t="s">
        <v>18</v>
      </c>
      <c r="E49" s="28"/>
      <c r="F49" s="7">
        <v>213406</v>
      </c>
      <c r="G49" s="8">
        <f>IFERROR(VLOOKUP(F49,[1]Lulu!$E:$F,2,0),"")</f>
        <v>1050330</v>
      </c>
      <c r="H49" s="141">
        <f t="shared" si="0"/>
        <v>0</v>
      </c>
    </row>
    <row r="50" spans="1:8" ht="15.75" x14ac:dyDescent="0.2">
      <c r="A50" s="9">
        <v>1735232</v>
      </c>
      <c r="B50" s="17" t="s">
        <v>79</v>
      </c>
      <c r="C50" s="30" t="s">
        <v>80</v>
      </c>
      <c r="D50" s="9" t="s">
        <v>9</v>
      </c>
      <c r="E50" s="19">
        <v>3073781141382</v>
      </c>
      <c r="F50" s="31">
        <v>312609</v>
      </c>
      <c r="G50" s="8">
        <f>IFERROR(VLOOKUP(F50,[1]Lulu!$E:$F,2,0),"")</f>
        <v>1735232</v>
      </c>
      <c r="H50" s="141">
        <f t="shared" si="0"/>
        <v>0</v>
      </c>
    </row>
    <row r="51" spans="1:8" ht="15.75" x14ac:dyDescent="0.2">
      <c r="A51" s="9">
        <v>1735233</v>
      </c>
      <c r="B51" s="17" t="s">
        <v>81</v>
      </c>
      <c r="C51" s="30" t="s">
        <v>82</v>
      </c>
      <c r="D51" s="9" t="s">
        <v>9</v>
      </c>
      <c r="E51" s="19">
        <v>3073781141368</v>
      </c>
      <c r="F51" s="31">
        <v>312610</v>
      </c>
      <c r="G51" s="8">
        <f>IFERROR(VLOOKUP(F51,[1]Lulu!$E:$F,2,0),"")</f>
        <v>1735233</v>
      </c>
      <c r="H51" s="141">
        <f t="shared" si="0"/>
        <v>0</v>
      </c>
    </row>
    <row r="52" spans="1:8" ht="15.75" x14ac:dyDescent="0.2">
      <c r="A52" s="9">
        <v>1735235</v>
      </c>
      <c r="B52" s="17" t="s">
        <v>83</v>
      </c>
      <c r="C52" s="32" t="s">
        <v>84</v>
      </c>
      <c r="D52" s="9" t="s">
        <v>9</v>
      </c>
      <c r="E52" s="19">
        <v>3073781141429</v>
      </c>
      <c r="F52" s="31">
        <v>312611</v>
      </c>
      <c r="G52" s="8">
        <f>IFERROR(VLOOKUP(F52,[1]Lulu!$E:$F,2,0),"")</f>
        <v>1735235</v>
      </c>
      <c r="H52" s="141">
        <f t="shared" si="0"/>
        <v>0</v>
      </c>
    </row>
    <row r="53" spans="1:8" ht="15.75" x14ac:dyDescent="0.2">
      <c r="A53" s="9">
        <v>1735236</v>
      </c>
      <c r="B53" s="17" t="s">
        <v>85</v>
      </c>
      <c r="C53" s="32" t="s">
        <v>86</v>
      </c>
      <c r="D53" s="9" t="s">
        <v>9</v>
      </c>
      <c r="E53" s="19">
        <v>3073781141443</v>
      </c>
      <c r="F53" s="31">
        <v>312612</v>
      </c>
      <c r="G53" s="8">
        <f>IFERROR(VLOOKUP(F53,[1]Lulu!$E:$F,2,0),"")</f>
        <v>1735236</v>
      </c>
      <c r="H53" s="141">
        <f t="shared" si="0"/>
        <v>0</v>
      </c>
    </row>
    <row r="54" spans="1:8" ht="15.75" x14ac:dyDescent="0.2">
      <c r="A54" s="9">
        <v>619306</v>
      </c>
      <c r="B54" s="26" t="s">
        <v>87</v>
      </c>
      <c r="C54" s="4" t="s">
        <v>88</v>
      </c>
      <c r="D54" s="9" t="s">
        <v>18</v>
      </c>
      <c r="E54" s="19">
        <v>3073780984492</v>
      </c>
      <c r="F54" s="7">
        <v>215668</v>
      </c>
      <c r="G54" s="8">
        <f>IFERROR(VLOOKUP(F54,[1]Lulu!$E:$F,2,0),"")</f>
        <v>619306</v>
      </c>
      <c r="H54" s="141">
        <f t="shared" si="0"/>
        <v>0</v>
      </c>
    </row>
    <row r="55" spans="1:8" ht="15.75" x14ac:dyDescent="0.2">
      <c r="A55" s="9">
        <v>1084707</v>
      </c>
      <c r="B55" s="26" t="s">
        <v>89</v>
      </c>
      <c r="C55" s="4" t="s">
        <v>90</v>
      </c>
      <c r="D55" s="9" t="s">
        <v>18</v>
      </c>
      <c r="E55" s="19">
        <v>3073781062762</v>
      </c>
      <c r="F55" s="7">
        <v>293035</v>
      </c>
      <c r="G55" s="8">
        <f>IFERROR(VLOOKUP(F55,[1]Lulu!$E:$F,2,0),"")</f>
        <v>1084707</v>
      </c>
      <c r="H55" s="141">
        <f t="shared" si="0"/>
        <v>0</v>
      </c>
    </row>
    <row r="56" spans="1:8" ht="15.75" x14ac:dyDescent="0.2">
      <c r="A56" s="25">
        <v>1084878</v>
      </c>
      <c r="B56" s="26" t="s">
        <v>91</v>
      </c>
      <c r="C56" s="4" t="s">
        <v>88</v>
      </c>
      <c r="D56" s="27" t="s">
        <v>18</v>
      </c>
      <c r="E56" s="10">
        <v>3073781066906</v>
      </c>
      <c r="F56" s="7">
        <v>208761</v>
      </c>
      <c r="G56" s="8">
        <f>IFERROR(VLOOKUP(F56,[1]Lulu!$E:$F,2,0),"")</f>
        <v>1084878</v>
      </c>
      <c r="H56" s="141">
        <f t="shared" si="0"/>
        <v>0</v>
      </c>
    </row>
    <row r="57" spans="1:8" ht="15.75" x14ac:dyDescent="0.2">
      <c r="A57" s="25">
        <v>923774</v>
      </c>
      <c r="B57" s="26" t="s">
        <v>92</v>
      </c>
      <c r="C57" s="4" t="s">
        <v>93</v>
      </c>
      <c r="D57" s="27" t="s">
        <v>18</v>
      </c>
      <c r="E57" s="10">
        <v>3073781066913</v>
      </c>
      <c r="F57" s="7">
        <v>293032</v>
      </c>
      <c r="G57" s="8">
        <f>IFERROR(VLOOKUP(F57,[1]Lulu!$E:$F,2,0),"")</f>
        <v>923774</v>
      </c>
      <c r="H57" s="141">
        <f t="shared" si="0"/>
        <v>0</v>
      </c>
    </row>
    <row r="58" spans="1:8" ht="15.75" x14ac:dyDescent="0.2">
      <c r="A58" s="25">
        <v>1086171</v>
      </c>
      <c r="B58" s="26" t="s">
        <v>94</v>
      </c>
      <c r="C58" s="4" t="s">
        <v>90</v>
      </c>
      <c r="D58" s="27" t="s">
        <v>18</v>
      </c>
      <c r="E58" s="10">
        <v>3073781066920</v>
      </c>
      <c r="F58" s="7">
        <v>293033</v>
      </c>
      <c r="G58" s="8">
        <f>IFERROR(VLOOKUP(F58,[1]Lulu!$E:$F,2,0),"")</f>
        <v>1086171</v>
      </c>
      <c r="H58" s="141">
        <f t="shared" si="0"/>
        <v>0</v>
      </c>
    </row>
    <row r="59" spans="1:8" ht="15.75" x14ac:dyDescent="0.2">
      <c r="A59" s="9">
        <v>366219</v>
      </c>
      <c r="B59" s="26" t="s">
        <v>95</v>
      </c>
      <c r="C59" s="4" t="s">
        <v>96</v>
      </c>
      <c r="D59" s="9"/>
      <c r="E59" s="6">
        <v>3073781010725</v>
      </c>
      <c r="F59" s="7">
        <v>194958</v>
      </c>
      <c r="G59" s="8">
        <f>IFERROR(VLOOKUP(F59,[1]Lulu!$E:$F,2,0),"")</f>
        <v>366219</v>
      </c>
      <c r="H59" s="141">
        <f t="shared" si="0"/>
        <v>0</v>
      </c>
    </row>
    <row r="60" spans="1:8" ht="15.75" x14ac:dyDescent="0.2">
      <c r="A60" s="9">
        <v>758705</v>
      </c>
      <c r="B60" s="26" t="s">
        <v>97</v>
      </c>
      <c r="C60" s="4" t="s">
        <v>98</v>
      </c>
      <c r="D60" s="9"/>
      <c r="E60" s="6">
        <v>3073781010749</v>
      </c>
      <c r="F60" s="7">
        <v>293030</v>
      </c>
      <c r="G60" s="8">
        <f>IFERROR(VLOOKUP(F60,[1]Lulu!$E:$F,2,0),"")</f>
        <v>758705</v>
      </c>
      <c r="H60" s="141">
        <f t="shared" si="0"/>
        <v>0</v>
      </c>
    </row>
    <row r="61" spans="1:8" ht="15.75" x14ac:dyDescent="0.2">
      <c r="A61" s="9">
        <v>1084708</v>
      </c>
      <c r="B61" s="26" t="s">
        <v>99</v>
      </c>
      <c r="C61" s="4" t="s">
        <v>100</v>
      </c>
      <c r="D61" s="9"/>
      <c r="E61" s="6">
        <v>3073781058796</v>
      </c>
      <c r="F61" s="7">
        <v>293031</v>
      </c>
      <c r="G61" s="8">
        <f>IFERROR(VLOOKUP(F61,[1]Lulu!$E:$F,2,0),"")</f>
        <v>1084708</v>
      </c>
      <c r="H61" s="141">
        <f t="shared" si="0"/>
        <v>0</v>
      </c>
    </row>
    <row r="62" spans="1:8" ht="15.75" x14ac:dyDescent="0.2">
      <c r="A62" s="9">
        <v>894053</v>
      </c>
      <c r="B62" s="33" t="s">
        <v>101</v>
      </c>
      <c r="C62" s="34" t="s">
        <v>102</v>
      </c>
      <c r="D62" s="9" t="s">
        <v>24</v>
      </c>
      <c r="E62" s="75">
        <v>3073781054538</v>
      </c>
      <c r="F62" s="35">
        <v>233270</v>
      </c>
      <c r="G62" s="8">
        <f>IFERROR(VLOOKUP(F62,[1]Lulu!$E:$F,2,0),"")</f>
        <v>894053</v>
      </c>
      <c r="H62" s="141">
        <f t="shared" si="0"/>
        <v>0</v>
      </c>
    </row>
    <row r="63" spans="1:8" ht="15.75" x14ac:dyDescent="0.2">
      <c r="A63" s="9">
        <v>1255462</v>
      </c>
      <c r="B63" s="33" t="s">
        <v>103</v>
      </c>
      <c r="C63" s="34" t="s">
        <v>104</v>
      </c>
      <c r="D63" s="9" t="s">
        <v>24</v>
      </c>
      <c r="E63" s="75">
        <v>3073781066937</v>
      </c>
      <c r="F63" s="35">
        <v>233271</v>
      </c>
      <c r="G63" s="8">
        <f>IFERROR(VLOOKUP(F63,[1]Lulu!$E:$F,2,0),"")</f>
        <v>1255462</v>
      </c>
      <c r="H63" s="141">
        <f t="shared" si="0"/>
        <v>0</v>
      </c>
    </row>
    <row r="64" spans="1:8" ht="15.75" x14ac:dyDescent="0.2">
      <c r="A64" s="25">
        <v>342734</v>
      </c>
      <c r="B64" s="26" t="s">
        <v>105</v>
      </c>
      <c r="C64" s="4" t="s">
        <v>106</v>
      </c>
      <c r="D64" s="27" t="s">
        <v>24</v>
      </c>
      <c r="E64" s="29">
        <v>3073780960472</v>
      </c>
      <c r="F64" s="7">
        <v>94715</v>
      </c>
      <c r="G64" s="8">
        <f>IFERROR(VLOOKUP(F64,[1]Lulu!$E:$F,2,0),"")</f>
        <v>342734</v>
      </c>
      <c r="H64" s="141">
        <f t="shared" si="0"/>
        <v>0</v>
      </c>
    </row>
    <row r="65" spans="1:8" ht="15.75" x14ac:dyDescent="0.2">
      <c r="A65" s="25">
        <v>238019</v>
      </c>
      <c r="B65" s="26" t="s">
        <v>105</v>
      </c>
      <c r="C65" s="4" t="s">
        <v>107</v>
      </c>
      <c r="D65" s="27" t="s">
        <v>24</v>
      </c>
      <c r="E65" s="29">
        <v>3073780000437</v>
      </c>
      <c r="F65" s="7">
        <v>195621</v>
      </c>
      <c r="G65" s="8">
        <f>IFERROR(VLOOKUP(F65,[1]Lulu!$E:$F,2,0),"")</f>
        <v>238019</v>
      </c>
      <c r="H65" s="141">
        <f t="shared" si="0"/>
        <v>0</v>
      </c>
    </row>
    <row r="66" spans="1:8" ht="15.75" x14ac:dyDescent="0.2">
      <c r="A66" s="25">
        <v>946783</v>
      </c>
      <c r="B66" s="26" t="s">
        <v>108</v>
      </c>
      <c r="C66" s="4" t="s">
        <v>109</v>
      </c>
      <c r="D66" s="27" t="s">
        <v>24</v>
      </c>
      <c r="E66" s="10"/>
      <c r="F66" s="7">
        <v>94703</v>
      </c>
      <c r="G66" s="8">
        <f>IFERROR(VLOOKUP(F66,[1]Lulu!$E:$F,2,0),"")</f>
        <v>946783</v>
      </c>
      <c r="H66" s="141">
        <f t="shared" si="0"/>
        <v>0</v>
      </c>
    </row>
    <row r="67" spans="1:8" ht="15.75" x14ac:dyDescent="0.2">
      <c r="A67" s="25">
        <v>765692</v>
      </c>
      <c r="B67" s="23" t="s">
        <v>110</v>
      </c>
      <c r="C67" s="4" t="s">
        <v>111</v>
      </c>
      <c r="D67" s="27" t="s">
        <v>24</v>
      </c>
      <c r="E67" s="10"/>
      <c r="F67" s="7">
        <v>195536</v>
      </c>
      <c r="G67" s="8">
        <f>IFERROR(VLOOKUP(F67,[1]Lulu!$E:$F,2,0),"")</f>
        <v>765692</v>
      </c>
      <c r="H67" s="141">
        <f t="shared" ref="H67:H130" si="1">IFERROR(G67-A67,"")</f>
        <v>0</v>
      </c>
    </row>
    <row r="68" spans="1:8" ht="15.75" x14ac:dyDescent="0.2">
      <c r="A68" s="25">
        <v>989753</v>
      </c>
      <c r="B68" s="36" t="s">
        <v>112</v>
      </c>
      <c r="C68" s="30" t="s">
        <v>113</v>
      </c>
      <c r="D68" s="27" t="s">
        <v>24</v>
      </c>
      <c r="E68" s="19">
        <v>3073781053555</v>
      </c>
      <c r="F68" s="7">
        <v>195540</v>
      </c>
      <c r="G68" s="8">
        <f>IFERROR(VLOOKUP(F68,[1]Lulu!$E:$F,2,0),"")</f>
        <v>989753</v>
      </c>
      <c r="H68" s="141">
        <f t="shared" si="1"/>
        <v>0</v>
      </c>
    </row>
    <row r="69" spans="1:8" ht="15.75" x14ac:dyDescent="0.2">
      <c r="A69" s="25">
        <v>8312</v>
      </c>
      <c r="B69" s="26" t="s">
        <v>114</v>
      </c>
      <c r="C69" s="27" t="s">
        <v>115</v>
      </c>
      <c r="D69" s="25" t="s">
        <v>116</v>
      </c>
      <c r="E69" s="29">
        <v>3073780460262</v>
      </c>
      <c r="F69" s="7">
        <v>214355</v>
      </c>
      <c r="G69" s="8">
        <f>IFERROR(VLOOKUP(F69,[1]Lulu!$E:$F,2,0),"")</f>
        <v>8312</v>
      </c>
      <c r="H69" s="141">
        <f t="shared" si="1"/>
        <v>0</v>
      </c>
    </row>
    <row r="70" spans="1:8" ht="15.75" x14ac:dyDescent="0.2">
      <c r="A70" s="25">
        <v>557366</v>
      </c>
      <c r="B70" s="26" t="s">
        <v>117</v>
      </c>
      <c r="C70" s="27" t="s">
        <v>118</v>
      </c>
      <c r="D70" s="25" t="s">
        <v>9</v>
      </c>
      <c r="E70" s="29">
        <v>3073780965828</v>
      </c>
      <c r="F70" s="7">
        <v>94734</v>
      </c>
      <c r="G70" s="8">
        <f>IFERROR(VLOOKUP(F70,[1]Lulu!$E:$F,2,0),"")</f>
        <v>557366</v>
      </c>
      <c r="H70" s="141">
        <f t="shared" si="1"/>
        <v>0</v>
      </c>
    </row>
    <row r="71" spans="1:8" ht="15.75" x14ac:dyDescent="0.2">
      <c r="A71" s="25">
        <v>557367</v>
      </c>
      <c r="B71" s="26" t="s">
        <v>119</v>
      </c>
      <c r="C71" s="27" t="s">
        <v>118</v>
      </c>
      <c r="D71" s="25" t="s">
        <v>9</v>
      </c>
      <c r="E71" s="29">
        <v>3073780965729</v>
      </c>
      <c r="F71" s="7">
        <v>94733</v>
      </c>
      <c r="G71" s="8">
        <f>IFERROR(VLOOKUP(F71,[1]Lulu!$E:$F,2,0),"")</f>
        <v>557367</v>
      </c>
      <c r="H71" s="141">
        <f t="shared" si="1"/>
        <v>0</v>
      </c>
    </row>
    <row r="72" spans="1:8" ht="16.5" thickBot="1" x14ac:dyDescent="0.25">
      <c r="A72" s="37">
        <v>500315</v>
      </c>
      <c r="B72" s="38" t="s">
        <v>120</v>
      </c>
      <c r="C72" s="39" t="s">
        <v>118</v>
      </c>
      <c r="D72" s="70" t="s">
        <v>9</v>
      </c>
      <c r="E72" s="40">
        <v>3073780968508</v>
      </c>
      <c r="F72" s="41">
        <v>94730</v>
      </c>
      <c r="G72" s="8">
        <f>IFERROR(VLOOKUP(F72,[1]Lulu!$E:$F,2,0),"")</f>
        <v>500315</v>
      </c>
      <c r="H72" s="141">
        <f t="shared" si="1"/>
        <v>0</v>
      </c>
    </row>
    <row r="73" spans="1:8" ht="15.75" x14ac:dyDescent="0.2">
      <c r="A73" s="42">
        <v>24592</v>
      </c>
      <c r="B73" s="43" t="s">
        <v>121</v>
      </c>
      <c r="C73" s="44" t="s">
        <v>122</v>
      </c>
      <c r="D73" s="42" t="s">
        <v>123</v>
      </c>
      <c r="E73" s="76">
        <v>8990800303017</v>
      </c>
      <c r="F73" s="77">
        <v>351970</v>
      </c>
      <c r="G73" s="8">
        <f>IFERROR(VLOOKUP(F73,[1]Lulu!$E:$F,2,0),"")</f>
        <v>24592</v>
      </c>
      <c r="H73" s="141">
        <f t="shared" si="1"/>
        <v>0</v>
      </c>
    </row>
    <row r="74" spans="1:8" ht="15.75" x14ac:dyDescent="0.2">
      <c r="A74" s="42">
        <v>24593</v>
      </c>
      <c r="B74" s="43" t="s">
        <v>124</v>
      </c>
      <c r="C74" s="44" t="s">
        <v>122</v>
      </c>
      <c r="D74" s="42" t="s">
        <v>123</v>
      </c>
      <c r="E74" s="76">
        <v>8990800000206</v>
      </c>
      <c r="F74" s="77">
        <v>351378</v>
      </c>
      <c r="G74" s="8">
        <f>IFERROR(VLOOKUP(F74,[1]Lulu!$E:$F,2,0),"")</f>
        <v>24593</v>
      </c>
      <c r="H74" s="141">
        <f t="shared" si="1"/>
        <v>0</v>
      </c>
    </row>
    <row r="75" spans="1:8" ht="15.75" x14ac:dyDescent="0.2">
      <c r="A75" s="42">
        <v>789317</v>
      </c>
      <c r="B75" s="43" t="s">
        <v>125</v>
      </c>
      <c r="C75" s="44" t="s">
        <v>122</v>
      </c>
      <c r="D75" s="42" t="s">
        <v>123</v>
      </c>
      <c r="E75" s="76">
        <v>8990800013244</v>
      </c>
      <c r="F75" s="77">
        <v>351379</v>
      </c>
      <c r="G75" s="8">
        <f>IFERROR(VLOOKUP(F75,[1]Lulu!$E:$F,2,0),"")</f>
        <v>789317</v>
      </c>
      <c r="H75" s="141">
        <f t="shared" si="1"/>
        <v>0</v>
      </c>
    </row>
    <row r="76" spans="1:8" ht="15.75" x14ac:dyDescent="0.2">
      <c r="A76" s="42">
        <v>24591</v>
      </c>
      <c r="B76" s="43" t="s">
        <v>126</v>
      </c>
      <c r="C76" s="44" t="s">
        <v>122</v>
      </c>
      <c r="D76" s="42" t="s">
        <v>123</v>
      </c>
      <c r="E76" s="76">
        <v>8990800030054</v>
      </c>
      <c r="F76" s="77">
        <v>351380</v>
      </c>
      <c r="G76" s="8"/>
      <c r="H76" s="141">
        <f t="shared" si="1"/>
        <v>-24591</v>
      </c>
    </row>
    <row r="77" spans="1:8" ht="15.75" x14ac:dyDescent="0.2">
      <c r="A77" s="42" t="s">
        <v>466</v>
      </c>
      <c r="B77" s="43" t="s">
        <v>127</v>
      </c>
      <c r="C77" s="44" t="s">
        <v>122</v>
      </c>
      <c r="D77" s="42" t="s">
        <v>123</v>
      </c>
      <c r="E77" s="76">
        <v>8990800014517</v>
      </c>
      <c r="F77" s="77">
        <v>351380</v>
      </c>
      <c r="G77" s="8">
        <v>866372</v>
      </c>
      <c r="H77" s="141" t="str">
        <f t="shared" si="1"/>
        <v/>
      </c>
    </row>
    <row r="78" spans="1:8" ht="15.75" x14ac:dyDescent="0.2">
      <c r="A78" s="42">
        <v>1054710</v>
      </c>
      <c r="B78" s="78" t="s">
        <v>128</v>
      </c>
      <c r="C78" s="44" t="s">
        <v>129</v>
      </c>
      <c r="D78" s="42" t="s">
        <v>130</v>
      </c>
      <c r="E78" s="76">
        <v>8990800017211</v>
      </c>
      <c r="F78" s="77">
        <v>194501</v>
      </c>
      <c r="G78" s="8">
        <f>IFERROR(VLOOKUP(F78,[1]Lulu!$E:$F,2,0),"")</f>
        <v>1054710</v>
      </c>
      <c r="H78" s="141">
        <f t="shared" si="1"/>
        <v>0</v>
      </c>
    </row>
    <row r="79" spans="1:8" ht="15.75" x14ac:dyDescent="0.2">
      <c r="A79" s="42">
        <v>1895790</v>
      </c>
      <c r="B79" s="78" t="s">
        <v>131</v>
      </c>
      <c r="C79" s="44" t="s">
        <v>129</v>
      </c>
      <c r="D79" s="42" t="s">
        <v>130</v>
      </c>
      <c r="E79" s="76">
        <v>8990800023496</v>
      </c>
      <c r="F79" s="77">
        <v>352470</v>
      </c>
      <c r="G79" s="8">
        <f>IFERROR(VLOOKUP(F79,[1]Lulu!$E:$F,2,0),"")</f>
        <v>1895790</v>
      </c>
      <c r="H79" s="141">
        <f t="shared" si="1"/>
        <v>0</v>
      </c>
    </row>
    <row r="80" spans="1:8" ht="15.75" x14ac:dyDescent="0.2">
      <c r="A80" s="42">
        <v>1312522</v>
      </c>
      <c r="B80" s="78" t="s">
        <v>132</v>
      </c>
      <c r="C80" s="44"/>
      <c r="D80" s="42" t="s">
        <v>116</v>
      </c>
      <c r="E80" s="76">
        <v>6921211112402</v>
      </c>
      <c r="F80" s="77">
        <v>234076</v>
      </c>
      <c r="G80" s="8">
        <f>IFERROR(VLOOKUP(F80,[1]Lulu!$E:$F,2,0),"")</f>
        <v>1312522</v>
      </c>
      <c r="H80" s="141">
        <f t="shared" si="1"/>
        <v>0</v>
      </c>
    </row>
    <row r="81" spans="1:8" ht="15.75" x14ac:dyDescent="0.2">
      <c r="A81" s="42">
        <v>1551232</v>
      </c>
      <c r="B81" s="46" t="s">
        <v>133</v>
      </c>
      <c r="C81" s="45" t="s">
        <v>134</v>
      </c>
      <c r="D81" s="42" t="s">
        <v>135</v>
      </c>
      <c r="E81" s="79">
        <v>8935001724438</v>
      </c>
      <c r="F81" s="77">
        <v>271359</v>
      </c>
      <c r="G81" s="8">
        <f>IFERROR(VLOOKUP(F81,[1]Lulu!$E:$F,2,0),"")</f>
        <v>1551232</v>
      </c>
      <c r="H81" s="141">
        <f t="shared" si="1"/>
        <v>0</v>
      </c>
    </row>
    <row r="82" spans="1:8" ht="15.75" x14ac:dyDescent="0.2">
      <c r="A82" s="42">
        <v>1551231</v>
      </c>
      <c r="B82" s="80" t="s">
        <v>136</v>
      </c>
      <c r="C82" s="45" t="s">
        <v>134</v>
      </c>
      <c r="D82" s="42" t="s">
        <v>135</v>
      </c>
      <c r="E82" s="79">
        <v>8935001724469</v>
      </c>
      <c r="F82" s="77">
        <v>271358</v>
      </c>
      <c r="G82" s="8">
        <f>IFERROR(VLOOKUP(F82,[1]Lulu!$E:$F,2,0),"")</f>
        <v>1551231</v>
      </c>
      <c r="H82" s="141">
        <f t="shared" si="1"/>
        <v>0</v>
      </c>
    </row>
    <row r="83" spans="1:8" ht="15.75" x14ac:dyDescent="0.2">
      <c r="A83" s="42">
        <v>1708562</v>
      </c>
      <c r="B83" s="46" t="s">
        <v>137</v>
      </c>
      <c r="C83" s="47" t="s">
        <v>138</v>
      </c>
      <c r="D83" s="81" t="s">
        <v>116</v>
      </c>
      <c r="E83" s="48">
        <v>8935001724452</v>
      </c>
      <c r="F83" s="49">
        <v>309760</v>
      </c>
      <c r="G83" s="8">
        <f>IFERROR(VLOOKUP(F83,[1]Lulu!$E:$F,2,0),"")</f>
        <v>1708562</v>
      </c>
      <c r="H83" s="141">
        <f t="shared" si="1"/>
        <v>0</v>
      </c>
    </row>
    <row r="84" spans="1:8" ht="15.75" x14ac:dyDescent="0.2">
      <c r="A84" s="42">
        <v>1708563</v>
      </c>
      <c r="B84" s="46" t="s">
        <v>139</v>
      </c>
      <c r="C84" s="47" t="s">
        <v>138</v>
      </c>
      <c r="D84" s="81" t="s">
        <v>116</v>
      </c>
      <c r="E84" s="48">
        <v>8935001724445</v>
      </c>
      <c r="F84" s="22">
        <v>309771</v>
      </c>
      <c r="G84" s="8">
        <f>IFERROR(VLOOKUP(F84,[1]Lulu!$E:$F,2,0),"")</f>
        <v>1708563</v>
      </c>
      <c r="H84" s="141">
        <f t="shared" si="1"/>
        <v>0</v>
      </c>
    </row>
    <row r="85" spans="1:8" ht="15.75" x14ac:dyDescent="0.2">
      <c r="A85" s="50">
        <v>2032859</v>
      </c>
      <c r="B85" s="51" t="s">
        <v>140</v>
      </c>
      <c r="C85" s="47" t="s">
        <v>138</v>
      </c>
      <c r="D85" s="82" t="s">
        <v>116</v>
      </c>
      <c r="E85" s="48">
        <v>8935001726500</v>
      </c>
      <c r="F85" s="22">
        <v>351374</v>
      </c>
      <c r="G85" s="8">
        <f>IFERROR(VLOOKUP(F85,[1]Lulu!$E:$F,2,0),"")</f>
        <v>2032859</v>
      </c>
      <c r="H85" s="141">
        <f t="shared" si="1"/>
        <v>0</v>
      </c>
    </row>
    <row r="86" spans="1:8" ht="15.75" x14ac:dyDescent="0.2">
      <c r="A86" s="42">
        <v>529679</v>
      </c>
      <c r="B86" s="83" t="s">
        <v>141</v>
      </c>
      <c r="C86" s="44" t="s">
        <v>142</v>
      </c>
      <c r="D86" s="81" t="s">
        <v>116</v>
      </c>
      <c r="E86" s="84">
        <v>8935001706588</v>
      </c>
      <c r="F86" s="77">
        <v>138937</v>
      </c>
      <c r="G86" s="8">
        <f>IFERROR(VLOOKUP(F86,[1]Lulu!$E:$F,2,0),"")</f>
        <v>529679</v>
      </c>
      <c r="H86" s="141">
        <f t="shared" si="1"/>
        <v>0</v>
      </c>
    </row>
    <row r="87" spans="1:8" ht="15.75" x14ac:dyDescent="0.2">
      <c r="A87" s="42">
        <v>529678</v>
      </c>
      <c r="B87" s="83" t="s">
        <v>143</v>
      </c>
      <c r="C87" s="44" t="s">
        <v>142</v>
      </c>
      <c r="D87" s="81" t="s">
        <v>116</v>
      </c>
      <c r="E87" s="84">
        <v>8935001706724</v>
      </c>
      <c r="F87" s="77">
        <v>138938</v>
      </c>
      <c r="G87" s="8">
        <f>IFERROR(VLOOKUP(F87,[1]Lulu!$E:$F,2,0),"")</f>
        <v>529678</v>
      </c>
      <c r="H87" s="141">
        <f t="shared" si="1"/>
        <v>0</v>
      </c>
    </row>
    <row r="88" spans="1:8" ht="15.75" x14ac:dyDescent="0.2">
      <c r="A88" s="42">
        <v>678429</v>
      </c>
      <c r="B88" s="43" t="s">
        <v>144</v>
      </c>
      <c r="C88" s="44" t="s">
        <v>142</v>
      </c>
      <c r="D88" s="81" t="s">
        <v>130</v>
      </c>
      <c r="E88" s="84">
        <v>8003440963203</v>
      </c>
      <c r="F88" s="77">
        <v>138939</v>
      </c>
      <c r="G88" s="8">
        <f>IFERROR(VLOOKUP(F88,[1]Lulu!$E:$F,2,0),"")</f>
        <v>678429</v>
      </c>
      <c r="H88" s="141">
        <f t="shared" si="1"/>
        <v>0</v>
      </c>
    </row>
    <row r="89" spans="1:8" ht="15.75" x14ac:dyDescent="0.2">
      <c r="A89" s="42">
        <v>678428</v>
      </c>
      <c r="B89" s="43" t="s">
        <v>145</v>
      </c>
      <c r="C89" s="44" t="s">
        <v>142</v>
      </c>
      <c r="D89" s="81" t="s">
        <v>130</v>
      </c>
      <c r="E89" s="84">
        <v>8003440963197</v>
      </c>
      <c r="F89" s="77">
        <v>138940</v>
      </c>
      <c r="G89" s="8">
        <f>IFERROR(VLOOKUP(F89,[1]Lulu!$E:$F,2,0),"")</f>
        <v>678428</v>
      </c>
      <c r="H89" s="141">
        <f t="shared" si="1"/>
        <v>0</v>
      </c>
    </row>
    <row r="90" spans="1:8" ht="15.75" x14ac:dyDescent="0.2">
      <c r="A90" s="42">
        <v>723325</v>
      </c>
      <c r="B90" s="43" t="s">
        <v>146</v>
      </c>
      <c r="C90" s="44" t="s">
        <v>147</v>
      </c>
      <c r="D90" s="81" t="s">
        <v>148</v>
      </c>
      <c r="E90" s="84">
        <v>8003440965344</v>
      </c>
      <c r="F90" s="85">
        <v>138942</v>
      </c>
      <c r="G90" s="8">
        <f>IFERROR(VLOOKUP(F90,[1]Lulu!$E:$F,2,0),"")</f>
        <v>723325</v>
      </c>
      <c r="H90" s="141">
        <f t="shared" si="1"/>
        <v>0</v>
      </c>
    </row>
    <row r="91" spans="1:8" ht="15.75" x14ac:dyDescent="0.2">
      <c r="A91" s="42">
        <v>1467352</v>
      </c>
      <c r="B91" s="43" t="s">
        <v>149</v>
      </c>
      <c r="C91" s="44" t="s">
        <v>150</v>
      </c>
      <c r="D91" s="81" t="s">
        <v>116</v>
      </c>
      <c r="E91" s="84">
        <v>8935001724094</v>
      </c>
      <c r="F91" s="85">
        <v>252583</v>
      </c>
      <c r="G91" s="8">
        <f>IFERROR(VLOOKUP(F91,[1]Lulu!$E:$F,2,0),"")</f>
        <v>1467352</v>
      </c>
      <c r="H91" s="141">
        <f t="shared" si="1"/>
        <v>0</v>
      </c>
    </row>
    <row r="92" spans="1:8" ht="15.75" x14ac:dyDescent="0.2">
      <c r="A92" s="42">
        <v>1467355</v>
      </c>
      <c r="B92" s="43" t="s">
        <v>151</v>
      </c>
      <c r="C92" s="44" t="s">
        <v>150</v>
      </c>
      <c r="D92" s="81" t="s">
        <v>116</v>
      </c>
      <c r="E92" s="84">
        <v>8935001724070</v>
      </c>
      <c r="F92" s="85">
        <v>252584</v>
      </c>
      <c r="G92" s="8">
        <f>IFERROR(VLOOKUP(F92,[1]Lulu!$E:$F,2,0),"")</f>
        <v>1467355</v>
      </c>
      <c r="H92" s="141">
        <f t="shared" si="1"/>
        <v>0</v>
      </c>
    </row>
    <row r="93" spans="1:8" ht="15.75" x14ac:dyDescent="0.2">
      <c r="A93" s="42">
        <v>1708550</v>
      </c>
      <c r="B93" s="46" t="s">
        <v>152</v>
      </c>
      <c r="C93" s="47">
        <v>1708550</v>
      </c>
      <c r="D93" s="81" t="s">
        <v>116</v>
      </c>
      <c r="E93" s="52">
        <v>8935001725015</v>
      </c>
      <c r="F93" s="49">
        <v>308535</v>
      </c>
      <c r="G93" s="8">
        <f>IFERROR(VLOOKUP(F93,[1]Lulu!$E:$F,2,0),"")</f>
        <v>1708550</v>
      </c>
      <c r="H93" s="141">
        <f t="shared" si="1"/>
        <v>0</v>
      </c>
    </row>
    <row r="94" spans="1:8" ht="15.75" x14ac:dyDescent="0.2">
      <c r="A94" s="42">
        <v>1708561</v>
      </c>
      <c r="B94" s="46" t="s">
        <v>153</v>
      </c>
      <c r="C94" s="47">
        <v>1708561</v>
      </c>
      <c r="D94" s="81" t="s">
        <v>116</v>
      </c>
      <c r="E94" s="52">
        <v>8935001725039</v>
      </c>
      <c r="F94" s="22">
        <v>308536</v>
      </c>
      <c r="G94" s="8">
        <f>IFERROR(VLOOKUP(F94,[1]Lulu!$E:$F,2,0),"")</f>
        <v>1708561</v>
      </c>
      <c r="H94" s="141">
        <f t="shared" si="1"/>
        <v>0</v>
      </c>
    </row>
    <row r="95" spans="1:8" ht="15.75" x14ac:dyDescent="0.2">
      <c r="A95" s="42">
        <v>1014687</v>
      </c>
      <c r="B95" s="43" t="s">
        <v>154</v>
      </c>
      <c r="C95" s="44" t="s">
        <v>155</v>
      </c>
      <c r="D95" s="86" t="s">
        <v>156</v>
      </c>
      <c r="E95" s="84">
        <v>8935001722519</v>
      </c>
      <c r="F95" s="87">
        <v>183930</v>
      </c>
      <c r="G95" s="8">
        <f>IFERROR(VLOOKUP(F95,[1]Lulu!$E:$F,2,0),"")</f>
        <v>1014687</v>
      </c>
      <c r="H95" s="141">
        <f t="shared" si="1"/>
        <v>0</v>
      </c>
    </row>
    <row r="96" spans="1:8" ht="15.75" x14ac:dyDescent="0.2">
      <c r="A96" s="42">
        <v>1014688</v>
      </c>
      <c r="B96" s="43" t="s">
        <v>157</v>
      </c>
      <c r="C96" s="44" t="s">
        <v>155</v>
      </c>
      <c r="D96" s="81" t="s">
        <v>116</v>
      </c>
      <c r="E96" s="84">
        <v>8935001722533</v>
      </c>
      <c r="F96" s="87">
        <v>184051</v>
      </c>
      <c r="G96" s="8">
        <f>IFERROR(VLOOKUP(F96,[1]Lulu!$E:$F,2,0),"")</f>
        <v>1014688</v>
      </c>
      <c r="H96" s="141">
        <f t="shared" si="1"/>
        <v>0</v>
      </c>
    </row>
    <row r="97" spans="1:8" ht="15.75" x14ac:dyDescent="0.2">
      <c r="A97" s="42">
        <v>678425</v>
      </c>
      <c r="B97" s="43" t="s">
        <v>158</v>
      </c>
      <c r="C97" s="44" t="s">
        <v>159</v>
      </c>
      <c r="D97" s="86" t="s">
        <v>130</v>
      </c>
      <c r="E97" s="84">
        <v>8003440963234</v>
      </c>
      <c r="F97" s="77">
        <v>138945</v>
      </c>
      <c r="G97" s="8">
        <f>IFERROR(VLOOKUP(F97,[1]Lulu!$E:$F,2,0),"")</f>
        <v>678425</v>
      </c>
      <c r="H97" s="141">
        <f t="shared" si="1"/>
        <v>0</v>
      </c>
    </row>
    <row r="98" spans="1:8" ht="15.75" x14ac:dyDescent="0.2">
      <c r="A98" s="42">
        <v>687680</v>
      </c>
      <c r="B98" s="43" t="s">
        <v>160</v>
      </c>
      <c r="C98" s="44" t="s">
        <v>159</v>
      </c>
      <c r="D98" s="86" t="s">
        <v>130</v>
      </c>
      <c r="E98" s="84">
        <v>8003440963210</v>
      </c>
      <c r="F98" s="77">
        <v>138946</v>
      </c>
      <c r="G98" s="8">
        <f>IFERROR(VLOOKUP(F98,[1]Lulu!$E:$F,2,0),"")</f>
        <v>687680</v>
      </c>
      <c r="H98" s="141">
        <f t="shared" si="1"/>
        <v>0</v>
      </c>
    </row>
    <row r="99" spans="1:8" ht="15.75" x14ac:dyDescent="0.2">
      <c r="A99" s="42">
        <v>678426</v>
      </c>
      <c r="B99" s="43" t="s">
        <v>161</v>
      </c>
      <c r="C99" s="44" t="s">
        <v>159</v>
      </c>
      <c r="D99" s="86" t="s">
        <v>130</v>
      </c>
      <c r="E99" s="84">
        <v>8003440963227</v>
      </c>
      <c r="F99" s="77">
        <v>138947</v>
      </c>
      <c r="G99" s="8">
        <f>IFERROR(VLOOKUP(F99,[1]Lulu!$E:$F,2,0),"")</f>
        <v>678426</v>
      </c>
      <c r="H99" s="141">
        <f t="shared" si="1"/>
        <v>0</v>
      </c>
    </row>
    <row r="100" spans="1:8" ht="15.75" x14ac:dyDescent="0.2">
      <c r="A100" s="42">
        <v>744430</v>
      </c>
      <c r="B100" s="43" t="s">
        <v>162</v>
      </c>
      <c r="C100" s="44" t="s">
        <v>163</v>
      </c>
      <c r="D100" s="86" t="s">
        <v>116</v>
      </c>
      <c r="E100" s="84">
        <v>8003440968864</v>
      </c>
      <c r="F100" s="87">
        <v>138948</v>
      </c>
      <c r="G100" s="8">
        <f>IFERROR(VLOOKUP(F100,[1]Lulu!$E:$F,2,0),"")</f>
        <v>744430</v>
      </c>
      <c r="H100" s="141">
        <f t="shared" si="1"/>
        <v>0</v>
      </c>
    </row>
    <row r="101" spans="1:8" ht="15.75" x14ac:dyDescent="0.2">
      <c r="A101" s="42">
        <v>744431</v>
      </c>
      <c r="B101" s="43" t="s">
        <v>164</v>
      </c>
      <c r="C101" s="44" t="s">
        <v>163</v>
      </c>
      <c r="D101" s="86" t="s">
        <v>116</v>
      </c>
      <c r="E101" s="84">
        <v>8003440968802</v>
      </c>
      <c r="F101" s="87">
        <v>138949</v>
      </c>
      <c r="G101" s="8">
        <f>IFERROR(VLOOKUP(F101,[1]Lulu!$E:$F,2,0),"")</f>
        <v>744431</v>
      </c>
      <c r="H101" s="141">
        <f t="shared" si="1"/>
        <v>0</v>
      </c>
    </row>
    <row r="102" spans="1:8" ht="15.75" x14ac:dyDescent="0.2">
      <c r="A102" s="42">
        <v>744432</v>
      </c>
      <c r="B102" s="43" t="s">
        <v>165</v>
      </c>
      <c r="C102" s="44" t="s">
        <v>163</v>
      </c>
      <c r="D102" s="86" t="s">
        <v>116</v>
      </c>
      <c r="E102" s="84">
        <v>8003440968826</v>
      </c>
      <c r="F102" s="87">
        <v>138950</v>
      </c>
      <c r="G102" s="8">
        <f>IFERROR(VLOOKUP(F102,[1]Lulu!$E:$F,2,0),"")</f>
        <v>744432</v>
      </c>
      <c r="H102" s="141">
        <f t="shared" si="1"/>
        <v>0</v>
      </c>
    </row>
    <row r="103" spans="1:8" ht="15.75" x14ac:dyDescent="0.2">
      <c r="A103" s="42">
        <v>905367</v>
      </c>
      <c r="B103" s="53" t="s">
        <v>166</v>
      </c>
      <c r="C103" s="54" t="s">
        <v>167</v>
      </c>
      <c r="D103" s="88" t="s">
        <v>116</v>
      </c>
      <c r="E103" s="89">
        <v>8935001721505</v>
      </c>
      <c r="F103" s="24">
        <v>157590</v>
      </c>
      <c r="G103" s="8">
        <f>IFERROR(VLOOKUP(F103,[1]Lulu!$E:$F,2,0),"")</f>
        <v>905367</v>
      </c>
      <c r="H103" s="141">
        <f t="shared" si="1"/>
        <v>0</v>
      </c>
    </row>
    <row r="104" spans="1:8" ht="15.75" x14ac:dyDescent="0.2">
      <c r="A104" s="42">
        <v>905364</v>
      </c>
      <c r="B104" s="55" t="s">
        <v>168</v>
      </c>
      <c r="C104" s="54" t="s">
        <v>167</v>
      </c>
      <c r="D104" s="88" t="s">
        <v>116</v>
      </c>
      <c r="E104" s="90">
        <v>8935001721529</v>
      </c>
      <c r="F104" s="24">
        <v>157591</v>
      </c>
      <c r="G104" s="8">
        <f>IFERROR(VLOOKUP(F104,[1]Lulu!$E:$F,2,0),"")</f>
        <v>905364</v>
      </c>
      <c r="H104" s="141">
        <f t="shared" si="1"/>
        <v>0</v>
      </c>
    </row>
    <row r="105" spans="1:8" ht="15.75" x14ac:dyDescent="0.2">
      <c r="A105" s="42">
        <v>978427</v>
      </c>
      <c r="B105" s="56" t="s">
        <v>169</v>
      </c>
      <c r="C105" s="54" t="s">
        <v>167</v>
      </c>
      <c r="D105" s="88" t="s">
        <v>116</v>
      </c>
      <c r="E105" s="91">
        <v>8935001722496</v>
      </c>
      <c r="F105" s="24">
        <v>176179</v>
      </c>
      <c r="G105" s="8">
        <f>IFERROR(VLOOKUP(F105,[1]Lulu!$E:$F,2,0),"")</f>
        <v>978427</v>
      </c>
      <c r="H105" s="141">
        <f t="shared" si="1"/>
        <v>0</v>
      </c>
    </row>
    <row r="106" spans="1:8" ht="15.75" x14ac:dyDescent="0.2">
      <c r="A106" s="42">
        <v>978428</v>
      </c>
      <c r="B106" s="57" t="s">
        <v>170</v>
      </c>
      <c r="C106" s="54" t="s">
        <v>167</v>
      </c>
      <c r="D106" s="88" t="s">
        <v>116</v>
      </c>
      <c r="E106" s="92">
        <v>8935001722472</v>
      </c>
      <c r="F106" s="24">
        <v>176180</v>
      </c>
      <c r="G106" s="8">
        <f>IFERROR(VLOOKUP(F106,[1]Lulu!$E:$F,2,0),"")</f>
        <v>978428</v>
      </c>
      <c r="H106" s="141">
        <f t="shared" si="1"/>
        <v>0</v>
      </c>
    </row>
    <row r="107" spans="1:8" ht="15.75" x14ac:dyDescent="0.2">
      <c r="A107" s="42">
        <v>899867</v>
      </c>
      <c r="B107" s="83" t="s">
        <v>171</v>
      </c>
      <c r="C107" s="30" t="s">
        <v>172</v>
      </c>
      <c r="D107" s="19" t="s">
        <v>116</v>
      </c>
      <c r="E107" s="76">
        <v>8935001720218</v>
      </c>
      <c r="F107" s="77">
        <v>138936</v>
      </c>
      <c r="G107" s="8">
        <f>IFERROR(VLOOKUP(F107,[1]Lulu!$E:$F,2,0),"")</f>
        <v>899867</v>
      </c>
      <c r="H107" s="141">
        <f t="shared" si="1"/>
        <v>0</v>
      </c>
    </row>
    <row r="108" spans="1:8" ht="15.75" x14ac:dyDescent="0.2">
      <c r="A108" s="42">
        <v>340239</v>
      </c>
      <c r="B108" s="93" t="s">
        <v>173</v>
      </c>
      <c r="C108" s="32" t="s">
        <v>174</v>
      </c>
      <c r="D108" s="94" t="s">
        <v>130</v>
      </c>
      <c r="E108" s="130">
        <v>8990800007809</v>
      </c>
      <c r="F108" s="31">
        <v>176176</v>
      </c>
      <c r="G108" s="8">
        <f>IFERROR(VLOOKUP(F108,[1]Lulu!$E:$F,2,0),"")</f>
        <v>340239</v>
      </c>
      <c r="H108" s="141">
        <f t="shared" si="1"/>
        <v>0</v>
      </c>
    </row>
    <row r="109" spans="1:8" ht="15.75" x14ac:dyDescent="0.2">
      <c r="A109" s="50">
        <v>1933443</v>
      </c>
      <c r="B109" s="95" t="s">
        <v>175</v>
      </c>
      <c r="C109" s="96" t="s">
        <v>176</v>
      </c>
      <c r="D109" s="97" t="s">
        <v>130</v>
      </c>
      <c r="E109" s="98">
        <v>6921211117025</v>
      </c>
      <c r="F109" s="31">
        <v>351375</v>
      </c>
      <c r="G109" s="8">
        <f>IFERROR(VLOOKUP(F109,[1]Lulu!$E:$F,2,0),"")</f>
        <v>1933443</v>
      </c>
      <c r="H109" s="141">
        <f t="shared" si="1"/>
        <v>0</v>
      </c>
    </row>
    <row r="110" spans="1:8" ht="15.75" x14ac:dyDescent="0.2">
      <c r="A110" s="50">
        <v>1933441</v>
      </c>
      <c r="B110" s="95" t="s">
        <v>177</v>
      </c>
      <c r="C110" s="96" t="s">
        <v>176</v>
      </c>
      <c r="D110" s="97" t="s">
        <v>130</v>
      </c>
      <c r="E110" s="98">
        <v>6921211117100</v>
      </c>
      <c r="F110" s="31">
        <v>351376</v>
      </c>
      <c r="G110" s="8">
        <f>IFERROR(VLOOKUP(F110,[1]Lulu!$E:$F,2,0),"")</f>
        <v>1933441</v>
      </c>
      <c r="H110" s="141">
        <f t="shared" si="1"/>
        <v>0</v>
      </c>
    </row>
    <row r="111" spans="1:8" ht="15.75" x14ac:dyDescent="0.2">
      <c r="A111" s="50">
        <v>1933445</v>
      </c>
      <c r="B111" s="95" t="s">
        <v>178</v>
      </c>
      <c r="C111" s="96" t="s">
        <v>176</v>
      </c>
      <c r="D111" s="97" t="s">
        <v>130</v>
      </c>
      <c r="E111" s="98">
        <v>6921211118138</v>
      </c>
      <c r="F111" s="31">
        <v>351377</v>
      </c>
      <c r="G111" s="8">
        <f>IFERROR(VLOOKUP(F111,[1]Lulu!$E:$F,2,0),"")</f>
        <v>1933445</v>
      </c>
      <c r="H111" s="141">
        <f t="shared" si="1"/>
        <v>0</v>
      </c>
    </row>
    <row r="112" spans="1:8" ht="15.75" x14ac:dyDescent="0.2">
      <c r="A112" s="50">
        <v>1933448</v>
      </c>
      <c r="B112" s="95" t="s">
        <v>179</v>
      </c>
      <c r="C112" s="96" t="s">
        <v>180</v>
      </c>
      <c r="D112" s="97" t="s">
        <v>116</v>
      </c>
      <c r="E112" s="98">
        <v>8935001726005</v>
      </c>
      <c r="F112" s="31">
        <v>353006</v>
      </c>
      <c r="G112" s="8">
        <f>IFERROR(VLOOKUP(F112,[1]Lulu!$E:$F,2,0),"")</f>
        <v>1933448</v>
      </c>
      <c r="H112" s="141">
        <f t="shared" si="1"/>
        <v>0</v>
      </c>
    </row>
    <row r="113" spans="1:8" ht="15.75" x14ac:dyDescent="0.2">
      <c r="A113" s="50">
        <v>1933451</v>
      </c>
      <c r="B113" s="95" t="s">
        <v>181</v>
      </c>
      <c r="C113" s="96" t="s">
        <v>180</v>
      </c>
      <c r="D113" s="97" t="s">
        <v>116</v>
      </c>
      <c r="E113" s="98">
        <v>8935001726050</v>
      </c>
      <c r="F113" s="31">
        <v>353007</v>
      </c>
      <c r="G113" s="8">
        <f>IFERROR(VLOOKUP(F113,[1]Lulu!$E:$F,2,0),"")</f>
        <v>1933451</v>
      </c>
      <c r="H113" s="141">
        <f t="shared" si="1"/>
        <v>0</v>
      </c>
    </row>
    <row r="114" spans="1:8" ht="15.75" x14ac:dyDescent="0.2">
      <c r="A114" s="42">
        <v>24828</v>
      </c>
      <c r="B114" s="43" t="s">
        <v>182</v>
      </c>
      <c r="C114" s="44" t="s">
        <v>183</v>
      </c>
      <c r="D114" s="86" t="s">
        <v>156</v>
      </c>
      <c r="E114" s="84">
        <v>8710800970473</v>
      </c>
      <c r="F114" s="77">
        <v>229396</v>
      </c>
      <c r="G114" s="8">
        <f>IFERROR(VLOOKUP(F114,[1]Lulu!$E:$F,2,0),"")</f>
        <v>24828</v>
      </c>
      <c r="H114" s="141">
        <f t="shared" si="1"/>
        <v>0</v>
      </c>
    </row>
    <row r="115" spans="1:8" ht="15.75" x14ac:dyDescent="0.2">
      <c r="A115" s="42">
        <v>24826</v>
      </c>
      <c r="B115" s="43" t="s">
        <v>184</v>
      </c>
      <c r="C115" s="44" t="s">
        <v>183</v>
      </c>
      <c r="D115" s="86" t="s">
        <v>156</v>
      </c>
      <c r="E115" s="84">
        <v>8710800970480</v>
      </c>
      <c r="F115" s="77">
        <v>229395</v>
      </c>
      <c r="G115" s="8">
        <f>IFERROR(VLOOKUP(F115,[1]Lulu!$E:$F,2,0),"")</f>
        <v>24826</v>
      </c>
      <c r="H115" s="141">
        <f t="shared" si="1"/>
        <v>0</v>
      </c>
    </row>
    <row r="116" spans="1:8" ht="15.75" x14ac:dyDescent="0.2">
      <c r="A116" s="42">
        <v>31274</v>
      </c>
      <c r="B116" s="43" t="s">
        <v>185</v>
      </c>
      <c r="C116" s="44" t="s">
        <v>183</v>
      </c>
      <c r="D116" s="86" t="s">
        <v>116</v>
      </c>
      <c r="E116" s="84">
        <v>8710800972804</v>
      </c>
      <c r="F116" s="77">
        <v>229394</v>
      </c>
      <c r="G116" s="8">
        <f>IFERROR(VLOOKUP(F116,[1]Lulu!$E:$F,2,0),"")</f>
        <v>31274</v>
      </c>
      <c r="H116" s="141">
        <f t="shared" si="1"/>
        <v>0</v>
      </c>
    </row>
    <row r="117" spans="1:8" ht="15.75" x14ac:dyDescent="0.2">
      <c r="A117" s="42">
        <v>24824</v>
      </c>
      <c r="B117" s="43" t="s">
        <v>186</v>
      </c>
      <c r="C117" s="44" t="s">
        <v>183</v>
      </c>
      <c r="D117" s="86" t="s">
        <v>156</v>
      </c>
      <c r="E117" s="84">
        <v>8710800970497</v>
      </c>
      <c r="F117" s="77">
        <v>229397</v>
      </c>
      <c r="G117" s="8">
        <f>IFERROR(VLOOKUP(F117,[1]Lulu!$E:$F,2,0),"")</f>
        <v>24824</v>
      </c>
      <c r="H117" s="141">
        <f t="shared" si="1"/>
        <v>0</v>
      </c>
    </row>
    <row r="118" spans="1:8" ht="16.5" thickBot="1" x14ac:dyDescent="0.25">
      <c r="A118" s="42">
        <v>1521988</v>
      </c>
      <c r="B118" s="46" t="s">
        <v>187</v>
      </c>
      <c r="C118" s="47" t="s">
        <v>188</v>
      </c>
      <c r="D118" s="86" t="s">
        <v>116</v>
      </c>
      <c r="E118" s="99">
        <v>6921211114338</v>
      </c>
      <c r="F118" s="77">
        <v>269087</v>
      </c>
      <c r="G118" s="8">
        <f>IFERROR(VLOOKUP(F118,[1]Lulu!$E:$F,2,0),"")</f>
        <v>1521988</v>
      </c>
      <c r="H118" s="141">
        <f t="shared" si="1"/>
        <v>0</v>
      </c>
    </row>
    <row r="119" spans="1:8" ht="16.5" thickBot="1" x14ac:dyDescent="0.25">
      <c r="A119" s="42">
        <v>1521984</v>
      </c>
      <c r="B119" s="80" t="s">
        <v>189</v>
      </c>
      <c r="C119" s="47" t="s">
        <v>188</v>
      </c>
      <c r="D119" s="86" t="s">
        <v>116</v>
      </c>
      <c r="E119" s="99">
        <v>6921211114307</v>
      </c>
      <c r="F119" s="77">
        <v>269088</v>
      </c>
      <c r="G119" s="8">
        <f>IFERROR(VLOOKUP(F119,[1]Lulu!$E:$F,2,0),"")</f>
        <v>1521984</v>
      </c>
      <c r="H119" s="141">
        <f t="shared" si="1"/>
        <v>0</v>
      </c>
    </row>
    <row r="120" spans="1:8" ht="15.75" x14ac:dyDescent="0.2">
      <c r="A120" s="42">
        <v>1521995</v>
      </c>
      <c r="B120" s="46" t="s">
        <v>190</v>
      </c>
      <c r="C120" s="47" t="s">
        <v>191</v>
      </c>
      <c r="D120" s="86" t="s">
        <v>130</v>
      </c>
      <c r="E120" s="48">
        <v>6921211114994</v>
      </c>
      <c r="F120" s="77">
        <v>269086</v>
      </c>
      <c r="G120" s="8">
        <f>IFERROR(VLOOKUP(F120,[1]Lulu!$E:$F,2,0),"")</f>
        <v>1521995</v>
      </c>
      <c r="H120" s="141">
        <f t="shared" si="1"/>
        <v>0</v>
      </c>
    </row>
    <row r="121" spans="1:8" ht="15.75" x14ac:dyDescent="0.2">
      <c r="A121" s="42">
        <v>895452</v>
      </c>
      <c r="B121" s="43" t="s">
        <v>192</v>
      </c>
      <c r="C121" s="44" t="s">
        <v>193</v>
      </c>
      <c r="D121" s="86" t="s">
        <v>156</v>
      </c>
      <c r="E121" s="84">
        <v>8410031948745</v>
      </c>
      <c r="F121" s="31">
        <v>176183</v>
      </c>
      <c r="G121" s="8">
        <f>IFERROR(VLOOKUP(F121,[1]Lulu!$E:$F,2,0),"")</f>
        <v>895452</v>
      </c>
      <c r="H121" s="141">
        <f t="shared" si="1"/>
        <v>0</v>
      </c>
    </row>
    <row r="122" spans="1:8" ht="15.75" x14ac:dyDescent="0.2">
      <c r="A122" s="42">
        <v>895419</v>
      </c>
      <c r="B122" s="43" t="s">
        <v>194</v>
      </c>
      <c r="C122" s="44" t="s">
        <v>193</v>
      </c>
      <c r="D122" s="86" t="s">
        <v>156</v>
      </c>
      <c r="E122" s="84">
        <v>8410031945737</v>
      </c>
      <c r="F122" s="31">
        <v>176184</v>
      </c>
      <c r="G122" s="8">
        <f>IFERROR(VLOOKUP(F122,[1]Lulu!$E:$F,2,0),"")</f>
        <v>895419</v>
      </c>
      <c r="H122" s="141">
        <f t="shared" si="1"/>
        <v>0</v>
      </c>
    </row>
    <row r="123" spans="1:8" ht="15.75" x14ac:dyDescent="0.2">
      <c r="A123" s="58"/>
      <c r="B123" s="58" t="s">
        <v>195</v>
      </c>
      <c r="C123" s="58"/>
      <c r="D123" s="59"/>
      <c r="E123" s="60"/>
      <c r="F123" s="61"/>
      <c r="G123" s="8" t="str">
        <f>IFERROR(VLOOKUP(F123,[1]Lulu!$E:$F,2,0),"")</f>
        <v/>
      </c>
      <c r="H123" s="141" t="str">
        <f t="shared" si="1"/>
        <v/>
      </c>
    </row>
    <row r="124" spans="1:8" ht="15.75" x14ac:dyDescent="0.2">
      <c r="A124" s="42">
        <v>1011941</v>
      </c>
      <c r="B124" s="43" t="s">
        <v>196</v>
      </c>
      <c r="C124" s="44" t="s">
        <v>197</v>
      </c>
      <c r="D124" s="86" t="s">
        <v>130</v>
      </c>
      <c r="E124" s="84">
        <v>84198013</v>
      </c>
      <c r="F124" s="24">
        <v>176185</v>
      </c>
      <c r="G124" s="8">
        <f>IFERROR(VLOOKUP(F124,[1]Lulu!$E:$F,2,0),"")</f>
        <v>1011941</v>
      </c>
      <c r="H124" s="141">
        <f t="shared" si="1"/>
        <v>0</v>
      </c>
    </row>
    <row r="125" spans="1:8" ht="15.75" x14ac:dyDescent="0.2">
      <c r="A125" s="42">
        <v>989033</v>
      </c>
      <c r="B125" s="43" t="s">
        <v>198</v>
      </c>
      <c r="C125" s="44" t="s">
        <v>197</v>
      </c>
      <c r="D125" s="86" t="s">
        <v>130</v>
      </c>
      <c r="E125" s="84">
        <v>84198020</v>
      </c>
      <c r="F125" s="100">
        <v>176186</v>
      </c>
      <c r="G125" s="8">
        <f>IFERROR(VLOOKUP(F125,[1]Lulu!$E:$F,2,0),"")</f>
        <v>989033</v>
      </c>
      <c r="H125" s="141">
        <f t="shared" si="1"/>
        <v>0</v>
      </c>
    </row>
    <row r="126" spans="1:8" ht="15.75" x14ac:dyDescent="0.2">
      <c r="A126" s="42">
        <v>1011572</v>
      </c>
      <c r="B126" s="43" t="s">
        <v>199</v>
      </c>
      <c r="C126" s="44" t="s">
        <v>197</v>
      </c>
      <c r="D126" s="86" t="s">
        <v>130</v>
      </c>
      <c r="E126" s="84">
        <v>84198006</v>
      </c>
      <c r="F126" s="100">
        <v>176187</v>
      </c>
      <c r="G126" s="8">
        <f>IFERROR(VLOOKUP(F126,[1]Lulu!$E:$F,2,0),"")</f>
        <v>1011572</v>
      </c>
      <c r="H126" s="141">
        <f t="shared" si="1"/>
        <v>0</v>
      </c>
    </row>
    <row r="127" spans="1:8" ht="15.75" x14ac:dyDescent="0.2">
      <c r="A127" s="42">
        <v>895450</v>
      </c>
      <c r="B127" s="43" t="s">
        <v>200</v>
      </c>
      <c r="C127" s="44" t="s">
        <v>193</v>
      </c>
      <c r="D127" s="86"/>
      <c r="E127" s="76">
        <v>8410031945713</v>
      </c>
      <c r="F127" s="100">
        <v>234071</v>
      </c>
      <c r="G127" s="8">
        <f>IFERROR(VLOOKUP(F127,[1]Lulu!$E:$F,2,0),"")</f>
        <v>895450</v>
      </c>
      <c r="H127" s="141">
        <f t="shared" si="1"/>
        <v>0</v>
      </c>
    </row>
    <row r="128" spans="1:8" ht="15.75" x14ac:dyDescent="0.2">
      <c r="A128" s="42">
        <v>428880</v>
      </c>
      <c r="B128" s="55" t="s">
        <v>201</v>
      </c>
      <c r="C128" s="42" t="s">
        <v>202</v>
      </c>
      <c r="D128" s="86" t="s">
        <v>135</v>
      </c>
      <c r="E128" s="90">
        <v>8410031937503</v>
      </c>
      <c r="F128" s="100">
        <v>176194</v>
      </c>
      <c r="G128" s="8">
        <f>IFERROR(VLOOKUP(F128,[1]Lulu!$E:$F,2,0),"")</f>
        <v>428880</v>
      </c>
      <c r="H128" s="141">
        <f t="shared" si="1"/>
        <v>0</v>
      </c>
    </row>
    <row r="129" spans="1:10" ht="15.75" x14ac:dyDescent="0.2">
      <c r="A129" s="42">
        <v>428836</v>
      </c>
      <c r="B129" s="56" t="s">
        <v>203</v>
      </c>
      <c r="C129" s="42" t="s">
        <v>202</v>
      </c>
      <c r="D129" s="86" t="s">
        <v>135</v>
      </c>
      <c r="E129" s="90">
        <v>8410031937527</v>
      </c>
      <c r="F129" s="100">
        <v>176195</v>
      </c>
      <c r="G129" s="8">
        <f>IFERROR(VLOOKUP(F129,[1]Lulu!$E:$F,2,0),"")</f>
        <v>428836</v>
      </c>
      <c r="H129" s="141">
        <f t="shared" si="1"/>
        <v>0</v>
      </c>
    </row>
    <row r="130" spans="1:10" ht="15.75" x14ac:dyDescent="0.2">
      <c r="A130" s="42">
        <v>428837</v>
      </c>
      <c r="B130" s="57" t="s">
        <v>204</v>
      </c>
      <c r="C130" s="42" t="s">
        <v>202</v>
      </c>
      <c r="D130" s="86" t="s">
        <v>135</v>
      </c>
      <c r="E130" s="92">
        <v>8410031937541</v>
      </c>
      <c r="F130" s="100">
        <v>176196</v>
      </c>
      <c r="G130" s="8">
        <f>IFERROR(VLOOKUP(F130,[1]Lulu!$E:$F,2,0),"")</f>
        <v>428837</v>
      </c>
      <c r="H130" s="141">
        <f t="shared" si="1"/>
        <v>0</v>
      </c>
    </row>
    <row r="131" spans="1:10" ht="15.75" x14ac:dyDescent="0.2">
      <c r="A131" s="42">
        <v>682368</v>
      </c>
      <c r="B131" s="56" t="s">
        <v>205</v>
      </c>
      <c r="C131" s="42" t="s">
        <v>202</v>
      </c>
      <c r="D131" s="86" t="s">
        <v>116</v>
      </c>
      <c r="E131" s="90">
        <v>8410031940015</v>
      </c>
      <c r="F131" s="100">
        <v>176197</v>
      </c>
      <c r="G131" s="8">
        <f>IFERROR(VLOOKUP(F131,[1]Lulu!$E:$F,2,0),"")</f>
        <v>682368</v>
      </c>
      <c r="H131" s="141">
        <f t="shared" ref="H131:H194" si="2">IFERROR(G131-A131,"")</f>
        <v>0</v>
      </c>
    </row>
    <row r="132" spans="1:10" ht="15.75" x14ac:dyDescent="0.2">
      <c r="A132" s="42">
        <v>16305</v>
      </c>
      <c r="B132" s="56" t="s">
        <v>206</v>
      </c>
      <c r="C132" s="42" t="s">
        <v>207</v>
      </c>
      <c r="D132" s="86" t="s">
        <v>156</v>
      </c>
      <c r="E132" s="64">
        <v>84155634</v>
      </c>
      <c r="F132" s="100">
        <v>176188</v>
      </c>
      <c r="G132" s="8">
        <f>IFERROR(VLOOKUP(F132,[1]Lulu!$E:$F,2,0),"")</f>
        <v>16305</v>
      </c>
      <c r="H132" s="141">
        <f t="shared" si="2"/>
        <v>0</v>
      </c>
    </row>
    <row r="133" spans="1:10" ht="15.75" x14ac:dyDescent="0.2">
      <c r="A133" s="42">
        <v>16291</v>
      </c>
      <c r="B133" s="56" t="s">
        <v>208</v>
      </c>
      <c r="C133" s="42" t="s">
        <v>207</v>
      </c>
      <c r="D133" s="86" t="s">
        <v>156</v>
      </c>
      <c r="E133" s="64">
        <v>84158833</v>
      </c>
      <c r="F133" s="100">
        <v>176189</v>
      </c>
      <c r="G133" s="8">
        <f>IFERROR(VLOOKUP(F133,[1]Lulu!$E:$F,2,0),"")</f>
        <v>16291</v>
      </c>
      <c r="H133" s="141">
        <f t="shared" si="2"/>
        <v>0</v>
      </c>
    </row>
    <row r="134" spans="1:10" ht="15.75" x14ac:dyDescent="0.2">
      <c r="A134" s="42">
        <v>16304</v>
      </c>
      <c r="B134" s="56" t="s">
        <v>209</v>
      </c>
      <c r="C134" s="42" t="s">
        <v>207</v>
      </c>
      <c r="D134" s="86" t="s">
        <v>156</v>
      </c>
      <c r="E134" s="64">
        <v>84158826</v>
      </c>
      <c r="F134" s="100">
        <v>176190</v>
      </c>
      <c r="G134" s="8">
        <f>IFERROR(VLOOKUP(F134,[1]Lulu!$E:$F,2,0),"")</f>
        <v>16304</v>
      </c>
      <c r="H134" s="141">
        <f t="shared" si="2"/>
        <v>0</v>
      </c>
    </row>
    <row r="135" spans="1:10" ht="15.75" x14ac:dyDescent="0.2">
      <c r="A135" s="42">
        <v>87213</v>
      </c>
      <c r="B135" s="56" t="s">
        <v>210</v>
      </c>
      <c r="C135" s="42" t="s">
        <v>207</v>
      </c>
      <c r="D135" s="86" t="s">
        <v>156</v>
      </c>
      <c r="E135" s="64">
        <v>84196033</v>
      </c>
      <c r="F135" s="100">
        <v>176191</v>
      </c>
      <c r="G135" s="8">
        <f>IFERROR(VLOOKUP(F135,[1]Lulu!$E:$F,2,0),"")</f>
        <v>87213</v>
      </c>
      <c r="H135" s="141">
        <f t="shared" si="2"/>
        <v>0</v>
      </c>
    </row>
    <row r="136" spans="1:10" ht="15.75" x14ac:dyDescent="0.2">
      <c r="A136" s="42">
        <v>239507</v>
      </c>
      <c r="B136" s="62" t="s">
        <v>211</v>
      </c>
      <c r="C136" s="54" t="s">
        <v>212</v>
      </c>
      <c r="D136" s="101" t="s">
        <v>130</v>
      </c>
      <c r="E136" s="90">
        <v>8410031991443</v>
      </c>
      <c r="F136" s="24">
        <v>176198</v>
      </c>
      <c r="G136" s="8">
        <f>IFERROR(VLOOKUP(F136,[1]Lulu!$E:$F,2,0),"")</f>
        <v>239507</v>
      </c>
      <c r="H136" s="141">
        <f t="shared" si="2"/>
        <v>0</v>
      </c>
    </row>
    <row r="137" spans="1:10" ht="15.75" x14ac:dyDescent="0.2">
      <c r="A137" s="42">
        <v>78183</v>
      </c>
      <c r="B137" s="62" t="s">
        <v>213</v>
      </c>
      <c r="C137" s="54" t="s">
        <v>212</v>
      </c>
      <c r="D137" s="101" t="s">
        <v>130</v>
      </c>
      <c r="E137" s="90">
        <v>8410031996852</v>
      </c>
      <c r="F137" s="24">
        <v>176199</v>
      </c>
      <c r="G137" s="8">
        <f>IFERROR(VLOOKUP(F137,[1]Lulu!$E:$F,2,0),"")</f>
        <v>78183</v>
      </c>
      <c r="H137" s="141">
        <f t="shared" si="2"/>
        <v>0</v>
      </c>
    </row>
    <row r="138" spans="1:10" ht="15.75" x14ac:dyDescent="0.2">
      <c r="A138" s="42">
        <v>24799</v>
      </c>
      <c r="B138" s="62" t="s">
        <v>214</v>
      </c>
      <c r="C138" s="54" t="s">
        <v>212</v>
      </c>
      <c r="D138" s="101" t="s">
        <v>130</v>
      </c>
      <c r="E138" s="90">
        <v>8410031122510</v>
      </c>
      <c r="F138" s="24">
        <v>176200</v>
      </c>
      <c r="G138" s="8">
        <f>IFERROR(VLOOKUP(F138,[1]Lulu!$E:$F,2,0),"")</f>
        <v>24799</v>
      </c>
      <c r="H138" s="141">
        <f t="shared" si="2"/>
        <v>0</v>
      </c>
    </row>
    <row r="139" spans="1:10" ht="15.75" x14ac:dyDescent="0.2">
      <c r="A139" s="42">
        <v>24798</v>
      </c>
      <c r="B139" s="62" t="s">
        <v>215</v>
      </c>
      <c r="C139" s="54" t="s">
        <v>212</v>
      </c>
      <c r="D139" s="101" t="s">
        <v>130</v>
      </c>
      <c r="E139" s="90">
        <v>8410031132519</v>
      </c>
      <c r="F139" s="24">
        <v>176201</v>
      </c>
      <c r="G139" s="8">
        <f>IFERROR(VLOOKUP(F139,[1]Lulu!$E:$F,2,0),"")</f>
        <v>24798</v>
      </c>
      <c r="H139" s="141">
        <f t="shared" si="2"/>
        <v>0</v>
      </c>
    </row>
    <row r="140" spans="1:10" ht="15.75" x14ac:dyDescent="0.2">
      <c r="A140" s="42">
        <v>405148</v>
      </c>
      <c r="B140" s="56" t="s">
        <v>216</v>
      </c>
      <c r="C140" s="42" t="s">
        <v>217</v>
      </c>
      <c r="D140" s="101" t="s">
        <v>130</v>
      </c>
      <c r="E140" s="90">
        <v>8410031923605</v>
      </c>
      <c r="F140" s="100">
        <v>176204</v>
      </c>
      <c r="G140" s="8">
        <f>IFERROR(VLOOKUP(F140,[1]Lulu!$E:$F,2,0),"")</f>
        <v>405148</v>
      </c>
      <c r="H140" s="141">
        <f t="shared" si="2"/>
        <v>0</v>
      </c>
    </row>
    <row r="141" spans="1:10" ht="15.75" x14ac:dyDescent="0.2">
      <c r="A141" s="42">
        <v>512204</v>
      </c>
      <c r="B141" s="56" t="s">
        <v>218</v>
      </c>
      <c r="C141" s="42" t="s">
        <v>219</v>
      </c>
      <c r="D141" s="101" t="s">
        <v>130</v>
      </c>
      <c r="E141" s="90">
        <v>8410031936988</v>
      </c>
      <c r="F141" s="100">
        <v>376613</v>
      </c>
      <c r="G141" s="8">
        <f>IFERROR(VLOOKUP(I141,[1]Lulu!$E:$F,2,0),"")</f>
        <v>512204</v>
      </c>
      <c r="H141" s="141">
        <f t="shared" si="2"/>
        <v>0</v>
      </c>
      <c r="I141" s="24">
        <v>176205</v>
      </c>
      <c r="J141" s="24">
        <v>176205</v>
      </c>
    </row>
    <row r="142" spans="1:10" ht="15.75" x14ac:dyDescent="0.2">
      <c r="A142" s="42">
        <v>69869</v>
      </c>
      <c r="B142" s="56" t="s">
        <v>220</v>
      </c>
      <c r="C142" s="42" t="s">
        <v>221</v>
      </c>
      <c r="D142" s="101" t="s">
        <v>130</v>
      </c>
      <c r="E142" s="90">
        <v>84194107</v>
      </c>
      <c r="F142" s="24">
        <v>176206</v>
      </c>
      <c r="G142" s="8">
        <f>IFERROR(VLOOKUP(F142,[1]Lulu!$E:$F,2,0),"")</f>
        <v>69869</v>
      </c>
      <c r="H142" s="141">
        <f t="shared" si="2"/>
        <v>0</v>
      </c>
    </row>
    <row r="143" spans="1:10" ht="15.75" x14ac:dyDescent="0.2">
      <c r="A143" s="42">
        <v>69868</v>
      </c>
      <c r="B143" s="56" t="s">
        <v>222</v>
      </c>
      <c r="C143" s="42" t="s">
        <v>223</v>
      </c>
      <c r="D143" s="101" t="s">
        <v>156</v>
      </c>
      <c r="E143" s="90">
        <v>84196859</v>
      </c>
      <c r="F143" s="100">
        <v>176207</v>
      </c>
      <c r="G143" s="8">
        <f>IFERROR(VLOOKUP(F143,[1]Lulu!$E:$F,2,0),"")</f>
        <v>69868</v>
      </c>
      <c r="H143" s="141">
        <f t="shared" si="2"/>
        <v>0</v>
      </c>
    </row>
    <row r="144" spans="1:10" ht="15.75" x14ac:dyDescent="0.2">
      <c r="A144" s="42">
        <v>723058</v>
      </c>
      <c r="B144" s="56" t="s">
        <v>224</v>
      </c>
      <c r="C144" s="63" t="s">
        <v>225</v>
      </c>
      <c r="D144" s="42"/>
      <c r="E144" s="76">
        <v>4601798070211</v>
      </c>
      <c r="F144" s="100">
        <v>176208</v>
      </c>
      <c r="G144" s="8">
        <f>IFERROR(VLOOKUP(F144,[1]Lulu!$E:$F,2,0),"")</f>
        <v>723058</v>
      </c>
      <c r="H144" s="141">
        <f t="shared" si="2"/>
        <v>0</v>
      </c>
    </row>
    <row r="145" spans="1:8" ht="15.75" x14ac:dyDescent="0.2">
      <c r="A145" s="42">
        <v>69872</v>
      </c>
      <c r="B145" s="56" t="s">
        <v>226</v>
      </c>
      <c r="C145" s="42" t="s">
        <v>227</v>
      </c>
      <c r="D145" s="42" t="s">
        <v>156</v>
      </c>
      <c r="E145" s="64">
        <v>84196842</v>
      </c>
      <c r="F145" s="24">
        <v>176210</v>
      </c>
      <c r="G145" s="8">
        <f>IFERROR(VLOOKUP(F145,[1]Lulu!$E:$F,2,0),"")</f>
        <v>69872</v>
      </c>
      <c r="H145" s="141">
        <f t="shared" si="2"/>
        <v>0</v>
      </c>
    </row>
    <row r="146" spans="1:8" ht="15.75" x14ac:dyDescent="0.2">
      <c r="A146" s="65">
        <v>1014330</v>
      </c>
      <c r="B146" s="57" t="s">
        <v>228</v>
      </c>
      <c r="C146" s="65" t="s">
        <v>229</v>
      </c>
      <c r="D146" s="102" t="s">
        <v>130</v>
      </c>
      <c r="E146" s="66">
        <v>6925425474448</v>
      </c>
      <c r="F146" s="24">
        <v>181553</v>
      </c>
      <c r="G146" s="8">
        <f>IFERROR(VLOOKUP(F146,[1]Lulu!$E:$F,2,0),"")</f>
        <v>1014330</v>
      </c>
      <c r="H146" s="141">
        <f t="shared" si="2"/>
        <v>0</v>
      </c>
    </row>
    <row r="147" spans="1:8" ht="15.75" x14ac:dyDescent="0.2">
      <c r="A147" s="65">
        <v>1014331</v>
      </c>
      <c r="B147" s="57" t="s">
        <v>230</v>
      </c>
      <c r="C147" s="65" t="s">
        <v>229</v>
      </c>
      <c r="D147" s="102" t="s">
        <v>130</v>
      </c>
      <c r="E147" s="66">
        <v>6925425474363</v>
      </c>
      <c r="F147" s="24">
        <v>181554</v>
      </c>
      <c r="G147" s="8">
        <f>IFERROR(VLOOKUP(F147,[1]Lulu!$E:$F,2,0),"")</f>
        <v>1014331</v>
      </c>
      <c r="H147" s="141">
        <f t="shared" si="2"/>
        <v>0</v>
      </c>
    </row>
    <row r="148" spans="1:8" ht="15.75" x14ac:dyDescent="0.2">
      <c r="A148" s="65">
        <v>1014332</v>
      </c>
      <c r="B148" s="57" t="s">
        <v>231</v>
      </c>
      <c r="C148" s="65" t="s">
        <v>229</v>
      </c>
      <c r="D148" s="102" t="s">
        <v>130</v>
      </c>
      <c r="E148" s="66">
        <v>6925425474486</v>
      </c>
      <c r="F148" s="24">
        <v>181555</v>
      </c>
      <c r="G148" s="8">
        <f>IFERROR(VLOOKUP(F148,[1]Lulu!$E:$F,2,0),"")</f>
        <v>1014332</v>
      </c>
      <c r="H148" s="141">
        <f t="shared" si="2"/>
        <v>0</v>
      </c>
    </row>
    <row r="149" spans="1:8" ht="15.75" x14ac:dyDescent="0.2">
      <c r="A149" s="65">
        <v>1014333</v>
      </c>
      <c r="B149" s="57" t="s">
        <v>232</v>
      </c>
      <c r="C149" s="65" t="s">
        <v>229</v>
      </c>
      <c r="D149" s="102" t="s">
        <v>130</v>
      </c>
      <c r="E149" s="66">
        <v>6925425474400</v>
      </c>
      <c r="F149" s="24">
        <v>181556</v>
      </c>
      <c r="G149" s="8">
        <f>IFERROR(VLOOKUP(F149,[1]Lulu!$E:$F,2,0),"")</f>
        <v>1014333</v>
      </c>
      <c r="H149" s="141">
        <f t="shared" si="2"/>
        <v>0</v>
      </c>
    </row>
    <row r="150" spans="1:8" ht="15.75" x14ac:dyDescent="0.2">
      <c r="A150" s="65">
        <v>1014335</v>
      </c>
      <c r="B150" s="57" t="s">
        <v>233</v>
      </c>
      <c r="C150" s="65" t="s">
        <v>229</v>
      </c>
      <c r="D150" s="102" t="s">
        <v>130</v>
      </c>
      <c r="E150" s="66">
        <v>6925425474387</v>
      </c>
      <c r="F150" s="24">
        <v>181557</v>
      </c>
      <c r="G150" s="8">
        <f>IFERROR(VLOOKUP(F150,[1]Lulu!$E:$F,2,0),"")</f>
        <v>1014335</v>
      </c>
      <c r="H150" s="141">
        <f t="shared" si="2"/>
        <v>0</v>
      </c>
    </row>
    <row r="151" spans="1:8" ht="15.75" x14ac:dyDescent="0.2">
      <c r="A151" s="65">
        <v>1014334</v>
      </c>
      <c r="B151" s="57" t="s">
        <v>234</v>
      </c>
      <c r="C151" s="65" t="s">
        <v>229</v>
      </c>
      <c r="D151" s="102" t="s">
        <v>130</v>
      </c>
      <c r="E151" s="66">
        <v>6925425474462</v>
      </c>
      <c r="F151" s="24">
        <v>181558</v>
      </c>
      <c r="G151" s="8">
        <f>IFERROR(VLOOKUP(F151,[1]Lulu!$E:$F,2,0),"")</f>
        <v>1014334</v>
      </c>
      <c r="H151" s="141">
        <f t="shared" si="2"/>
        <v>0</v>
      </c>
    </row>
    <row r="152" spans="1:8" ht="15.75" x14ac:dyDescent="0.2">
      <c r="A152" s="65">
        <v>1014336</v>
      </c>
      <c r="B152" s="57" t="s">
        <v>235</v>
      </c>
      <c r="C152" s="65" t="s">
        <v>229</v>
      </c>
      <c r="D152" s="102" t="s">
        <v>130</v>
      </c>
      <c r="E152" s="66">
        <v>6925425474424</v>
      </c>
      <c r="F152" s="24">
        <v>181559</v>
      </c>
      <c r="G152" s="8">
        <f>IFERROR(VLOOKUP(F152,[1]Lulu!$E:$F,2,0),"")</f>
        <v>1014336</v>
      </c>
      <c r="H152" s="141">
        <f t="shared" si="2"/>
        <v>0</v>
      </c>
    </row>
    <row r="153" spans="1:8" ht="15.75" x14ac:dyDescent="0.2">
      <c r="A153" s="65">
        <v>1313880</v>
      </c>
      <c r="B153" s="57" t="s">
        <v>236</v>
      </c>
      <c r="C153" s="65" t="s">
        <v>229</v>
      </c>
      <c r="D153" s="102" t="s">
        <v>130</v>
      </c>
      <c r="E153" s="76">
        <v>8901393017137</v>
      </c>
      <c r="F153" s="125">
        <v>234073</v>
      </c>
      <c r="G153" s="8" t="str">
        <f>IFERROR(VLOOKUP(F153,[1]Lulu!$E:$F,2,0),"")</f>
        <v/>
      </c>
      <c r="H153" s="141" t="str">
        <f t="shared" si="2"/>
        <v/>
      </c>
    </row>
    <row r="154" spans="1:8" ht="16.5" thickBot="1" x14ac:dyDescent="0.25">
      <c r="A154" s="65">
        <v>1708546</v>
      </c>
      <c r="B154" s="46" t="s">
        <v>237</v>
      </c>
      <c r="C154" s="65" t="s">
        <v>238</v>
      </c>
      <c r="D154" s="102" t="s">
        <v>130</v>
      </c>
      <c r="E154" s="99">
        <v>8992741952590</v>
      </c>
      <c r="F154" s="24">
        <v>308066</v>
      </c>
      <c r="G154" s="8">
        <f>IFERROR(VLOOKUP(F154,[1]Lulu!$E:$F,2,0),"")</f>
        <v>1708546</v>
      </c>
      <c r="H154" s="141">
        <f t="shared" si="2"/>
        <v>0</v>
      </c>
    </row>
    <row r="155" spans="1:8" ht="16.5" thickBot="1" x14ac:dyDescent="0.25">
      <c r="A155" s="65">
        <v>1708547</v>
      </c>
      <c r="B155" s="46" t="s">
        <v>239</v>
      </c>
      <c r="C155" s="65" t="s">
        <v>238</v>
      </c>
      <c r="D155" s="102" t="s">
        <v>130</v>
      </c>
      <c r="E155" s="99">
        <v>8992741952583</v>
      </c>
      <c r="F155" s="24">
        <v>308067</v>
      </c>
      <c r="G155" s="8">
        <f>IFERROR(VLOOKUP(F155,[1]Lulu!$E:$F,2,0),"")</f>
        <v>1708547</v>
      </c>
      <c r="H155" s="141">
        <f t="shared" si="2"/>
        <v>0</v>
      </c>
    </row>
    <row r="156" spans="1:8" ht="16.5" thickBot="1" x14ac:dyDescent="0.25">
      <c r="A156" s="65">
        <v>1708549</v>
      </c>
      <c r="B156" s="46" t="s">
        <v>240</v>
      </c>
      <c r="C156" s="65" t="s">
        <v>238</v>
      </c>
      <c r="D156" s="102" t="s">
        <v>130</v>
      </c>
      <c r="E156" s="99">
        <v>8992741952613</v>
      </c>
      <c r="F156" s="24">
        <v>308068</v>
      </c>
      <c r="G156" s="8">
        <f>IFERROR(VLOOKUP(F156,[1]Lulu!$E:$F,2,0),"")</f>
        <v>1708549</v>
      </c>
      <c r="H156" s="141">
        <f t="shared" si="2"/>
        <v>0</v>
      </c>
    </row>
    <row r="157" spans="1:8" ht="15.75" x14ac:dyDescent="0.2">
      <c r="A157" s="65">
        <v>1359847</v>
      </c>
      <c r="B157" s="57" t="s">
        <v>241</v>
      </c>
      <c r="C157" s="65" t="s">
        <v>242</v>
      </c>
      <c r="D157" s="102" t="s">
        <v>243</v>
      </c>
      <c r="E157" s="76">
        <v>8901393017083</v>
      </c>
      <c r="F157" s="24">
        <v>234075</v>
      </c>
      <c r="G157" s="8">
        <f>IFERROR(VLOOKUP(F157,[1]Lulu!$E:$F,2,0),"")</f>
        <v>1359847</v>
      </c>
      <c r="H157" s="141">
        <f t="shared" si="2"/>
        <v>0</v>
      </c>
    </row>
    <row r="158" spans="1:8" ht="15.75" x14ac:dyDescent="0.2">
      <c r="A158" s="67">
        <v>1634094</v>
      </c>
      <c r="B158" s="103" t="s">
        <v>244</v>
      </c>
      <c r="C158" s="47" t="s">
        <v>245</v>
      </c>
      <c r="D158" s="102" t="s">
        <v>130</v>
      </c>
      <c r="E158" s="52">
        <v>8003440993859</v>
      </c>
      <c r="F158" s="49">
        <v>293097</v>
      </c>
      <c r="G158" s="8">
        <f>IFERROR(VLOOKUP(F158,[1]Lulu!$E:$F,2,0),"")</f>
        <v>1634094</v>
      </c>
      <c r="H158" s="141">
        <f t="shared" si="2"/>
        <v>0</v>
      </c>
    </row>
    <row r="159" spans="1:8" ht="15.75" x14ac:dyDescent="0.2">
      <c r="A159" s="67">
        <v>1634095</v>
      </c>
      <c r="B159" s="104" t="s">
        <v>246</v>
      </c>
      <c r="C159" s="47" t="s">
        <v>245</v>
      </c>
      <c r="D159" s="102" t="s">
        <v>130</v>
      </c>
      <c r="E159" s="105">
        <v>8003440993873</v>
      </c>
      <c r="F159" s="49">
        <v>293098</v>
      </c>
      <c r="G159" s="8">
        <f>IFERROR(VLOOKUP(F159,[1]Lulu!$E:$F,2,0),"")</f>
        <v>1634095</v>
      </c>
      <c r="H159" s="141">
        <f t="shared" si="2"/>
        <v>0</v>
      </c>
    </row>
    <row r="160" spans="1:8" ht="15.75" x14ac:dyDescent="0.2">
      <c r="A160" s="67">
        <v>1634097</v>
      </c>
      <c r="B160" s="104" t="s">
        <v>247</v>
      </c>
      <c r="C160" s="47" t="s">
        <v>245</v>
      </c>
      <c r="D160" s="102" t="s">
        <v>130</v>
      </c>
      <c r="E160" s="105">
        <v>8003440993897</v>
      </c>
      <c r="F160" s="49">
        <v>293099</v>
      </c>
      <c r="G160" s="8">
        <f>IFERROR(VLOOKUP(F160,[1]Lulu!$E:$F,2,0),"")</f>
        <v>1634097</v>
      </c>
      <c r="H160" s="141">
        <f t="shared" si="2"/>
        <v>0</v>
      </c>
    </row>
    <row r="161" spans="1:8" ht="15.75" x14ac:dyDescent="0.2">
      <c r="A161" s="65">
        <v>786310</v>
      </c>
      <c r="B161" s="106" t="s">
        <v>248</v>
      </c>
      <c r="C161" s="32" t="s">
        <v>249</v>
      </c>
      <c r="D161" s="19" t="s">
        <v>250</v>
      </c>
      <c r="E161" s="76">
        <v>1800000006939</v>
      </c>
      <c r="F161" s="24">
        <v>177501</v>
      </c>
      <c r="G161" s="8">
        <f>IFERROR(VLOOKUP(F161,[1]Lulu!$E:$F,2,0),"")</f>
        <v>786310</v>
      </c>
      <c r="H161" s="141">
        <f t="shared" si="2"/>
        <v>0</v>
      </c>
    </row>
    <row r="162" spans="1:8" ht="15.75" x14ac:dyDescent="0.2">
      <c r="A162" s="65">
        <v>1037891</v>
      </c>
      <c r="B162" s="106" t="s">
        <v>251</v>
      </c>
      <c r="C162" s="30" t="s">
        <v>252</v>
      </c>
      <c r="D162" s="19" t="s">
        <v>250</v>
      </c>
      <c r="E162" s="76">
        <v>1800000007417</v>
      </c>
      <c r="F162" s="24">
        <v>198523</v>
      </c>
      <c r="G162" s="8">
        <f>IFERROR(VLOOKUP(F162,[1]Lulu!$E:$F,2,0),"")</f>
        <v>1037891</v>
      </c>
      <c r="H162" s="141">
        <f t="shared" si="2"/>
        <v>0</v>
      </c>
    </row>
    <row r="163" spans="1:8" ht="15.75" x14ac:dyDescent="0.2">
      <c r="A163" s="65">
        <v>23459</v>
      </c>
      <c r="B163" s="107" t="s">
        <v>253</v>
      </c>
      <c r="C163" s="68" t="s">
        <v>254</v>
      </c>
      <c r="D163" s="102" t="s">
        <v>243</v>
      </c>
      <c r="E163" s="108">
        <v>80757450</v>
      </c>
      <c r="F163" s="109">
        <v>229190</v>
      </c>
      <c r="G163" s="8">
        <f>IFERROR(VLOOKUP(F163,[1]Lulu!$E:$F,2,0),"")</f>
        <v>23459</v>
      </c>
      <c r="H163" s="141">
        <f t="shared" si="2"/>
        <v>0</v>
      </c>
    </row>
    <row r="164" spans="1:8" ht="15.75" x14ac:dyDescent="0.2">
      <c r="A164" s="65">
        <v>406292</v>
      </c>
      <c r="B164" s="107" t="s">
        <v>255</v>
      </c>
      <c r="C164" s="68" t="s">
        <v>254</v>
      </c>
      <c r="D164" s="102" t="s">
        <v>156</v>
      </c>
      <c r="E164" s="108">
        <v>80757467</v>
      </c>
      <c r="F164" s="109">
        <v>229391</v>
      </c>
      <c r="G164" s="8">
        <f>IFERROR(VLOOKUP(F164,[1]Lulu!$E:$F,2,0),"")</f>
        <v>406292</v>
      </c>
      <c r="H164" s="141">
        <f t="shared" si="2"/>
        <v>0</v>
      </c>
    </row>
    <row r="165" spans="1:8" ht="15.75" x14ac:dyDescent="0.2">
      <c r="A165" s="65">
        <v>3531</v>
      </c>
      <c r="B165" s="110" t="s">
        <v>256</v>
      </c>
      <c r="C165" s="68" t="s">
        <v>254</v>
      </c>
      <c r="D165" s="102" t="s">
        <v>243</v>
      </c>
      <c r="E165" s="108">
        <v>80757474</v>
      </c>
      <c r="F165" s="111">
        <v>229392</v>
      </c>
      <c r="G165" s="8">
        <f>IFERROR(VLOOKUP(F165,[1]Lulu!$E:$F,2,0),"")</f>
        <v>3531</v>
      </c>
      <c r="H165" s="141">
        <f t="shared" si="2"/>
        <v>0</v>
      </c>
    </row>
    <row r="166" spans="1:8" ht="15.75" x14ac:dyDescent="0.2">
      <c r="A166" s="65">
        <v>23431</v>
      </c>
      <c r="B166" s="107" t="s">
        <v>257</v>
      </c>
      <c r="C166" s="68" t="s">
        <v>254</v>
      </c>
      <c r="D166" s="102" t="s">
        <v>243</v>
      </c>
      <c r="E166" s="108">
        <v>80757481</v>
      </c>
      <c r="F166" s="109">
        <v>229393</v>
      </c>
      <c r="G166" s="8">
        <f>IFERROR(VLOOKUP(F166,[1]Lulu!$E:$F,2,0),"")</f>
        <v>23431</v>
      </c>
      <c r="H166" s="141">
        <f t="shared" si="2"/>
        <v>0</v>
      </c>
    </row>
    <row r="167" spans="1:8" ht="15.75" x14ac:dyDescent="0.2">
      <c r="A167" s="65">
        <v>74692</v>
      </c>
      <c r="B167" s="107" t="s">
        <v>258</v>
      </c>
      <c r="C167" s="68" t="s">
        <v>259</v>
      </c>
      <c r="D167" s="102" t="s">
        <v>260</v>
      </c>
      <c r="E167" s="108">
        <v>6921211111559</v>
      </c>
      <c r="F167" s="109">
        <v>229186</v>
      </c>
      <c r="G167" s="8">
        <f>IFERROR(VLOOKUP(F167,[1]Lulu!$E:$F,2,0),"")</f>
        <v>74692</v>
      </c>
      <c r="H167" s="141">
        <f t="shared" si="2"/>
        <v>0</v>
      </c>
    </row>
    <row r="168" spans="1:8" ht="15.75" x14ac:dyDescent="0.2">
      <c r="A168" s="65">
        <v>341845</v>
      </c>
      <c r="B168" s="107" t="s">
        <v>261</v>
      </c>
      <c r="C168" s="68" t="s">
        <v>259</v>
      </c>
      <c r="D168" s="102" t="s">
        <v>262</v>
      </c>
      <c r="E168" s="108">
        <v>6921211111467</v>
      </c>
      <c r="F168" s="109">
        <v>229187</v>
      </c>
      <c r="G168" s="8">
        <f>IFERROR(VLOOKUP(F168,[1]Lulu!$E:$F,2,0),"")</f>
        <v>341845</v>
      </c>
      <c r="H168" s="141">
        <f t="shared" si="2"/>
        <v>0</v>
      </c>
    </row>
    <row r="169" spans="1:8" ht="15.75" x14ac:dyDescent="0.2">
      <c r="A169" s="65">
        <v>1248814</v>
      </c>
      <c r="B169" s="110" t="s">
        <v>263</v>
      </c>
      <c r="C169" s="68" t="s">
        <v>259</v>
      </c>
      <c r="D169" s="102" t="s">
        <v>243</v>
      </c>
      <c r="E169" s="108">
        <v>6921211112006</v>
      </c>
      <c r="F169" s="111">
        <v>229188</v>
      </c>
      <c r="G169" s="8">
        <f>IFERROR(VLOOKUP(F169,[1]Lulu!$E:$F,2,0),"")</f>
        <v>1248814</v>
      </c>
      <c r="H169" s="141">
        <f t="shared" si="2"/>
        <v>0</v>
      </c>
    </row>
    <row r="170" spans="1:8" ht="15.75" x14ac:dyDescent="0.2">
      <c r="A170" s="65">
        <v>740118</v>
      </c>
      <c r="B170" s="107" t="s">
        <v>264</v>
      </c>
      <c r="C170" s="68" t="s">
        <v>259</v>
      </c>
      <c r="D170" s="102" t="s">
        <v>243</v>
      </c>
      <c r="E170" s="108">
        <v>6921211112068</v>
      </c>
      <c r="F170" s="109">
        <v>229189</v>
      </c>
      <c r="G170" s="8">
        <f>IFERROR(VLOOKUP(F170,[1]Lulu!$E:$F,2,0),"")</f>
        <v>740118</v>
      </c>
      <c r="H170" s="141">
        <f t="shared" si="2"/>
        <v>0</v>
      </c>
    </row>
    <row r="171" spans="1:8" ht="15.75" x14ac:dyDescent="0.2">
      <c r="A171" s="65"/>
      <c r="B171" s="107" t="s">
        <v>265</v>
      </c>
      <c r="C171" s="68" t="s">
        <v>266</v>
      </c>
      <c r="D171" s="102"/>
      <c r="E171" s="108">
        <v>8990800011554</v>
      </c>
      <c r="F171" s="109">
        <v>229182</v>
      </c>
      <c r="G171" s="8">
        <f>IFERROR(VLOOKUP(F171,[1]Lulu!$E:$F,2,0),"")</f>
        <v>0</v>
      </c>
      <c r="H171" s="141">
        <f t="shared" si="2"/>
        <v>0</v>
      </c>
    </row>
    <row r="172" spans="1:8" ht="15.75" x14ac:dyDescent="0.2">
      <c r="A172" s="65">
        <v>596826</v>
      </c>
      <c r="B172" s="107" t="s">
        <v>267</v>
      </c>
      <c r="C172" s="68" t="s">
        <v>268</v>
      </c>
      <c r="D172" s="102" t="s">
        <v>130</v>
      </c>
      <c r="E172" s="108">
        <v>8990800011332</v>
      </c>
      <c r="F172" s="109">
        <v>229183</v>
      </c>
      <c r="G172" s="8">
        <f>IFERROR(VLOOKUP(F172,[1]Lulu!$E:$F,2,0),"")</f>
        <v>596826</v>
      </c>
      <c r="H172" s="141">
        <f t="shared" si="2"/>
        <v>0</v>
      </c>
    </row>
    <row r="173" spans="1:8" ht="15.75" x14ac:dyDescent="0.2">
      <c r="A173" s="65">
        <v>74705</v>
      </c>
      <c r="B173" s="110" t="s">
        <v>269</v>
      </c>
      <c r="C173" s="68" t="s">
        <v>270</v>
      </c>
      <c r="D173" s="102" t="s">
        <v>156</v>
      </c>
      <c r="E173" s="108">
        <v>8990800011196</v>
      </c>
      <c r="F173" s="111">
        <v>229184</v>
      </c>
      <c r="G173" s="8">
        <f>IFERROR(VLOOKUP(F173,[1]Lulu!$E:$F,2,0),"")</f>
        <v>74705</v>
      </c>
      <c r="H173" s="141">
        <f t="shared" si="2"/>
        <v>0</v>
      </c>
    </row>
    <row r="174" spans="1:8" ht="15.75" x14ac:dyDescent="0.25">
      <c r="A174" s="69">
        <v>1467656</v>
      </c>
      <c r="B174" s="112" t="s">
        <v>271</v>
      </c>
      <c r="C174" s="68" t="s">
        <v>272</v>
      </c>
      <c r="D174" s="102" t="s">
        <v>250</v>
      </c>
      <c r="E174" s="113">
        <v>1800000009404</v>
      </c>
      <c r="F174" s="114"/>
      <c r="G174" s="8" t="str">
        <f>IFERROR(VLOOKUP(F174,[1]Lulu!$E:$F,2,0),"")</f>
        <v/>
      </c>
      <c r="H174" s="141" t="str">
        <f t="shared" si="2"/>
        <v/>
      </c>
    </row>
    <row r="175" spans="1:8" ht="15.75" x14ac:dyDescent="0.25">
      <c r="A175" s="69">
        <v>1253043</v>
      </c>
      <c r="B175" s="112" t="s">
        <v>273</v>
      </c>
      <c r="C175" s="68" t="s">
        <v>274</v>
      </c>
      <c r="D175" s="102" t="s">
        <v>250</v>
      </c>
      <c r="E175" s="113">
        <v>1800000009415</v>
      </c>
      <c r="F175" s="114"/>
      <c r="G175" s="8" t="str">
        <f>IFERROR(VLOOKUP(F175,[1]Lulu!$E:$F,2,0),"")</f>
        <v/>
      </c>
      <c r="H175" s="141" t="str">
        <f t="shared" si="2"/>
        <v/>
      </c>
    </row>
    <row r="176" spans="1:8" ht="15.75" x14ac:dyDescent="0.25">
      <c r="A176" s="69">
        <v>1558418</v>
      </c>
      <c r="B176" s="112" t="s">
        <v>275</v>
      </c>
      <c r="C176" s="68"/>
      <c r="D176" s="102" t="s">
        <v>250</v>
      </c>
      <c r="E176" s="113">
        <v>1800000009428</v>
      </c>
      <c r="F176" s="111"/>
      <c r="G176" s="8" t="str">
        <f>IFERROR(VLOOKUP(F176,[1]Lulu!$E:$F,2,0),"")</f>
        <v/>
      </c>
      <c r="H176" s="141" t="str">
        <f t="shared" si="2"/>
        <v/>
      </c>
    </row>
    <row r="177" spans="1:8" ht="15.75" x14ac:dyDescent="0.25">
      <c r="A177" s="69"/>
      <c r="B177" s="112" t="s">
        <v>276</v>
      </c>
      <c r="C177" s="68" t="s">
        <v>277</v>
      </c>
      <c r="D177" s="102" t="s">
        <v>250</v>
      </c>
      <c r="E177" s="113">
        <v>1800000009428</v>
      </c>
      <c r="F177" s="114"/>
      <c r="G177" s="8" t="str">
        <f>IFERROR(VLOOKUP(F177,[1]Lulu!$E:$F,2,0),"")</f>
        <v/>
      </c>
      <c r="H177" s="141" t="str">
        <f t="shared" si="2"/>
        <v/>
      </c>
    </row>
    <row r="178" spans="1:8" ht="15.75" x14ac:dyDescent="0.25">
      <c r="A178" s="69"/>
      <c r="B178" s="112" t="s">
        <v>278</v>
      </c>
      <c r="C178" s="68" t="s">
        <v>279</v>
      </c>
      <c r="D178" s="102" t="s">
        <v>250</v>
      </c>
      <c r="E178" s="113">
        <v>1800000009435</v>
      </c>
      <c r="F178" s="115"/>
      <c r="G178" s="8" t="str">
        <f>IFERROR(VLOOKUP(F178,[1]Lulu!$E:$F,2,0),"")</f>
        <v/>
      </c>
      <c r="H178" s="141" t="str">
        <f t="shared" si="2"/>
        <v/>
      </c>
    </row>
    <row r="179" spans="1:8" ht="15.75" x14ac:dyDescent="0.2">
      <c r="A179" s="111">
        <v>1996521</v>
      </c>
      <c r="B179" s="112" t="s">
        <v>280</v>
      </c>
      <c r="D179" s="116" t="s">
        <v>63</v>
      </c>
      <c r="E179" s="117">
        <v>8935001726470</v>
      </c>
      <c r="F179" s="111">
        <v>345781</v>
      </c>
      <c r="G179" s="8">
        <f>IFERROR(VLOOKUP(F179,[1]Lulu!$E:$F,2,0),"")</f>
        <v>1996521</v>
      </c>
      <c r="H179" s="141">
        <f t="shared" si="2"/>
        <v>0</v>
      </c>
    </row>
    <row r="180" spans="1:8" ht="15.75" x14ac:dyDescent="0.2">
      <c r="A180" s="111">
        <v>1996554</v>
      </c>
      <c r="B180" s="112" t="s">
        <v>281</v>
      </c>
      <c r="D180" s="118" t="s">
        <v>63</v>
      </c>
      <c r="E180" s="117">
        <v>8935001726487</v>
      </c>
      <c r="F180" s="111">
        <v>345782</v>
      </c>
      <c r="G180" s="8">
        <f>IFERROR(VLOOKUP(F180,[1]Lulu!$E:$F,2,0),"")</f>
        <v>1996554</v>
      </c>
      <c r="H180" s="141">
        <f t="shared" si="2"/>
        <v>0</v>
      </c>
    </row>
    <row r="181" spans="1:8" ht="15.75" x14ac:dyDescent="0.2">
      <c r="A181" s="74">
        <v>357480</v>
      </c>
      <c r="B181" s="119" t="s">
        <v>282</v>
      </c>
      <c r="C181" s="119" t="s">
        <v>283</v>
      </c>
      <c r="E181" s="121">
        <v>24000003649</v>
      </c>
      <c r="F181" s="120">
        <v>91558</v>
      </c>
      <c r="G181" s="8">
        <f>IFERROR(VLOOKUP(F181,[1]Lulu!$E:$F,2,0),"")</f>
        <v>357480</v>
      </c>
      <c r="H181" s="141">
        <f t="shared" si="2"/>
        <v>0</v>
      </c>
    </row>
    <row r="182" spans="1:8" ht="15.75" x14ac:dyDescent="0.2">
      <c r="A182" s="120">
        <v>356749</v>
      </c>
      <c r="B182" s="119" t="s">
        <v>284</v>
      </c>
      <c r="C182" s="65" t="s">
        <v>285</v>
      </c>
      <c r="E182" s="121">
        <v>1800000015900</v>
      </c>
      <c r="F182" s="120">
        <v>356749</v>
      </c>
      <c r="G182" s="8">
        <f>IFERROR(VLOOKUP(F182,[1]Lulu!$E:$F,2,0),"")</f>
        <v>0</v>
      </c>
      <c r="H182" s="141">
        <f t="shared" si="2"/>
        <v>-356749</v>
      </c>
    </row>
    <row r="183" spans="1:8" ht="15.75" x14ac:dyDescent="0.2">
      <c r="A183" s="74">
        <v>357479</v>
      </c>
      <c r="B183" s="119" t="s">
        <v>286</v>
      </c>
      <c r="C183" s="119" t="s">
        <v>287</v>
      </c>
      <c r="E183" s="121">
        <v>24000015963</v>
      </c>
      <c r="F183" s="120">
        <v>91560</v>
      </c>
      <c r="G183" s="8">
        <f>IFERROR(VLOOKUP(F183,[1]Lulu!$E:$F,2,0),"")</f>
        <v>357479</v>
      </c>
      <c r="H183" s="141">
        <f t="shared" si="2"/>
        <v>0</v>
      </c>
    </row>
    <row r="184" spans="1:8" ht="15.75" x14ac:dyDescent="0.2">
      <c r="A184" s="74">
        <v>1701284</v>
      </c>
      <c r="B184" s="119" t="s">
        <v>288</v>
      </c>
      <c r="C184" s="121" t="s">
        <v>289</v>
      </c>
      <c r="E184" s="121">
        <v>1800000015603</v>
      </c>
      <c r="F184" s="120">
        <v>356746</v>
      </c>
      <c r="G184" s="8">
        <f>IFERROR(VLOOKUP(F184,[1]Lulu!$E:$F,2,0),"")</f>
        <v>1701284</v>
      </c>
      <c r="H184" s="141">
        <f t="shared" si="2"/>
        <v>0</v>
      </c>
    </row>
    <row r="185" spans="1:8" ht="15.75" x14ac:dyDescent="0.2">
      <c r="A185" s="74">
        <v>2299</v>
      </c>
      <c r="B185" s="119" t="s">
        <v>290</v>
      </c>
      <c r="C185" s="119" t="s">
        <v>291</v>
      </c>
      <c r="E185" s="121">
        <v>24000012313</v>
      </c>
      <c r="F185" s="120">
        <v>91566</v>
      </c>
      <c r="G185" s="8">
        <f>IFERROR(VLOOKUP(F185,[1]Lulu!$E:$F,2,0),"")</f>
        <v>2299</v>
      </c>
      <c r="H185" s="141">
        <f t="shared" si="2"/>
        <v>0</v>
      </c>
    </row>
    <row r="186" spans="1:8" ht="15.75" x14ac:dyDescent="0.2">
      <c r="A186" s="74">
        <v>411213</v>
      </c>
      <c r="B186" s="119" t="s">
        <v>292</v>
      </c>
      <c r="C186" s="121" t="s">
        <v>293</v>
      </c>
      <c r="E186" s="121">
        <v>1800000015702</v>
      </c>
      <c r="F186" s="120">
        <v>356747</v>
      </c>
      <c r="G186" s="8">
        <f>IFERROR(VLOOKUP(F186,[1]Lulu!$E:$F,2,0),"")</f>
        <v>411213</v>
      </c>
      <c r="H186" s="141">
        <f t="shared" si="2"/>
        <v>0</v>
      </c>
    </row>
    <row r="187" spans="1:8" ht="15.75" x14ac:dyDescent="0.2">
      <c r="A187" s="74">
        <v>256423</v>
      </c>
      <c r="B187" s="119" t="s">
        <v>294</v>
      </c>
      <c r="C187" s="119" t="s">
        <v>295</v>
      </c>
      <c r="E187" s="121">
        <v>24000012306</v>
      </c>
      <c r="F187" s="120">
        <v>91568</v>
      </c>
      <c r="G187" s="8">
        <f>IFERROR(VLOOKUP(F187,[1]Lulu!$E:$F,2,0),"")</f>
        <v>256423</v>
      </c>
      <c r="H187" s="141">
        <f t="shared" si="2"/>
        <v>0</v>
      </c>
    </row>
    <row r="188" spans="1:8" ht="15.75" x14ac:dyDescent="0.2">
      <c r="A188" s="74">
        <v>440504</v>
      </c>
      <c r="B188" s="119" t="s">
        <v>296</v>
      </c>
      <c r="C188" s="119" t="s">
        <v>297</v>
      </c>
      <c r="E188" s="121">
        <v>24000008934</v>
      </c>
      <c r="F188" s="120">
        <v>91570</v>
      </c>
      <c r="G188" s="8">
        <f>IFERROR(VLOOKUP(F188,[1]Lulu!$E:$F,2,0),"")</f>
        <v>440504</v>
      </c>
      <c r="H188" s="141">
        <f t="shared" si="2"/>
        <v>0</v>
      </c>
    </row>
    <row r="189" spans="1:8" ht="15.75" x14ac:dyDescent="0.2">
      <c r="A189" s="74">
        <v>659808</v>
      </c>
      <c r="B189" s="119" t="s">
        <v>298</v>
      </c>
      <c r="C189" s="121" t="s">
        <v>299</v>
      </c>
      <c r="E189" s="121">
        <v>1800000016020</v>
      </c>
      <c r="F189" s="120">
        <v>356748</v>
      </c>
      <c r="G189" s="8">
        <f>IFERROR(VLOOKUP(F189,[1]Lulu!$E:$F,2,0),"")</f>
        <v>659808</v>
      </c>
      <c r="H189" s="141">
        <f t="shared" si="2"/>
        <v>0</v>
      </c>
    </row>
    <row r="190" spans="1:8" ht="15.75" x14ac:dyDescent="0.2">
      <c r="A190" s="74">
        <v>439177</v>
      </c>
      <c r="B190" s="119" t="s">
        <v>300</v>
      </c>
      <c r="C190" s="119" t="s">
        <v>287</v>
      </c>
      <c r="E190" s="121">
        <v>24000015970</v>
      </c>
      <c r="F190" s="120">
        <v>91572</v>
      </c>
      <c r="G190" s="8">
        <f>IFERROR(VLOOKUP(F190,[1]Lulu!$E:$F,2,0),"")</f>
        <v>439177</v>
      </c>
      <c r="H190" s="141">
        <f t="shared" si="2"/>
        <v>0</v>
      </c>
    </row>
    <row r="191" spans="1:8" ht="15.75" x14ac:dyDescent="0.2">
      <c r="B191" s="119" t="s">
        <v>301</v>
      </c>
      <c r="C191" s="121" t="s">
        <v>302</v>
      </c>
      <c r="E191" s="121">
        <v>1800000016013</v>
      </c>
      <c r="F191" s="120">
        <v>356744</v>
      </c>
      <c r="G191" s="8">
        <f>IFERROR(VLOOKUP(F191,[1]Lulu!$E:$F,2,0),"")</f>
        <v>0</v>
      </c>
      <c r="H191" s="141">
        <f t="shared" si="2"/>
        <v>0</v>
      </c>
    </row>
    <row r="192" spans="1:8" ht="15.75" x14ac:dyDescent="0.2">
      <c r="A192" s="74">
        <v>437194</v>
      </c>
      <c r="B192" s="119" t="s">
        <v>303</v>
      </c>
      <c r="C192" s="119" t="s">
        <v>291</v>
      </c>
      <c r="E192" s="121">
        <v>24000012412</v>
      </c>
      <c r="F192" s="120">
        <v>91575</v>
      </c>
      <c r="G192" s="8">
        <f>IFERROR(VLOOKUP(F192,[1]Lulu!$E:$F,2,0),"")</f>
        <v>437194</v>
      </c>
      <c r="H192" s="141">
        <f t="shared" si="2"/>
        <v>0</v>
      </c>
    </row>
    <row r="193" spans="1:8" ht="15.75" x14ac:dyDescent="0.2">
      <c r="A193" s="74">
        <v>479197</v>
      </c>
      <c r="B193" s="119" t="s">
        <v>304</v>
      </c>
      <c r="C193" s="121" t="s">
        <v>305</v>
      </c>
      <c r="E193" s="121">
        <v>1800000015504</v>
      </c>
      <c r="F193" s="120">
        <v>356745</v>
      </c>
      <c r="G193" s="8">
        <f>IFERROR(VLOOKUP(F193,[1]Lulu!$E:$F,2,0),"")</f>
        <v>479197</v>
      </c>
      <c r="H193" s="141">
        <f t="shared" si="2"/>
        <v>0</v>
      </c>
    </row>
    <row r="194" spans="1:8" ht="15.75" x14ac:dyDescent="0.2">
      <c r="A194" s="123">
        <v>2335</v>
      </c>
      <c r="B194" s="119" t="s">
        <v>306</v>
      </c>
      <c r="C194" s="119" t="s">
        <v>307</v>
      </c>
      <c r="E194" s="121">
        <v>24000024675</v>
      </c>
      <c r="F194" s="120">
        <v>91531</v>
      </c>
      <c r="G194" s="8">
        <f>IFERROR(VLOOKUP(F194,[1]Lulu!$E:$F,2,0),"")</f>
        <v>2335</v>
      </c>
      <c r="H194" s="141">
        <f t="shared" si="2"/>
        <v>0</v>
      </c>
    </row>
    <row r="195" spans="1:8" ht="15.75" x14ac:dyDescent="0.2">
      <c r="A195" s="74">
        <v>289580</v>
      </c>
      <c r="B195" s="119" t="s">
        <v>308</v>
      </c>
      <c r="C195" s="119" t="s">
        <v>309</v>
      </c>
      <c r="E195" s="121">
        <v>1800000015108</v>
      </c>
      <c r="F195" s="120">
        <v>356740</v>
      </c>
      <c r="G195" s="8">
        <f>IFERROR(VLOOKUP(F195,[1]Lulu!$E:$F,2,0),"")</f>
        <v>289580</v>
      </c>
      <c r="H195" s="141">
        <f t="shared" ref="H195:H258" si="3">IFERROR(G195-A195,"")</f>
        <v>0</v>
      </c>
    </row>
    <row r="196" spans="1:8" ht="15.75" x14ac:dyDescent="0.2">
      <c r="A196" s="74">
        <v>2333</v>
      </c>
      <c r="B196" s="119" t="s">
        <v>310</v>
      </c>
      <c r="C196" s="119" t="s">
        <v>311</v>
      </c>
      <c r="E196" s="121">
        <v>24000010920</v>
      </c>
      <c r="F196" s="120">
        <v>91535</v>
      </c>
      <c r="G196" s="8">
        <f>IFERROR(VLOOKUP(F196,[1]Lulu!$E:$F,2,0),"")</f>
        <v>2333</v>
      </c>
      <c r="H196" s="141">
        <f t="shared" si="3"/>
        <v>0</v>
      </c>
    </row>
    <row r="197" spans="1:8" ht="15.75" x14ac:dyDescent="0.2">
      <c r="A197" s="123">
        <v>38808</v>
      </c>
      <c r="B197" s="119" t="s">
        <v>312</v>
      </c>
      <c r="C197" s="119" t="s">
        <v>313</v>
      </c>
      <c r="E197" s="121">
        <v>24000011477</v>
      </c>
      <c r="F197" s="120">
        <v>91538</v>
      </c>
      <c r="G197" s="8">
        <f>IFERROR(VLOOKUP(F197,[1]Lulu!$E:$F,2,0),"")</f>
        <v>38808</v>
      </c>
      <c r="H197" s="141">
        <f t="shared" si="3"/>
        <v>0</v>
      </c>
    </row>
    <row r="198" spans="1:8" ht="15.75" x14ac:dyDescent="0.2">
      <c r="A198" s="284">
        <v>411212</v>
      </c>
      <c r="B198" s="119" t="s">
        <v>314</v>
      </c>
      <c r="C198" s="119" t="s">
        <v>315</v>
      </c>
      <c r="E198" s="121">
        <v>1800000015009</v>
      </c>
      <c r="F198" s="120">
        <v>356739</v>
      </c>
      <c r="G198" s="8">
        <f>IFERROR(VLOOKUP(F198,[1]Lulu!$E:$F,2,0),"")</f>
        <v>0</v>
      </c>
      <c r="H198" s="141">
        <f t="shared" si="3"/>
        <v>-411212</v>
      </c>
    </row>
    <row r="199" spans="1:8" ht="15.75" x14ac:dyDescent="0.2">
      <c r="A199" s="123">
        <v>290342</v>
      </c>
      <c r="B199" s="119" t="s">
        <v>316</v>
      </c>
      <c r="C199" s="119" t="s">
        <v>307</v>
      </c>
      <c r="E199" s="121">
        <v>24000025528</v>
      </c>
      <c r="F199" s="120">
        <v>91552</v>
      </c>
      <c r="G199" s="8">
        <f>IFERROR(VLOOKUP(F199,[1]Lulu!$E:$F,2,0),"")</f>
        <v>290342</v>
      </c>
      <c r="H199" s="141">
        <f t="shared" si="3"/>
        <v>0</v>
      </c>
    </row>
    <row r="200" spans="1:8" ht="15.75" x14ac:dyDescent="0.2">
      <c r="A200" s="74">
        <v>538716</v>
      </c>
      <c r="B200" s="119" t="s">
        <v>317</v>
      </c>
      <c r="C200" s="119" t="s">
        <v>318</v>
      </c>
      <c r="E200" s="121">
        <v>1800000015207</v>
      </c>
      <c r="F200" s="120">
        <v>356741</v>
      </c>
      <c r="G200" s="8">
        <f>IFERROR(VLOOKUP(F200,[1]Lulu!$E:$F,2,0),"")</f>
        <v>538716</v>
      </c>
      <c r="H200" s="141">
        <f t="shared" si="3"/>
        <v>0</v>
      </c>
    </row>
    <row r="201" spans="1:8" ht="15.75" x14ac:dyDescent="0.2">
      <c r="A201" s="123">
        <v>347452</v>
      </c>
      <c r="B201" s="119" t="s">
        <v>319</v>
      </c>
      <c r="C201" s="119" t="s">
        <v>311</v>
      </c>
      <c r="E201" s="121">
        <v>24000010418</v>
      </c>
      <c r="F201" s="120">
        <v>91554</v>
      </c>
      <c r="G201" s="8">
        <f>IFERROR(VLOOKUP(F201,[1]Lulu!$E:$F,2,0),"")</f>
        <v>347452</v>
      </c>
      <c r="H201" s="141">
        <f t="shared" si="3"/>
        <v>0</v>
      </c>
    </row>
    <row r="202" spans="1:8" ht="15.75" x14ac:dyDescent="0.2">
      <c r="B202" s="119" t="s">
        <v>320</v>
      </c>
      <c r="C202" s="119" t="s">
        <v>321</v>
      </c>
      <c r="E202" s="121">
        <v>24000025993</v>
      </c>
      <c r="F202" s="120">
        <v>91555</v>
      </c>
      <c r="G202" s="8">
        <f>IFERROR(VLOOKUP(F202,[1]Lulu!$E:$F,2,0),"")</f>
        <v>0</v>
      </c>
      <c r="H202" s="141">
        <f t="shared" si="3"/>
        <v>0</v>
      </c>
    </row>
    <row r="203" spans="1:8" ht="15.75" x14ac:dyDescent="0.2">
      <c r="A203" s="74">
        <v>439174</v>
      </c>
      <c r="B203" s="119" t="s">
        <v>322</v>
      </c>
      <c r="C203" s="119" t="s">
        <v>323</v>
      </c>
      <c r="E203" s="121">
        <v>24000102328</v>
      </c>
      <c r="F203" s="120">
        <v>91579</v>
      </c>
      <c r="G203" s="8">
        <f>IFERROR(VLOOKUP(F203,[1]Lulu!$E:$F,2,0),"")</f>
        <v>439174</v>
      </c>
      <c r="H203" s="141">
        <f t="shared" si="3"/>
        <v>0</v>
      </c>
    </row>
    <row r="204" spans="1:8" ht="15.75" x14ac:dyDescent="0.2">
      <c r="A204" s="74">
        <v>538548</v>
      </c>
      <c r="B204" s="119" t="s">
        <v>324</v>
      </c>
      <c r="C204" s="121" t="s">
        <v>325</v>
      </c>
      <c r="E204" s="121">
        <v>1800000014804</v>
      </c>
      <c r="F204" s="120">
        <v>356737</v>
      </c>
      <c r="G204" s="8">
        <f>IFERROR(VLOOKUP(F204,[1]Lulu!$E:$F,2,0),"")</f>
        <v>538548</v>
      </c>
      <c r="H204" s="141">
        <f t="shared" si="3"/>
        <v>0</v>
      </c>
    </row>
    <row r="205" spans="1:8" ht="15.75" x14ac:dyDescent="0.2">
      <c r="B205" s="119" t="s">
        <v>326</v>
      </c>
      <c r="C205" s="119" t="s">
        <v>323</v>
      </c>
      <c r="E205" s="121">
        <v>24000130123</v>
      </c>
      <c r="F205" s="120">
        <v>91584</v>
      </c>
      <c r="G205" s="8">
        <f>IFERROR(VLOOKUP(F205,[1]Lulu!$E:$F,2,0),"")</f>
        <v>0</v>
      </c>
      <c r="H205" s="141">
        <f t="shared" si="3"/>
        <v>0</v>
      </c>
    </row>
    <row r="206" spans="1:8" ht="15.75" x14ac:dyDescent="0.2">
      <c r="B206" s="119" t="s">
        <v>327</v>
      </c>
      <c r="C206" s="121" t="s">
        <v>328</v>
      </c>
      <c r="E206" s="121">
        <v>6291106770292</v>
      </c>
      <c r="F206" s="120">
        <v>91586</v>
      </c>
      <c r="G206" s="8">
        <f>IFERROR(VLOOKUP(F206,[1]Lulu!$E:$F,2,0),"")</f>
        <v>0</v>
      </c>
      <c r="H206" s="141">
        <f t="shared" si="3"/>
        <v>0</v>
      </c>
    </row>
    <row r="207" spans="1:8" ht="15.75" x14ac:dyDescent="0.2">
      <c r="B207" s="119" t="s">
        <v>329</v>
      </c>
      <c r="C207" s="119" t="s">
        <v>323</v>
      </c>
      <c r="E207" s="121">
        <v>24000156123</v>
      </c>
      <c r="F207" s="120">
        <v>91589</v>
      </c>
      <c r="G207" s="8">
        <f>IFERROR(VLOOKUP(F207,[1]Lulu!$E:$F,2,0),"")</f>
        <v>0</v>
      </c>
      <c r="H207" s="141">
        <f t="shared" si="3"/>
        <v>0</v>
      </c>
    </row>
    <row r="208" spans="1:8" ht="15.75" x14ac:dyDescent="0.2">
      <c r="B208" s="119" t="s">
        <v>330</v>
      </c>
      <c r="C208" s="121" t="s">
        <v>331</v>
      </c>
      <c r="E208" s="121">
        <v>1800000014903</v>
      </c>
      <c r="F208" s="120">
        <v>356738</v>
      </c>
      <c r="G208" s="8">
        <f>IFERROR(VLOOKUP(F208,[1]Lulu!$E:$F,2,0),"")</f>
        <v>0</v>
      </c>
      <c r="H208" s="141">
        <f t="shared" si="3"/>
        <v>0</v>
      </c>
    </row>
    <row r="209" spans="1:8" ht="15.75" x14ac:dyDescent="0.2">
      <c r="A209" s="123">
        <v>439175</v>
      </c>
      <c r="B209" s="119" t="s">
        <v>332</v>
      </c>
      <c r="C209" s="119" t="s">
        <v>323</v>
      </c>
      <c r="E209" s="121">
        <v>24000074342</v>
      </c>
      <c r="F209" s="120">
        <v>91592</v>
      </c>
      <c r="G209" s="8">
        <f>IFERROR(VLOOKUP(F209,[1]Lulu!$E:$F,2,0),"")</f>
        <v>439175</v>
      </c>
      <c r="H209" s="141">
        <f t="shared" si="3"/>
        <v>0</v>
      </c>
    </row>
    <row r="210" spans="1:8" ht="15.75" x14ac:dyDescent="0.2">
      <c r="B210" s="119" t="s">
        <v>333</v>
      </c>
      <c r="C210" s="119" t="s">
        <v>334</v>
      </c>
      <c r="E210" s="121">
        <v>24000175056</v>
      </c>
      <c r="F210" s="120">
        <v>91597</v>
      </c>
      <c r="G210" s="8">
        <f>IFERROR(VLOOKUP(F210,[1]Lulu!$E:$F,2,0),"")</f>
        <v>0</v>
      </c>
      <c r="H210" s="141">
        <f t="shared" si="3"/>
        <v>0</v>
      </c>
    </row>
    <row r="211" spans="1:8" ht="15.75" x14ac:dyDescent="0.2">
      <c r="B211" s="119" t="s">
        <v>335</v>
      </c>
      <c r="C211" s="121" t="s">
        <v>309</v>
      </c>
      <c r="E211" s="121">
        <v>6291106771619</v>
      </c>
      <c r="F211" s="120">
        <v>165189</v>
      </c>
      <c r="G211" s="8">
        <f>IFERROR(VLOOKUP(F211,[1]Lulu!$E:$F,2,0),"")</f>
        <v>0</v>
      </c>
      <c r="H211" s="141">
        <f t="shared" si="3"/>
        <v>0</v>
      </c>
    </row>
    <row r="212" spans="1:8" ht="15.75" x14ac:dyDescent="0.2">
      <c r="A212" s="123">
        <v>457165</v>
      </c>
      <c r="B212" s="119" t="s">
        <v>336</v>
      </c>
      <c r="C212" s="119" t="s">
        <v>337</v>
      </c>
      <c r="E212" s="121">
        <v>24000104582</v>
      </c>
      <c r="F212" s="120">
        <v>91599</v>
      </c>
      <c r="G212" s="8">
        <f>IFERROR(VLOOKUP(F212,[1]Lulu!$E:$F,2,0),"")</f>
        <v>457165</v>
      </c>
      <c r="H212" s="141">
        <f t="shared" si="3"/>
        <v>0</v>
      </c>
    </row>
    <row r="213" spans="1:8" ht="15.75" x14ac:dyDescent="0.2">
      <c r="A213" s="74">
        <v>508525</v>
      </c>
      <c r="B213" s="119" t="s">
        <v>338</v>
      </c>
      <c r="C213" s="121" t="s">
        <v>339</v>
      </c>
      <c r="E213" s="121">
        <v>1800000015405</v>
      </c>
      <c r="F213" s="120">
        <v>356743</v>
      </c>
      <c r="G213" s="8">
        <f>IFERROR(VLOOKUP(F213,[1]Lulu!$E:$F,2,0),"")</f>
        <v>508525</v>
      </c>
      <c r="H213" s="141">
        <f t="shared" si="3"/>
        <v>0</v>
      </c>
    </row>
    <row r="214" spans="1:8" ht="15.75" x14ac:dyDescent="0.2">
      <c r="A214" s="123">
        <v>1652224</v>
      </c>
      <c r="B214" s="119" t="s">
        <v>340</v>
      </c>
      <c r="C214" s="119" t="s">
        <v>341</v>
      </c>
      <c r="E214" s="121">
        <v>24000238171</v>
      </c>
      <c r="F214" s="120">
        <v>165099</v>
      </c>
      <c r="G214" s="8">
        <f>IFERROR(VLOOKUP(F214,[1]Lulu!$E:$F,2,0),"")</f>
        <v>1652224</v>
      </c>
      <c r="H214" s="141">
        <f t="shared" si="3"/>
        <v>0</v>
      </c>
    </row>
    <row r="215" spans="1:8" ht="15.75" x14ac:dyDescent="0.2">
      <c r="A215" s="74">
        <v>1660422</v>
      </c>
      <c r="B215" s="119" t="s">
        <v>342</v>
      </c>
      <c r="C215" s="119" t="s">
        <v>341</v>
      </c>
      <c r="E215" s="121">
        <v>24000238188</v>
      </c>
      <c r="F215" s="120">
        <v>165100</v>
      </c>
      <c r="G215" s="8">
        <f>IFERROR(VLOOKUP(F215,[1]Lulu!$E:$F,2,0),"")</f>
        <v>1660422</v>
      </c>
      <c r="H215" s="141">
        <f t="shared" si="3"/>
        <v>0</v>
      </c>
    </row>
    <row r="216" spans="1:8" ht="15.75" x14ac:dyDescent="0.2">
      <c r="B216" s="119" t="s">
        <v>343</v>
      </c>
      <c r="C216" s="121" t="s">
        <v>344</v>
      </c>
      <c r="E216" s="121">
        <v>1800000015306</v>
      </c>
      <c r="F216" s="120">
        <v>356742</v>
      </c>
      <c r="G216" s="8">
        <f>IFERROR(VLOOKUP(F216,[1]Lulu!$E:$F,2,0),"")</f>
        <v>0</v>
      </c>
      <c r="H216" s="141">
        <f t="shared" si="3"/>
        <v>0</v>
      </c>
    </row>
    <row r="217" spans="1:8" ht="15.75" x14ac:dyDescent="0.2">
      <c r="A217" s="124">
        <v>1660421</v>
      </c>
      <c r="B217" s="119" t="s">
        <v>345</v>
      </c>
      <c r="C217" s="119" t="s">
        <v>341</v>
      </c>
      <c r="E217" s="121">
        <v>24000238201</v>
      </c>
      <c r="F217" s="120">
        <v>165101</v>
      </c>
      <c r="G217" s="8">
        <f>IFERROR(VLOOKUP(F217,[1]Lulu!$E:$F,2,0),"")</f>
        <v>1660421</v>
      </c>
      <c r="H217" s="141">
        <f t="shared" si="3"/>
        <v>0</v>
      </c>
    </row>
    <row r="218" spans="1:8" ht="15.75" x14ac:dyDescent="0.2">
      <c r="A218" s="123">
        <v>1475346</v>
      </c>
      <c r="B218" s="119" t="s">
        <v>346</v>
      </c>
      <c r="C218" s="119" t="s">
        <v>337</v>
      </c>
      <c r="E218" s="121">
        <v>24000104209</v>
      </c>
      <c r="F218" s="120">
        <v>255031</v>
      </c>
      <c r="G218" s="8">
        <f>IFERROR(VLOOKUP(F218,[1]Lulu!$E:$F,2,0),"")</f>
        <v>1475346</v>
      </c>
      <c r="H218" s="141">
        <f t="shared" si="3"/>
        <v>0</v>
      </c>
    </row>
    <row r="219" spans="1:8" ht="15.75" x14ac:dyDescent="0.2">
      <c r="B219" s="119" t="s">
        <v>347</v>
      </c>
      <c r="C219" s="119" t="s">
        <v>348</v>
      </c>
      <c r="E219" s="121">
        <v>24000101895</v>
      </c>
      <c r="F219" s="120">
        <v>302679</v>
      </c>
      <c r="G219" s="8">
        <f>IFERROR(VLOOKUP(F219,[1]Lulu!$E:$F,2,0),"")</f>
        <v>0</v>
      </c>
      <c r="H219" s="141">
        <f t="shared" si="3"/>
        <v>0</v>
      </c>
    </row>
    <row r="220" spans="1:8" ht="15.75" x14ac:dyDescent="0.2">
      <c r="A220" s="123">
        <v>432420</v>
      </c>
      <c r="B220" s="119" t="s">
        <v>349</v>
      </c>
      <c r="C220" s="119" t="s">
        <v>350</v>
      </c>
      <c r="E220" s="121">
        <v>4800024562692</v>
      </c>
      <c r="F220" s="120">
        <v>91604</v>
      </c>
      <c r="G220" s="8">
        <f>IFERROR(VLOOKUP(F220,[1]Lulu!$E:$F,2,0),"")</f>
        <v>432420</v>
      </c>
      <c r="H220" s="141">
        <f t="shared" si="3"/>
        <v>0</v>
      </c>
    </row>
    <row r="221" spans="1:8" ht="15.75" x14ac:dyDescent="0.2">
      <c r="A221" s="123">
        <v>432403</v>
      </c>
      <c r="B221" s="119" t="s">
        <v>351</v>
      </c>
      <c r="C221" s="119" t="s">
        <v>350</v>
      </c>
      <c r="E221" s="121">
        <v>4800024550927</v>
      </c>
      <c r="F221" s="120">
        <v>91606</v>
      </c>
      <c r="G221" s="8">
        <f>IFERROR(VLOOKUP(F221,[1]Lulu!$E:$F,2,0),"")</f>
        <v>432403</v>
      </c>
      <c r="H221" s="141">
        <f t="shared" si="3"/>
        <v>0</v>
      </c>
    </row>
    <row r="222" spans="1:8" ht="15.75" x14ac:dyDescent="0.2">
      <c r="A222" s="123">
        <v>432406</v>
      </c>
      <c r="B222" s="119" t="s">
        <v>352</v>
      </c>
      <c r="C222" s="119" t="s">
        <v>350</v>
      </c>
      <c r="E222" s="121">
        <v>4800024550057</v>
      </c>
      <c r="F222" s="120">
        <v>91607</v>
      </c>
      <c r="G222" s="8">
        <f>IFERROR(VLOOKUP(F222,[1]Lulu!$E:$F,2,0),"")</f>
        <v>432406</v>
      </c>
      <c r="H222" s="141">
        <f t="shared" si="3"/>
        <v>0</v>
      </c>
    </row>
    <row r="223" spans="1:8" ht="15.75" x14ac:dyDescent="0.2">
      <c r="A223" s="123">
        <v>432405</v>
      </c>
      <c r="B223" s="119" t="s">
        <v>353</v>
      </c>
      <c r="C223" s="119" t="s">
        <v>350</v>
      </c>
      <c r="E223" s="121">
        <v>4800024550088</v>
      </c>
      <c r="F223" s="120">
        <v>91608</v>
      </c>
      <c r="G223" s="8">
        <f>IFERROR(VLOOKUP(F223,[1]Lulu!$E:$F,2,0),"")</f>
        <v>432405</v>
      </c>
      <c r="H223" s="141">
        <f t="shared" si="3"/>
        <v>0</v>
      </c>
    </row>
    <row r="224" spans="1:8" ht="15.75" x14ac:dyDescent="0.2">
      <c r="A224" s="124">
        <v>513064</v>
      </c>
      <c r="B224" s="119" t="s">
        <v>354</v>
      </c>
      <c r="C224" s="119" t="s">
        <v>355</v>
      </c>
      <c r="D224" s="120" t="s">
        <v>484</v>
      </c>
      <c r="E224" s="121">
        <v>6291106770223</v>
      </c>
      <c r="F224" s="120">
        <v>91614</v>
      </c>
      <c r="G224" s="8">
        <f>IFERROR(VLOOKUP(F224,[1]Lulu!$E:$F,2,0),"")</f>
        <v>0</v>
      </c>
      <c r="H224" s="141">
        <f t="shared" si="3"/>
        <v>-513064</v>
      </c>
    </row>
    <row r="225" spans="1:8" ht="15.75" x14ac:dyDescent="0.2">
      <c r="B225" s="119" t="s">
        <v>356</v>
      </c>
      <c r="C225" s="119" t="s">
        <v>357</v>
      </c>
      <c r="E225" s="121">
        <v>4800024562739</v>
      </c>
      <c r="F225" s="120">
        <v>91616</v>
      </c>
      <c r="G225" s="8">
        <f>IFERROR(VLOOKUP(F225,[1]Lulu!$E:$F,2,0),"")</f>
        <v>0</v>
      </c>
      <c r="H225" s="141">
        <f t="shared" si="3"/>
        <v>0</v>
      </c>
    </row>
    <row r="226" spans="1:8" ht="15.75" x14ac:dyDescent="0.2">
      <c r="A226" s="123">
        <v>1059107</v>
      </c>
      <c r="B226" s="119" t="s">
        <v>358</v>
      </c>
      <c r="C226" s="119" t="s">
        <v>359</v>
      </c>
      <c r="E226" s="121">
        <v>24000244417</v>
      </c>
      <c r="F226" s="120">
        <v>193127</v>
      </c>
      <c r="G226" s="8">
        <f>IFERROR(VLOOKUP(F226,[1]Lulu!$E:$F,2,0),"")</f>
        <v>1059107</v>
      </c>
      <c r="H226" s="141">
        <f t="shared" si="3"/>
        <v>0</v>
      </c>
    </row>
    <row r="227" spans="1:8" ht="15.75" x14ac:dyDescent="0.2">
      <c r="A227" s="74">
        <v>1059756</v>
      </c>
      <c r="B227" s="119" t="s">
        <v>360</v>
      </c>
      <c r="C227" s="121" t="s">
        <v>361</v>
      </c>
      <c r="E227" s="121">
        <v>6291106772029</v>
      </c>
      <c r="F227" s="202">
        <v>198563</v>
      </c>
      <c r="G227" s="8">
        <f>IFERROR(VLOOKUP(F227,[1]Lulu!$E:$F,2,0),"")</f>
        <v>1059756</v>
      </c>
      <c r="H227" s="141">
        <f t="shared" si="3"/>
        <v>0</v>
      </c>
    </row>
    <row r="228" spans="1:8" ht="15.75" x14ac:dyDescent="0.2">
      <c r="B228" s="119" t="s">
        <v>362</v>
      </c>
      <c r="C228" s="119" t="s">
        <v>363</v>
      </c>
      <c r="E228" s="121">
        <v>24000106470</v>
      </c>
      <c r="F228" s="120">
        <v>296891</v>
      </c>
      <c r="G228" s="8">
        <f>IFERROR(VLOOKUP(F228,[1]Lulu!$E:$F,2,0),"")</f>
        <v>0</v>
      </c>
      <c r="H228" s="141">
        <f t="shared" si="3"/>
        <v>0</v>
      </c>
    </row>
    <row r="229" spans="1:8" ht="15.75" x14ac:dyDescent="0.2">
      <c r="B229" s="119" t="s">
        <v>364</v>
      </c>
      <c r="C229" s="121" t="s">
        <v>365</v>
      </c>
      <c r="E229" s="121">
        <v>6291108214817</v>
      </c>
      <c r="F229" s="120">
        <v>304053</v>
      </c>
      <c r="G229" s="8">
        <f>IFERROR(VLOOKUP(F229,[1]Lulu!$E:$F,2,0),"")</f>
        <v>0</v>
      </c>
      <c r="H229" s="141">
        <f t="shared" si="3"/>
        <v>0</v>
      </c>
    </row>
    <row r="230" spans="1:8" ht="15.75" x14ac:dyDescent="0.2">
      <c r="B230" s="119" t="s">
        <v>366</v>
      </c>
      <c r="C230" s="119" t="s">
        <v>367</v>
      </c>
      <c r="E230" s="121">
        <v>736211763730</v>
      </c>
      <c r="F230" s="120">
        <v>159579</v>
      </c>
      <c r="G230" s="8">
        <f>IFERROR(VLOOKUP(F230,[1]Lulu!$E:$F,2,0),"")</f>
        <v>0</v>
      </c>
      <c r="H230" s="141">
        <f t="shared" si="3"/>
        <v>0</v>
      </c>
    </row>
    <row r="231" spans="1:8" ht="15.75" x14ac:dyDescent="0.2">
      <c r="B231" s="119" t="s">
        <v>368</v>
      </c>
      <c r="C231" s="119" t="s">
        <v>367</v>
      </c>
      <c r="E231" s="121">
        <v>736211763631</v>
      </c>
      <c r="F231" s="120">
        <v>159580</v>
      </c>
      <c r="G231" s="8">
        <f>IFERROR(VLOOKUP(F231,[1]Lulu!$E:$F,2,0),"")</f>
        <v>0</v>
      </c>
      <c r="H231" s="141">
        <f t="shared" si="3"/>
        <v>0</v>
      </c>
    </row>
    <row r="232" spans="1:8" ht="15.75" x14ac:dyDescent="0.2">
      <c r="B232" s="119" t="s">
        <v>369</v>
      </c>
      <c r="C232" s="119" t="s">
        <v>367</v>
      </c>
      <c r="E232" s="121">
        <v>736211763938</v>
      </c>
      <c r="F232" s="120">
        <v>159661</v>
      </c>
      <c r="G232" s="8">
        <f>IFERROR(VLOOKUP(F232,[1]Lulu!$E:$F,2,0),"")</f>
        <v>0</v>
      </c>
      <c r="H232" s="141">
        <f t="shared" si="3"/>
        <v>0</v>
      </c>
    </row>
    <row r="233" spans="1:8" ht="15.75" x14ac:dyDescent="0.2">
      <c r="B233" s="119" t="s">
        <v>370</v>
      </c>
      <c r="C233" s="119" t="s">
        <v>367</v>
      </c>
      <c r="E233" s="121">
        <v>736211763839</v>
      </c>
      <c r="F233" s="120">
        <v>159662</v>
      </c>
      <c r="G233" s="8">
        <f>IFERROR(VLOOKUP(F233,[1]Lulu!$E:$F,2,0),"")</f>
        <v>0</v>
      </c>
      <c r="H233" s="141">
        <f t="shared" si="3"/>
        <v>0</v>
      </c>
    </row>
    <row r="234" spans="1:8" ht="15.75" x14ac:dyDescent="0.2">
      <c r="B234" s="119" t="s">
        <v>371</v>
      </c>
      <c r="C234" s="119" t="s">
        <v>367</v>
      </c>
      <c r="E234" s="121">
        <v>24000155997</v>
      </c>
      <c r="F234" s="120">
        <v>159749</v>
      </c>
      <c r="G234" s="8">
        <f>IFERROR(VLOOKUP(F234,[1]Lulu!$E:$F,2,0),"")</f>
        <v>0</v>
      </c>
      <c r="H234" s="141">
        <f t="shared" si="3"/>
        <v>0</v>
      </c>
    </row>
    <row r="235" spans="1:8" ht="15.75" x14ac:dyDescent="0.2">
      <c r="B235" s="119" t="s">
        <v>372</v>
      </c>
      <c r="C235" s="119" t="s">
        <v>367</v>
      </c>
      <c r="E235" s="121">
        <v>24000156000</v>
      </c>
      <c r="F235" s="120">
        <v>159750</v>
      </c>
      <c r="G235" s="8">
        <f>IFERROR(VLOOKUP(F235,[1]Lulu!$E:$F,2,0),"")</f>
        <v>0</v>
      </c>
      <c r="H235" s="141">
        <f t="shared" si="3"/>
        <v>0</v>
      </c>
    </row>
    <row r="236" spans="1:8" ht="15.75" x14ac:dyDescent="0.2">
      <c r="B236" s="119" t="s">
        <v>373</v>
      </c>
      <c r="C236" s="119" t="s">
        <v>374</v>
      </c>
      <c r="E236" s="121">
        <v>24000105619</v>
      </c>
      <c r="F236" s="120">
        <v>293042</v>
      </c>
      <c r="G236" s="8">
        <f>IFERROR(VLOOKUP(F236,[1]Lulu!$E:$F,2,0),"")</f>
        <v>0</v>
      </c>
      <c r="H236" s="141">
        <f t="shared" si="3"/>
        <v>0</v>
      </c>
    </row>
    <row r="237" spans="1:8" ht="15.75" x14ac:dyDescent="0.2">
      <c r="B237" s="119" t="s">
        <v>375</v>
      </c>
      <c r="C237" s="119" t="s">
        <v>374</v>
      </c>
      <c r="E237" s="121">
        <v>24000105626</v>
      </c>
      <c r="F237" s="120">
        <v>293043</v>
      </c>
      <c r="G237" s="8">
        <f>IFERROR(VLOOKUP(F237,[1]Lulu!$E:$F,2,0),"")</f>
        <v>0</v>
      </c>
      <c r="H237" s="141">
        <f t="shared" si="3"/>
        <v>0</v>
      </c>
    </row>
    <row r="238" spans="1:8" ht="15.75" x14ac:dyDescent="0.2">
      <c r="B238" s="119" t="s">
        <v>376</v>
      </c>
      <c r="C238" s="119" t="s">
        <v>377</v>
      </c>
      <c r="E238" s="121">
        <v>87208651905517</v>
      </c>
      <c r="F238" s="120">
        <v>372600</v>
      </c>
      <c r="G238" s="8">
        <f>IFERROR(VLOOKUP(F238,[1]Lulu!$E:$F,2,0),"")</f>
        <v>0</v>
      </c>
      <c r="H238" s="141">
        <f t="shared" si="3"/>
        <v>0</v>
      </c>
    </row>
    <row r="239" spans="1:8" ht="15.75" x14ac:dyDescent="0.2">
      <c r="B239" s="119" t="s">
        <v>378</v>
      </c>
      <c r="C239" s="119" t="s">
        <v>379</v>
      </c>
      <c r="E239" s="121">
        <v>87208651906316</v>
      </c>
      <c r="F239" s="120">
        <v>372601</v>
      </c>
      <c r="G239" s="8">
        <f>IFERROR(VLOOKUP(F239,[1]Lulu!$E:$F,2,0),"")</f>
        <v>0</v>
      </c>
      <c r="H239" s="141">
        <f t="shared" si="3"/>
        <v>0</v>
      </c>
    </row>
    <row r="240" spans="1:8" ht="15.75" x14ac:dyDescent="0.2">
      <c r="B240" s="119" t="s">
        <v>380</v>
      </c>
      <c r="C240" s="119" t="s">
        <v>381</v>
      </c>
      <c r="E240" s="121">
        <v>87208651905319</v>
      </c>
      <c r="F240" s="120">
        <v>372602</v>
      </c>
      <c r="G240" s="8">
        <f>IFERROR(VLOOKUP(F240,[1]Lulu!$E:$F,2,0),"")</f>
        <v>0</v>
      </c>
      <c r="H240" s="141">
        <f t="shared" si="3"/>
        <v>0</v>
      </c>
    </row>
    <row r="241" spans="1:8" ht="15.75" x14ac:dyDescent="0.2">
      <c r="B241" s="119" t="s">
        <v>382</v>
      </c>
      <c r="C241" s="119" t="s">
        <v>379</v>
      </c>
      <c r="E241" s="121">
        <v>87208651906118</v>
      </c>
      <c r="F241" s="120">
        <v>372603</v>
      </c>
      <c r="G241" s="8">
        <f>IFERROR(VLOOKUP(F241,[1]Lulu!$E:$F,2,0),"")</f>
        <v>0</v>
      </c>
      <c r="H241" s="141">
        <f t="shared" si="3"/>
        <v>0</v>
      </c>
    </row>
    <row r="242" spans="1:8" ht="15.75" x14ac:dyDescent="0.2">
      <c r="B242" s="119" t="s">
        <v>383</v>
      </c>
      <c r="C242" s="119" t="s">
        <v>384</v>
      </c>
      <c r="E242" s="121">
        <v>87208651906514</v>
      </c>
      <c r="F242" s="120">
        <v>372604</v>
      </c>
      <c r="G242" s="8">
        <f>IFERROR(VLOOKUP(F242,[1]Lulu!$E:$F,2,0),"")</f>
        <v>0</v>
      </c>
      <c r="H242" s="141">
        <f t="shared" si="3"/>
        <v>0</v>
      </c>
    </row>
    <row r="243" spans="1:8" ht="15.75" x14ac:dyDescent="0.2">
      <c r="B243" s="119" t="s">
        <v>385</v>
      </c>
      <c r="C243" s="119" t="s">
        <v>377</v>
      </c>
      <c r="E243" s="121">
        <v>87208651905913</v>
      </c>
      <c r="F243" s="120">
        <v>372605</v>
      </c>
      <c r="G243" s="8">
        <f>IFERROR(VLOOKUP(F243,[1]Lulu!$E:$F,2,0),"")</f>
        <v>0</v>
      </c>
      <c r="H243" s="141">
        <f t="shared" si="3"/>
        <v>0</v>
      </c>
    </row>
    <row r="244" spans="1:8" ht="15.75" x14ac:dyDescent="0.2">
      <c r="A244" s="74">
        <v>400433</v>
      </c>
      <c r="B244" s="122" t="s">
        <v>386</v>
      </c>
      <c r="C244" s="122" t="s">
        <v>387</v>
      </c>
      <c r="E244" s="126">
        <v>24000109822</v>
      </c>
      <c r="F244" s="120">
        <v>341279</v>
      </c>
      <c r="G244" s="8">
        <f>IFERROR(VLOOKUP(F244,[1]Lulu!$E:$F,2,0),"")</f>
        <v>400433</v>
      </c>
      <c r="H244" s="141">
        <f t="shared" si="3"/>
        <v>0</v>
      </c>
    </row>
    <row r="245" spans="1:8" ht="15.75" x14ac:dyDescent="0.2">
      <c r="A245" s="74">
        <v>2085127</v>
      </c>
      <c r="B245" s="122" t="s">
        <v>388</v>
      </c>
      <c r="C245" s="122" t="s">
        <v>387</v>
      </c>
      <c r="E245" s="126">
        <v>24000109785</v>
      </c>
      <c r="F245" s="120">
        <v>341280</v>
      </c>
      <c r="G245" s="8">
        <f>IFERROR(VLOOKUP(F245,[1]Lulu!$E:$F,2,0),"")</f>
        <v>2085127</v>
      </c>
      <c r="H245" s="141">
        <f t="shared" si="3"/>
        <v>0</v>
      </c>
    </row>
    <row r="246" spans="1:8" ht="15.75" x14ac:dyDescent="0.2">
      <c r="A246" s="74">
        <v>2085130</v>
      </c>
      <c r="B246" s="122" t="s">
        <v>389</v>
      </c>
      <c r="C246" s="122" t="s">
        <v>387</v>
      </c>
      <c r="E246" s="126">
        <v>24000109792</v>
      </c>
      <c r="F246" s="120">
        <v>341281</v>
      </c>
      <c r="G246" s="8">
        <f>IFERROR(VLOOKUP(F246,[1]Lulu!$E:$F,2,0),"")</f>
        <v>2085130</v>
      </c>
      <c r="H246" s="141">
        <f t="shared" si="3"/>
        <v>0</v>
      </c>
    </row>
    <row r="247" spans="1:8" ht="15.75" x14ac:dyDescent="0.2">
      <c r="A247" s="74">
        <v>2085131</v>
      </c>
      <c r="B247" s="122" t="s">
        <v>390</v>
      </c>
      <c r="C247" s="122" t="s">
        <v>387</v>
      </c>
      <c r="E247" s="126">
        <v>24000109808</v>
      </c>
      <c r="F247" s="120">
        <v>341282</v>
      </c>
      <c r="G247" s="8">
        <f>IFERROR(VLOOKUP(F247,[1]Lulu!$E:$F,2,0),"")</f>
        <v>2085131</v>
      </c>
      <c r="H247" s="141">
        <f t="shared" si="3"/>
        <v>0</v>
      </c>
    </row>
    <row r="248" spans="1:8" ht="15.75" x14ac:dyDescent="0.2">
      <c r="A248" s="74">
        <v>2085129</v>
      </c>
      <c r="B248" s="122" t="s">
        <v>391</v>
      </c>
      <c r="C248" s="122" t="s">
        <v>387</v>
      </c>
      <c r="E248" s="126">
        <v>24000109815</v>
      </c>
      <c r="F248" s="120">
        <v>341283</v>
      </c>
      <c r="G248" s="8">
        <f>IFERROR(VLOOKUP(F248,[1]Lulu!$E:$F,2,0),"")</f>
        <v>2085129</v>
      </c>
      <c r="H248" s="141">
        <f t="shared" si="3"/>
        <v>0</v>
      </c>
    </row>
    <row r="249" spans="1:8" ht="15.75" x14ac:dyDescent="0.2">
      <c r="A249" s="284">
        <v>2242621</v>
      </c>
      <c r="B249" s="119" t="s">
        <v>392</v>
      </c>
      <c r="C249" s="119" t="s">
        <v>393</v>
      </c>
      <c r="E249" s="121">
        <v>1800000016037</v>
      </c>
      <c r="F249" s="120">
        <v>357352</v>
      </c>
      <c r="G249" s="8">
        <f>IFERROR(VLOOKUP(F249,[1]Lulu!$E:$F,2,0),"")</f>
        <v>0</v>
      </c>
      <c r="H249" s="141">
        <f t="shared" si="3"/>
        <v>-2242621</v>
      </c>
    </row>
    <row r="250" spans="1:8" ht="15.75" x14ac:dyDescent="0.2">
      <c r="B250" s="119" t="s">
        <v>394</v>
      </c>
      <c r="C250" s="119" t="s">
        <v>393</v>
      </c>
      <c r="E250" s="121">
        <v>1800000016044</v>
      </c>
      <c r="F250" s="120">
        <v>357353</v>
      </c>
      <c r="G250" s="8">
        <f>IFERROR(VLOOKUP(F250,[1]Lulu!$E:$F,2,0),"")</f>
        <v>0</v>
      </c>
      <c r="H250" s="141">
        <f t="shared" si="3"/>
        <v>0</v>
      </c>
    </row>
    <row r="251" spans="1:8" ht="15.75" x14ac:dyDescent="0.2">
      <c r="B251" s="119" t="s">
        <v>395</v>
      </c>
      <c r="C251" s="119" t="s">
        <v>393</v>
      </c>
      <c r="E251" s="121">
        <v>1800000016051</v>
      </c>
      <c r="F251" s="120">
        <v>357354</v>
      </c>
      <c r="G251" s="8">
        <f>IFERROR(VLOOKUP(F251,[1]Lulu!$E:$F,2,0),"")</f>
        <v>0</v>
      </c>
      <c r="H251" s="141">
        <f t="shared" si="3"/>
        <v>0</v>
      </c>
    </row>
    <row r="252" spans="1:8" ht="15.75" x14ac:dyDescent="0.2">
      <c r="B252" s="119" t="s">
        <v>396</v>
      </c>
      <c r="C252" s="119" t="s">
        <v>393</v>
      </c>
      <c r="E252" s="121">
        <v>1800000016068</v>
      </c>
      <c r="F252" s="120">
        <v>357355</v>
      </c>
      <c r="G252" s="8">
        <f>IFERROR(VLOOKUP(F252,[1]Lulu!$E:$F,2,0),"")</f>
        <v>0</v>
      </c>
      <c r="H252" s="141">
        <f t="shared" si="3"/>
        <v>0</v>
      </c>
    </row>
    <row r="253" spans="1:8" ht="15.75" x14ac:dyDescent="0.2">
      <c r="B253" s="119" t="s">
        <v>397</v>
      </c>
      <c r="C253" s="119" t="s">
        <v>393</v>
      </c>
      <c r="E253" s="121">
        <v>1800000016075</v>
      </c>
      <c r="F253" s="120">
        <v>357356</v>
      </c>
      <c r="G253" s="8">
        <f>IFERROR(VLOOKUP(F253,[1]Lulu!$E:$F,2,0),"")</f>
        <v>0</v>
      </c>
      <c r="H253" s="141">
        <f t="shared" si="3"/>
        <v>0</v>
      </c>
    </row>
    <row r="254" spans="1:8" ht="15.75" x14ac:dyDescent="0.25">
      <c r="B254" s="127" t="s">
        <v>405</v>
      </c>
      <c r="C254" s="71" t="s">
        <v>398</v>
      </c>
      <c r="D254" s="71"/>
      <c r="E254" s="121">
        <v>8429671350054</v>
      </c>
      <c r="F254" s="129">
        <v>106958</v>
      </c>
      <c r="G254" s="8">
        <f>IFERROR(VLOOKUP(F254,[1]Lulu!$E:$F,2,0),"")</f>
        <v>0</v>
      </c>
      <c r="H254" s="141">
        <f t="shared" si="3"/>
        <v>0</v>
      </c>
    </row>
    <row r="255" spans="1:8" ht="15.75" x14ac:dyDescent="0.25">
      <c r="A255" s="74">
        <v>307255</v>
      </c>
      <c r="B255" s="127" t="s">
        <v>405</v>
      </c>
      <c r="C255" s="71" t="s">
        <v>399</v>
      </c>
      <c r="D255" s="71"/>
      <c r="E255" s="121">
        <v>8429671350061</v>
      </c>
      <c r="F255" s="129">
        <v>91275</v>
      </c>
      <c r="G255" s="8">
        <f>IFERROR(VLOOKUP(F255,[1]Lulu!$E:$F,2,0),"")</f>
        <v>307255</v>
      </c>
      <c r="H255" s="141">
        <f t="shared" si="3"/>
        <v>0</v>
      </c>
    </row>
    <row r="256" spans="1:8" ht="15.75" x14ac:dyDescent="0.25">
      <c r="A256" s="74">
        <v>307256</v>
      </c>
      <c r="B256" s="127" t="s">
        <v>405</v>
      </c>
      <c r="C256" s="71" t="s">
        <v>400</v>
      </c>
      <c r="D256" s="71"/>
      <c r="E256" s="121">
        <v>8429671350115</v>
      </c>
      <c r="F256" s="129">
        <v>91277</v>
      </c>
      <c r="G256" s="8">
        <f>IFERROR(VLOOKUP(F256,[1]Lulu!$E:$F,2,0),"")</f>
        <v>307256</v>
      </c>
      <c r="H256" s="141">
        <f t="shared" si="3"/>
        <v>0</v>
      </c>
    </row>
    <row r="257" spans="1:8" ht="15.75" x14ac:dyDescent="0.25">
      <c r="B257" s="127" t="s">
        <v>406</v>
      </c>
      <c r="C257" s="71" t="s">
        <v>398</v>
      </c>
      <c r="D257" s="71"/>
      <c r="E257" s="121">
        <v>8429671350085</v>
      </c>
      <c r="F257" s="129">
        <v>106959</v>
      </c>
      <c r="G257" s="8">
        <f>IFERROR(VLOOKUP(F257,[1]Lulu!$E:$F,2,0),"")</f>
        <v>0</v>
      </c>
      <c r="H257" s="141">
        <f t="shared" si="3"/>
        <v>0</v>
      </c>
    </row>
    <row r="258" spans="1:8" ht="15.75" x14ac:dyDescent="0.25">
      <c r="B258" s="127" t="s">
        <v>406</v>
      </c>
      <c r="C258" s="72" t="s">
        <v>399</v>
      </c>
      <c r="D258" s="72"/>
      <c r="E258" s="121">
        <v>8429671350092</v>
      </c>
      <c r="F258" s="129">
        <v>91284</v>
      </c>
      <c r="G258" s="8">
        <f>IFERROR(VLOOKUP(F258,[1]Lulu!$E:$F,2,0),"")</f>
        <v>0</v>
      </c>
      <c r="H258" s="141">
        <f t="shared" si="3"/>
        <v>0</v>
      </c>
    </row>
    <row r="259" spans="1:8" ht="15.75" x14ac:dyDescent="0.25">
      <c r="A259" s="74">
        <v>439172</v>
      </c>
      <c r="B259" s="127" t="s">
        <v>401</v>
      </c>
      <c r="C259" s="72" t="s">
        <v>400</v>
      </c>
      <c r="D259" s="72"/>
      <c r="E259" s="121">
        <v>8429671351235</v>
      </c>
      <c r="F259" s="129">
        <v>107250</v>
      </c>
      <c r="G259" s="8">
        <f>IFERROR(VLOOKUP(F259,[1]Lulu!$E:$F,2,0),"")</f>
        <v>439172</v>
      </c>
      <c r="H259" s="141">
        <f t="shared" ref="H259:H272" si="4">IFERROR(G259-A259,"")</f>
        <v>0</v>
      </c>
    </row>
    <row r="260" spans="1:8" ht="15.75" x14ac:dyDescent="0.25">
      <c r="B260" s="128" t="s">
        <v>407</v>
      </c>
      <c r="C260" s="72" t="s">
        <v>402</v>
      </c>
      <c r="D260" s="72"/>
      <c r="E260" s="121">
        <v>8429671351266</v>
      </c>
      <c r="F260" s="129">
        <v>282412</v>
      </c>
      <c r="G260" s="8">
        <f>IFERROR(VLOOKUP(F260,[1]Lulu!$E:$F,2,0),"")</f>
        <v>0</v>
      </c>
      <c r="H260" s="141">
        <f t="shared" si="4"/>
        <v>0</v>
      </c>
    </row>
    <row r="261" spans="1:8" ht="15.75" x14ac:dyDescent="0.2">
      <c r="B261" s="131" t="s">
        <v>408</v>
      </c>
      <c r="C261" s="72"/>
      <c r="D261" s="72"/>
      <c r="E261" s="137">
        <v>8990800015224</v>
      </c>
      <c r="F261" s="135">
        <v>176167</v>
      </c>
      <c r="G261" s="8">
        <f>IFERROR(VLOOKUP(F261,[1]Lulu!$E:$F,2,0),"")</f>
        <v>0</v>
      </c>
      <c r="H261" s="141">
        <f t="shared" si="4"/>
        <v>0</v>
      </c>
    </row>
    <row r="262" spans="1:8" ht="15.75" x14ac:dyDescent="0.2">
      <c r="B262" s="131" t="s">
        <v>409</v>
      </c>
      <c r="C262" s="71"/>
      <c r="D262" s="71"/>
      <c r="E262" s="137">
        <v>8990800015255</v>
      </c>
      <c r="F262" s="135">
        <v>176168</v>
      </c>
      <c r="G262" s="8">
        <f>IFERROR(VLOOKUP(F262,[1]Lulu!$E:$F,2,0),"")</f>
        <v>0</v>
      </c>
      <c r="H262" s="141">
        <f t="shared" si="4"/>
        <v>0</v>
      </c>
    </row>
    <row r="263" spans="1:8" ht="15.75" x14ac:dyDescent="0.2">
      <c r="B263" s="131" t="s">
        <v>410</v>
      </c>
      <c r="C263" s="71"/>
      <c r="D263" s="71"/>
      <c r="E263" s="137">
        <v>8990800015286</v>
      </c>
      <c r="F263" s="135">
        <v>176169</v>
      </c>
      <c r="G263" s="8">
        <f>IFERROR(VLOOKUP(F263,[1]Lulu!$E:$F,2,0),"")</f>
        <v>0</v>
      </c>
      <c r="H263" s="141">
        <f t="shared" si="4"/>
        <v>0</v>
      </c>
    </row>
    <row r="264" spans="1:8" ht="15.75" x14ac:dyDescent="0.2">
      <c r="B264" s="131" t="s">
        <v>411</v>
      </c>
      <c r="C264" s="72"/>
      <c r="D264" s="72"/>
      <c r="E264" s="137">
        <v>8990800015316</v>
      </c>
      <c r="F264" s="135">
        <v>176170</v>
      </c>
      <c r="G264" s="8">
        <f>IFERROR(VLOOKUP(F264,[1]Lulu!$E:$F,2,0),"")</f>
        <v>0</v>
      </c>
      <c r="H264" s="141">
        <f t="shared" si="4"/>
        <v>0</v>
      </c>
    </row>
    <row r="265" spans="1:8" ht="15.75" x14ac:dyDescent="0.2">
      <c r="B265" s="131" t="s">
        <v>412</v>
      </c>
      <c r="E265" s="137">
        <v>8990800015347</v>
      </c>
      <c r="F265" s="135">
        <v>176171</v>
      </c>
      <c r="G265" s="8">
        <f>IFERROR(VLOOKUP(F265,[1]Lulu!$E:$F,2,0),"")</f>
        <v>0</v>
      </c>
      <c r="H265" s="141">
        <f t="shared" si="4"/>
        <v>0</v>
      </c>
    </row>
    <row r="266" spans="1:8" ht="15.75" x14ac:dyDescent="0.2">
      <c r="B266" s="131" t="s">
        <v>413</v>
      </c>
      <c r="E266" s="137">
        <v>8990800023908</v>
      </c>
      <c r="F266" s="135">
        <v>352469</v>
      </c>
      <c r="G266" s="8">
        <f>IFERROR(VLOOKUP(F266,[1]Lulu!$E:$F,2,0),"")</f>
        <v>0</v>
      </c>
      <c r="H266" s="141">
        <f t="shared" si="4"/>
        <v>0</v>
      </c>
    </row>
    <row r="267" spans="1:8" ht="15.75" x14ac:dyDescent="0.2">
      <c r="A267" s="74">
        <v>866372</v>
      </c>
      <c r="B267" s="131" t="s">
        <v>414</v>
      </c>
      <c r="E267" s="137">
        <v>8990800014500</v>
      </c>
      <c r="F267" s="135">
        <v>351381</v>
      </c>
      <c r="G267" s="8">
        <f>IFERROR(VLOOKUP(F267,[1]Lulu!$E:$F,2,0),"")</f>
        <v>0</v>
      </c>
      <c r="H267" s="141">
        <f>IFERROR(G267-A267,"")</f>
        <v>-866372</v>
      </c>
    </row>
    <row r="268" spans="1:8" ht="15.75" x14ac:dyDescent="0.2">
      <c r="B268" s="132" t="s">
        <v>415</v>
      </c>
      <c r="E268" s="137">
        <v>8990800022475</v>
      </c>
      <c r="F268" s="135">
        <v>310039</v>
      </c>
      <c r="G268" s="8">
        <f>IFERROR(VLOOKUP(F268,[1]Lulu!$E:$F,2,0),"")</f>
        <v>0</v>
      </c>
      <c r="H268" s="141">
        <f t="shared" si="4"/>
        <v>0</v>
      </c>
    </row>
    <row r="269" spans="1:8" ht="15.75" x14ac:dyDescent="0.2">
      <c r="B269" s="131" t="s">
        <v>416</v>
      </c>
      <c r="E269" s="137">
        <v>8935001726029</v>
      </c>
      <c r="F269" s="136">
        <v>372697</v>
      </c>
      <c r="G269" s="8">
        <f>IFERROR(VLOOKUP(F269,[1]Lulu!$E:$F,2,0),"")</f>
        <v>0</v>
      </c>
      <c r="H269" s="141">
        <f t="shared" si="4"/>
        <v>0</v>
      </c>
    </row>
    <row r="270" spans="1:8" ht="15.75" x14ac:dyDescent="0.2">
      <c r="B270" s="131" t="s">
        <v>417</v>
      </c>
      <c r="E270" s="137">
        <v>6921211117025</v>
      </c>
      <c r="F270" s="136">
        <v>365133</v>
      </c>
      <c r="G270" s="8">
        <f>IFERROR(VLOOKUP(F270,[1]Lulu!$E:$F,2,0),"")</f>
        <v>0</v>
      </c>
      <c r="H270" s="141">
        <f t="shared" si="4"/>
        <v>0</v>
      </c>
    </row>
    <row r="271" spans="1:8" ht="15.75" x14ac:dyDescent="0.2">
      <c r="B271" s="131" t="s">
        <v>418</v>
      </c>
      <c r="E271" s="137">
        <v>6921211117094</v>
      </c>
      <c r="F271" s="136">
        <v>371251</v>
      </c>
      <c r="G271" s="8">
        <f>IFERROR(VLOOKUP(F271,[1]Lulu!$E:$F,2,0),"")</f>
        <v>0</v>
      </c>
      <c r="H271" s="141">
        <f t="shared" si="4"/>
        <v>0</v>
      </c>
    </row>
    <row r="272" spans="1:8" ht="15.75" x14ac:dyDescent="0.2">
      <c r="B272" s="131" t="s">
        <v>419</v>
      </c>
      <c r="E272" s="137">
        <v>6921211118121</v>
      </c>
      <c r="F272" s="136">
        <v>365134</v>
      </c>
      <c r="G272" s="8">
        <f>IFERROR(VLOOKUP(F272,[1]Lulu!$E:$F,2,0),"")</f>
        <v>0</v>
      </c>
      <c r="H272" s="141">
        <f t="shared" si="4"/>
        <v>0</v>
      </c>
    </row>
    <row r="273" spans="1:8" ht="15.75" x14ac:dyDescent="0.25">
      <c r="A273" s="74" t="s">
        <v>465</v>
      </c>
      <c r="B273" s="129" t="s">
        <v>444</v>
      </c>
      <c r="E273" s="129">
        <v>24000037484</v>
      </c>
      <c r="F273" s="129">
        <v>91541</v>
      </c>
      <c r="G273" s="8" t="str">
        <f>IFERROR(VLOOKUP(F273,[1]Lulu!$E:$F,2,0),"")</f>
        <v/>
      </c>
      <c r="H273" s="141"/>
    </row>
    <row r="274" spans="1:8" ht="15.75" x14ac:dyDescent="0.25">
      <c r="A274" s="74" t="s">
        <v>465</v>
      </c>
      <c r="B274" s="129" t="s">
        <v>445</v>
      </c>
      <c r="E274" s="169">
        <v>8720865190563</v>
      </c>
      <c r="F274" s="129">
        <v>377203</v>
      </c>
      <c r="G274" s="8" t="str">
        <f>IFERROR(VLOOKUP(F274,[1]Lulu!$E:$F,2,0),"")</f>
        <v/>
      </c>
      <c r="H274" s="141"/>
    </row>
    <row r="275" spans="1:8" ht="15.75" x14ac:dyDescent="0.25">
      <c r="A275" s="74" t="s">
        <v>465</v>
      </c>
      <c r="B275" s="129" t="s">
        <v>446</v>
      </c>
      <c r="E275" s="170">
        <v>8720865190662</v>
      </c>
      <c r="F275" s="129">
        <v>377204</v>
      </c>
      <c r="G275" s="8" t="str">
        <f>IFERROR(VLOOKUP(F275,[1]Lulu!$E:$F,2,0),"")</f>
        <v/>
      </c>
      <c r="H275" s="141"/>
    </row>
    <row r="276" spans="1:8" ht="15.75" x14ac:dyDescent="0.25">
      <c r="A276" s="74" t="s">
        <v>465</v>
      </c>
      <c r="B276" s="129" t="s">
        <v>447</v>
      </c>
      <c r="E276" s="169">
        <v>1800000020706</v>
      </c>
      <c r="F276" s="129">
        <v>375630</v>
      </c>
      <c r="G276" s="8" t="str">
        <f>IFERROR(VLOOKUP(F276,[1]Lulu!$E:$F,2,0),"")</f>
        <v/>
      </c>
      <c r="H276" s="141"/>
    </row>
    <row r="277" spans="1:8" ht="15.75" x14ac:dyDescent="0.25">
      <c r="A277" s="74" t="s">
        <v>465</v>
      </c>
      <c r="B277" s="129" t="s">
        <v>448</v>
      </c>
      <c r="E277" s="169">
        <v>1800000020805</v>
      </c>
      <c r="F277" s="129">
        <v>375631</v>
      </c>
      <c r="G277" s="8" t="str">
        <f>IFERROR(VLOOKUP(F277,[1]Lulu!$E:$F,2,0),"")</f>
        <v/>
      </c>
      <c r="H277" s="141"/>
    </row>
    <row r="278" spans="1:8" ht="15.75" x14ac:dyDescent="0.25">
      <c r="A278" s="74" t="s">
        <v>465</v>
      </c>
      <c r="B278" s="129" t="s">
        <v>449</v>
      </c>
      <c r="E278" s="169">
        <v>1800000020904</v>
      </c>
      <c r="F278" s="129">
        <v>375632</v>
      </c>
      <c r="G278" s="8" t="str">
        <f>IFERROR(VLOOKUP(F278,[1]Lulu!$E:$F,2,0),"")</f>
        <v/>
      </c>
      <c r="H278" s="141"/>
    </row>
    <row r="279" spans="1:8" ht="15.75" x14ac:dyDescent="0.25">
      <c r="A279" s="74" t="s">
        <v>465</v>
      </c>
      <c r="B279" s="129" t="s">
        <v>450</v>
      </c>
      <c r="E279" s="169">
        <v>1800000021000</v>
      </c>
      <c r="F279" s="129">
        <v>375633</v>
      </c>
      <c r="G279" s="8" t="str">
        <f>IFERROR(VLOOKUP(F279,[1]Lulu!$E:$F,2,0),"")</f>
        <v/>
      </c>
      <c r="H279" s="141"/>
    </row>
    <row r="280" spans="1:8" ht="15.75" x14ac:dyDescent="0.2">
      <c r="A280" s="74" t="s">
        <v>465</v>
      </c>
      <c r="B280" s="168" t="s">
        <v>451</v>
      </c>
      <c r="E280" s="171">
        <v>8935001726265</v>
      </c>
      <c r="F280" s="165">
        <v>377892</v>
      </c>
      <c r="G280" s="8" t="str">
        <f>IFERROR(VLOOKUP(F280,[1]Lulu!$E:$F,2,0),"")</f>
        <v/>
      </c>
      <c r="H280" s="141"/>
    </row>
    <row r="281" spans="1:8" ht="15.75" x14ac:dyDescent="0.2">
      <c r="A281" s="199">
        <v>1917408</v>
      </c>
      <c r="B281" s="168" t="s">
        <v>452</v>
      </c>
      <c r="E281" s="171">
        <v>8935001726289</v>
      </c>
      <c r="F281" s="165">
        <v>378596</v>
      </c>
      <c r="G281" s="8" t="str">
        <f>IFERROR(VLOOKUP(F281,[1]Lulu!$E:$F,2,0),"")</f>
        <v/>
      </c>
      <c r="H281" s="141"/>
    </row>
    <row r="282" spans="1:8" ht="15.75" x14ac:dyDescent="0.2">
      <c r="A282" s="199">
        <v>2214475</v>
      </c>
      <c r="B282" s="168" t="s">
        <v>453</v>
      </c>
      <c r="E282" s="171">
        <v>8935001726326</v>
      </c>
      <c r="F282" s="165">
        <v>378597</v>
      </c>
      <c r="G282" s="8" t="str">
        <f>IFERROR(VLOOKUP(F282,[1]Lulu!$E:$F,2,0),"")</f>
        <v/>
      </c>
      <c r="H282" s="141"/>
    </row>
    <row r="283" spans="1:8" ht="15.75" x14ac:dyDescent="0.2">
      <c r="A283" s="74">
        <v>895450</v>
      </c>
      <c r="B283" s="168" t="s">
        <v>454</v>
      </c>
      <c r="E283" s="171">
        <v>8410031945744</v>
      </c>
      <c r="F283" s="166">
        <v>384689</v>
      </c>
      <c r="G283" s="8">
        <f>IFERROR(VLOOKUP(F283,[1]Lulu!$E:$F,2,0),"")</f>
        <v>895450</v>
      </c>
      <c r="H283" s="141"/>
    </row>
    <row r="284" spans="1:8" ht="15.75" x14ac:dyDescent="0.2">
      <c r="A284" s="74">
        <v>2189172</v>
      </c>
      <c r="B284" s="168" t="s">
        <v>455</v>
      </c>
      <c r="E284" s="171">
        <v>8723400827771</v>
      </c>
      <c r="F284" s="166">
        <v>387686</v>
      </c>
      <c r="G284" s="8">
        <f>IFERROR(VLOOKUP(F284,[1]Lulu!$E:$F,2,0),"")</f>
        <v>2189172</v>
      </c>
      <c r="H284" s="141"/>
    </row>
    <row r="285" spans="1:8" ht="15.75" x14ac:dyDescent="0.2">
      <c r="A285" s="74">
        <v>2307394</v>
      </c>
      <c r="B285" s="168" t="s">
        <v>456</v>
      </c>
      <c r="E285" s="171">
        <v>8935001727309</v>
      </c>
      <c r="F285" s="166">
        <v>384691</v>
      </c>
      <c r="G285" s="8">
        <f>IFERROR(VLOOKUP(F285,[1]Lulu!$E:$F,2,0),"")</f>
        <v>2307394</v>
      </c>
      <c r="H285" s="141"/>
    </row>
    <row r="286" spans="1:8" ht="15.75" x14ac:dyDescent="0.2">
      <c r="A286" s="74">
        <v>2307395</v>
      </c>
      <c r="B286" s="168" t="s">
        <v>457</v>
      </c>
      <c r="E286" s="171">
        <v>8935001727293</v>
      </c>
      <c r="F286" s="166">
        <v>384692</v>
      </c>
      <c r="G286" s="8">
        <f>IFERROR(VLOOKUP(F286,[1]Lulu!$E:$F,2,0),"")</f>
        <v>2307395</v>
      </c>
      <c r="H286" s="141"/>
    </row>
    <row r="287" spans="1:8" ht="15.75" x14ac:dyDescent="0.2">
      <c r="A287" s="74">
        <v>2261965</v>
      </c>
      <c r="B287" s="168" t="s">
        <v>458</v>
      </c>
      <c r="E287" s="171">
        <v>80849469</v>
      </c>
      <c r="F287" s="165">
        <v>387687</v>
      </c>
      <c r="G287" s="8">
        <f>IFERROR(VLOOKUP(F287,[1]Lulu!$E:$F,2,0),"")</f>
        <v>2261965</v>
      </c>
      <c r="H287" s="141"/>
    </row>
    <row r="288" spans="1:8" ht="15.75" x14ac:dyDescent="0.2">
      <c r="A288" s="74">
        <v>2249919</v>
      </c>
      <c r="B288" s="168" t="s">
        <v>459</v>
      </c>
      <c r="E288" s="171">
        <v>6291109790280</v>
      </c>
      <c r="F288" s="165">
        <v>386802</v>
      </c>
      <c r="G288" s="8">
        <f>IFERROR(VLOOKUP(F288,[1]Lulu!$E:$F,2,0),"")</f>
        <v>2249919</v>
      </c>
      <c r="H288" s="141"/>
    </row>
    <row r="289" spans="1:8" ht="15.75" x14ac:dyDescent="0.2">
      <c r="A289" s="74">
        <v>2249915</v>
      </c>
      <c r="B289" s="168" t="s">
        <v>460</v>
      </c>
      <c r="E289" s="171">
        <v>6291109790297</v>
      </c>
      <c r="F289" s="165">
        <v>386803</v>
      </c>
      <c r="G289" s="8">
        <f>IFERROR(VLOOKUP(F289,[1]Lulu!$E:$F,2,0),"")</f>
        <v>2249915</v>
      </c>
      <c r="H289" s="141"/>
    </row>
    <row r="290" spans="1:8" ht="15.75" x14ac:dyDescent="0.2">
      <c r="A290" s="74">
        <v>2249914</v>
      </c>
      <c r="B290" s="168" t="s">
        <v>461</v>
      </c>
      <c r="E290" s="171">
        <v>6291109790303</v>
      </c>
      <c r="F290" s="165">
        <v>386804</v>
      </c>
      <c r="G290" s="8">
        <f>IFERROR(VLOOKUP(F290,[1]Lulu!$E:$F,2,0),"")</f>
        <v>2249914</v>
      </c>
      <c r="H290" s="141"/>
    </row>
    <row r="291" spans="1:8" ht="15.75" x14ac:dyDescent="0.2">
      <c r="A291" s="74">
        <v>2249913</v>
      </c>
      <c r="B291" s="168" t="s">
        <v>462</v>
      </c>
      <c r="E291" s="171">
        <v>6291109790310</v>
      </c>
      <c r="F291" s="165">
        <v>386805</v>
      </c>
      <c r="G291" s="8">
        <f>IFERROR(VLOOKUP(F291,[1]Lulu!$E:$F,2,0),"")</f>
        <v>2249913</v>
      </c>
      <c r="H291" s="141"/>
    </row>
    <row r="292" spans="1:8" ht="15.75" x14ac:dyDescent="0.2">
      <c r="A292" s="74" t="s">
        <v>465</v>
      </c>
      <c r="B292" s="168" t="s">
        <v>463</v>
      </c>
      <c r="E292" s="171">
        <v>6291109790327</v>
      </c>
      <c r="F292" s="165">
        <v>386806</v>
      </c>
      <c r="G292" s="8" t="str">
        <f>IFERROR(VLOOKUP(F292,[1]Lulu!$E:$F,2,0),"")</f>
        <v/>
      </c>
      <c r="H292" s="141"/>
    </row>
    <row r="293" spans="1:8" ht="15.75" x14ac:dyDescent="0.2">
      <c r="A293" s="74">
        <v>2308904</v>
      </c>
      <c r="B293" s="168" t="s">
        <v>464</v>
      </c>
      <c r="E293" s="171">
        <v>8935001727392</v>
      </c>
      <c r="F293" s="167">
        <v>384690</v>
      </c>
      <c r="G293" s="8">
        <f>IFERROR(VLOOKUP(F293,[1]Lulu!$E:$F,2,0),"")</f>
        <v>2308904</v>
      </c>
      <c r="H293" s="141"/>
    </row>
    <row r="294" spans="1:8" ht="15.75" x14ac:dyDescent="0.2">
      <c r="B294" s="131" t="s">
        <v>420</v>
      </c>
      <c r="E294" s="137">
        <v>8990800001807</v>
      </c>
      <c r="F294" s="135">
        <v>176174</v>
      </c>
      <c r="G294" s="8">
        <f>IFERROR(VLOOKUP(F294,[1]Lulu!$E:$F,2,0),"")</f>
        <v>0</v>
      </c>
      <c r="H294" s="141" t="str">
        <f>IFERROR(VLOOKUP(F294,[2]Sheet1!$P:$Q,2,0),"")</f>
        <v/>
      </c>
    </row>
    <row r="295" spans="1:8" ht="15.75" x14ac:dyDescent="0.2">
      <c r="B295" s="131" t="s">
        <v>421</v>
      </c>
      <c r="E295" s="137">
        <v>8990800001814</v>
      </c>
      <c r="F295" s="135">
        <v>176175</v>
      </c>
      <c r="G295" s="8">
        <f>IFERROR(VLOOKUP(F295,[1]Lulu!$E:$F,2,0),"")</f>
        <v>0</v>
      </c>
      <c r="H295" s="141" t="str">
        <f>IFERROR(VLOOKUP(F295,[2]Sheet1!$P:$Q,2,0),"")</f>
        <v/>
      </c>
    </row>
    <row r="296" spans="1:8" ht="15.75" x14ac:dyDescent="0.2">
      <c r="A296" s="74">
        <v>1763122</v>
      </c>
      <c r="B296" s="133" t="s">
        <v>422</v>
      </c>
      <c r="E296" s="137">
        <v>8935001725572</v>
      </c>
      <c r="F296" s="135">
        <v>327491</v>
      </c>
      <c r="G296" s="8">
        <f>IFERROR(VLOOKUP(F296,[1]Lulu!$E:$F,2,0),"")</f>
        <v>1763122</v>
      </c>
      <c r="H296" s="141" t="str">
        <f>IFERROR(VLOOKUP(F296,[2]Sheet1!$P:$Q,2,0),"")</f>
        <v/>
      </c>
    </row>
    <row r="297" spans="1:8" ht="15.75" x14ac:dyDescent="0.2">
      <c r="B297" s="134" t="s">
        <v>423</v>
      </c>
      <c r="E297" s="137">
        <v>8410031977240</v>
      </c>
      <c r="F297" s="136">
        <v>374046</v>
      </c>
      <c r="G297" s="8">
        <f>IFERROR(VLOOKUP(F297,[1]Lulu!$E:$F,2,0),"")</f>
        <v>0</v>
      </c>
      <c r="H297" s="141" t="str">
        <f>IFERROR(VLOOKUP(F297,[2]Sheet1!$P:$Q,2,0),"")</f>
        <v/>
      </c>
    </row>
    <row r="298" spans="1:8" ht="15.75" x14ac:dyDescent="0.2">
      <c r="B298" s="134" t="s">
        <v>424</v>
      </c>
      <c r="E298" s="137" t="s">
        <v>438</v>
      </c>
      <c r="F298" s="135">
        <v>247102</v>
      </c>
      <c r="G298" s="8">
        <f>IFERROR(VLOOKUP(F298,[1]Lulu!$E:$F,2,0),"")</f>
        <v>0</v>
      </c>
      <c r="H298" s="141" t="str">
        <f>IFERROR(VLOOKUP(F298,[2]Sheet1!$P:$Q,2,0),"")</f>
        <v/>
      </c>
    </row>
    <row r="299" spans="1:8" ht="15.75" x14ac:dyDescent="0.2">
      <c r="B299" s="134" t="s">
        <v>425</v>
      </c>
      <c r="E299" s="137"/>
      <c r="F299" s="135">
        <v>363700</v>
      </c>
      <c r="G299" s="8">
        <f>IFERROR(VLOOKUP(F299,[1]Lulu!$E:$F,2,0),"")</f>
        <v>0</v>
      </c>
      <c r="H299" s="141" t="str">
        <f>IFERROR(VLOOKUP(F299,[2]Sheet1!$P:$Q,2,0),"")</f>
        <v/>
      </c>
    </row>
    <row r="300" spans="1:8" ht="15.75" x14ac:dyDescent="0.2">
      <c r="A300" s="74">
        <v>1858417</v>
      </c>
      <c r="B300" s="134" t="s">
        <v>426</v>
      </c>
      <c r="E300" s="137">
        <v>8992741993340</v>
      </c>
      <c r="F300" s="135">
        <v>329171</v>
      </c>
      <c r="G300" s="8">
        <f>IFERROR(VLOOKUP(F300,[1]Lulu!$E:$F,2,0),"")</f>
        <v>1858417</v>
      </c>
      <c r="H300" s="141" t="str">
        <f>IFERROR(VLOOKUP(F300,[2]Sheet1!$P:$Q,2,0),"")</f>
        <v/>
      </c>
    </row>
    <row r="301" spans="1:8" ht="15.75" x14ac:dyDescent="0.2">
      <c r="A301" s="74">
        <v>1858416</v>
      </c>
      <c r="B301" s="134" t="s">
        <v>427</v>
      </c>
      <c r="E301" s="137">
        <v>8992741993333</v>
      </c>
      <c r="F301" s="135">
        <v>329172</v>
      </c>
      <c r="G301" s="8">
        <f>IFERROR(VLOOKUP(F301,[1]Lulu!$E:$F,2,0),"")</f>
        <v>1858416</v>
      </c>
      <c r="H301" s="141" t="str">
        <f>IFERROR(VLOOKUP(F301,[2]Sheet1!$P:$Q,2,0),"")</f>
        <v/>
      </c>
    </row>
    <row r="302" spans="1:8" ht="15.75" x14ac:dyDescent="0.2">
      <c r="A302" s="74">
        <v>1474003</v>
      </c>
      <c r="B302" s="134" t="s">
        <v>428</v>
      </c>
      <c r="E302" s="137">
        <v>8901393017106</v>
      </c>
      <c r="F302" s="135">
        <v>255466</v>
      </c>
      <c r="G302" s="8">
        <f>IFERROR(VLOOKUP(F302,[1]Lulu!$E:$F,2,0),"")</f>
        <v>1474003</v>
      </c>
      <c r="H302" s="141" t="str">
        <f>IFERROR(VLOOKUP(F302,[2]Sheet1!$P:$Q,2,0),"")</f>
        <v/>
      </c>
    </row>
    <row r="303" spans="1:8" ht="15.75" x14ac:dyDescent="0.2">
      <c r="A303" s="74">
        <v>1313880</v>
      </c>
      <c r="B303" s="134" t="s">
        <v>429</v>
      </c>
      <c r="E303" s="137">
        <v>8901393017137</v>
      </c>
      <c r="F303" s="135">
        <v>255467</v>
      </c>
      <c r="G303" s="8">
        <f>IFERROR(VLOOKUP(F303,[1]Lulu!$E:$F,2,0),"")</f>
        <v>1313880</v>
      </c>
      <c r="H303" s="141" t="str">
        <f>IFERROR(VLOOKUP(F303,[2]Sheet1!$P:$Q,2,0),"")</f>
        <v/>
      </c>
    </row>
    <row r="304" spans="1:8" ht="15.75" x14ac:dyDescent="0.2">
      <c r="A304" s="74">
        <v>1763098</v>
      </c>
      <c r="B304" s="134" t="s">
        <v>430</v>
      </c>
      <c r="E304" s="137">
        <v>8901393020564</v>
      </c>
      <c r="F304" s="135">
        <v>324335</v>
      </c>
      <c r="G304" s="8">
        <f>IFERROR(VLOOKUP(F304,[1]Lulu!$E:$F,2,0),"")</f>
        <v>1763098</v>
      </c>
      <c r="H304" s="141" t="str">
        <f>IFERROR(VLOOKUP(F304,[2]Sheet1!$P:$Q,2,0),"")</f>
        <v/>
      </c>
    </row>
    <row r="305" spans="1:8" ht="15.75" x14ac:dyDescent="0.2">
      <c r="A305" s="74">
        <v>1763096</v>
      </c>
      <c r="B305" s="134" t="s">
        <v>431</v>
      </c>
      <c r="E305" s="137">
        <v>8901393020557</v>
      </c>
      <c r="F305" s="135">
        <v>324336</v>
      </c>
      <c r="G305" s="8">
        <f>IFERROR(VLOOKUP(F305,[1]Lulu!$E:$F,2,0),"")</f>
        <v>1763096</v>
      </c>
      <c r="H305" s="141" t="str">
        <f>IFERROR(VLOOKUP(F305,[2]Sheet1!$P:$Q,2,0),"")</f>
        <v/>
      </c>
    </row>
    <row r="306" spans="1:8" ht="15.75" x14ac:dyDescent="0.2">
      <c r="B306" s="134" t="s">
        <v>432</v>
      </c>
      <c r="E306" s="137">
        <v>8901393017045</v>
      </c>
      <c r="F306" s="135">
        <v>234074</v>
      </c>
      <c r="G306" s="8">
        <f>IFERROR(VLOOKUP(F306,[1]Lulu!$E:$F,2,0),"")</f>
        <v>0</v>
      </c>
      <c r="H306" s="141" t="str">
        <f>IFERROR(VLOOKUP(F306,[2]Sheet1!$P:$Q,2,0),"")</f>
        <v/>
      </c>
    </row>
    <row r="307" spans="1:8" ht="15.75" x14ac:dyDescent="0.2">
      <c r="A307" s="74">
        <v>2189111</v>
      </c>
      <c r="B307" s="134" t="s">
        <v>433</v>
      </c>
      <c r="E307" s="137">
        <v>8901393025804</v>
      </c>
      <c r="F307" s="135">
        <v>372698</v>
      </c>
      <c r="G307" s="8">
        <f>IFERROR(VLOOKUP(F307,[1]Lulu!$E:$F,2,0),"")</f>
        <v>2189111</v>
      </c>
      <c r="H307" s="141" t="str">
        <f>IFERROR(VLOOKUP(F307,[2]Sheet1!$P:$Q,2,0),"")</f>
        <v/>
      </c>
    </row>
    <row r="308" spans="1:8" ht="15.75" x14ac:dyDescent="0.2">
      <c r="B308" s="134" t="s">
        <v>434</v>
      </c>
      <c r="E308" s="137">
        <v>8901393017045</v>
      </c>
      <c r="F308" s="135">
        <v>371252</v>
      </c>
      <c r="G308" s="8">
        <f>IFERROR(VLOOKUP(F308,[1]Lulu!$E:$F,2,0),"")</f>
        <v>0</v>
      </c>
      <c r="H308" s="141" t="str">
        <f>IFERROR(VLOOKUP(F308,[2]Sheet1!$P:$Q,2,0),"")</f>
        <v/>
      </c>
    </row>
    <row r="309" spans="1:8" ht="15.75" x14ac:dyDescent="0.2">
      <c r="A309" s="74">
        <v>2215678</v>
      </c>
      <c r="B309" s="134" t="s">
        <v>435</v>
      </c>
      <c r="E309" s="137">
        <v>8901393025798</v>
      </c>
      <c r="F309" s="136">
        <v>372699</v>
      </c>
      <c r="G309" s="8">
        <f>IFERROR(VLOOKUP(F309,[1]Lulu!$E:$F,2,0),"")</f>
        <v>2215678</v>
      </c>
      <c r="H309" s="141" t="str">
        <f>IFERROR(VLOOKUP(F309,[2]Sheet1!$P:$Q,2,0),"")</f>
        <v/>
      </c>
    </row>
    <row r="310" spans="1:8" ht="15.75" x14ac:dyDescent="0.2">
      <c r="A310" s="74">
        <v>1858413</v>
      </c>
      <c r="B310" s="134" t="s">
        <v>436</v>
      </c>
      <c r="E310" s="137">
        <v>8992741994088</v>
      </c>
      <c r="F310" s="135">
        <v>329173</v>
      </c>
      <c r="G310" s="8">
        <f>IFERROR(VLOOKUP(F310,[1]Lulu!$E:$F,2,0),"")</f>
        <v>1858413</v>
      </c>
      <c r="H310" s="141" t="str">
        <f>IFERROR(VLOOKUP(F310,[2]Sheet1!$P:$Q,2,0),"")</f>
        <v/>
      </c>
    </row>
    <row r="311" spans="1:8" ht="15.75" x14ac:dyDescent="0.2">
      <c r="B311" s="134" t="s">
        <v>437</v>
      </c>
      <c r="E311" s="137">
        <v>1800000017904</v>
      </c>
      <c r="F311" s="135">
        <v>370080</v>
      </c>
      <c r="G311" s="8">
        <f>IFERROR(VLOOKUP(F311,[1]Lulu!$E:$F,2,0),"")</f>
        <v>0</v>
      </c>
      <c r="H311" s="141" t="str">
        <f>IFERROR(VLOOKUP(F311,[2]Sheet1!$P:$Q,2,0),"")</f>
        <v/>
      </c>
    </row>
    <row r="312" spans="1:8" ht="15.75" x14ac:dyDescent="0.2">
      <c r="B312" s="138" t="s">
        <v>439</v>
      </c>
      <c r="E312" s="137">
        <v>3073781009842</v>
      </c>
      <c r="F312" s="137">
        <v>194964</v>
      </c>
      <c r="G312" s="8">
        <f>IFERROR(VLOOKUP(F312,[1]Lulu!$E:$F,2,0),"")</f>
        <v>0</v>
      </c>
      <c r="H312" s="141" t="str">
        <f>IFERROR(VLOOKUP(F312,[2]Sheet1!$P:$Q,2,0),"")</f>
        <v/>
      </c>
    </row>
    <row r="313" spans="1:8" ht="15.75" x14ac:dyDescent="0.2">
      <c r="B313" s="138" t="s">
        <v>440</v>
      </c>
      <c r="E313" s="137">
        <v>3073780984515</v>
      </c>
      <c r="F313" s="137">
        <v>293034</v>
      </c>
      <c r="G313" s="8">
        <f>IFERROR(VLOOKUP(F313,[1]Lulu!$E:$F,2,0),"")</f>
        <v>0</v>
      </c>
      <c r="H313" s="141" t="str">
        <f>IFERROR(VLOOKUP(F313,[2]Sheet1!$P:$Q,2,0),"")</f>
        <v/>
      </c>
    </row>
    <row r="314" spans="1:8" ht="15.75" x14ac:dyDescent="0.2">
      <c r="B314" s="139" t="s">
        <v>441</v>
      </c>
      <c r="E314" s="137">
        <v>3073780884655</v>
      </c>
      <c r="F314" s="140">
        <v>94567</v>
      </c>
      <c r="G314" s="8">
        <f>IFERROR(VLOOKUP(F314,[1]Lulu!$E:$F,2,0),"")</f>
        <v>0</v>
      </c>
      <c r="H314" s="141" t="str">
        <f>IFERROR(VLOOKUP(F314,[2]Sheet1!$P:$Q,2,0),"")</f>
        <v/>
      </c>
    </row>
    <row r="315" spans="1:8" x14ac:dyDescent="0.2">
      <c r="A315" s="203" t="e">
        <v>#N/A</v>
      </c>
      <c r="B315" s="204" t="s">
        <v>499</v>
      </c>
      <c r="C315" s="205" t="s">
        <v>500</v>
      </c>
      <c r="D315" s="205"/>
      <c r="E315" s="205">
        <v>8901063151970</v>
      </c>
      <c r="F315" s="228">
        <v>245621</v>
      </c>
    </row>
    <row r="316" spans="1:8" x14ac:dyDescent="0.2">
      <c r="A316" s="203">
        <v>105785</v>
      </c>
      <c r="B316" s="204" t="s">
        <v>501</v>
      </c>
      <c r="C316" s="205" t="s">
        <v>502</v>
      </c>
      <c r="D316" s="205"/>
      <c r="E316" s="205">
        <v>8901063004016</v>
      </c>
      <c r="F316" s="229">
        <v>233419</v>
      </c>
    </row>
    <row r="317" spans="1:8" x14ac:dyDescent="0.2">
      <c r="A317" s="203">
        <v>1000467</v>
      </c>
      <c r="B317" s="204" t="s">
        <v>503</v>
      </c>
      <c r="C317" s="205" t="s">
        <v>504</v>
      </c>
      <c r="D317" s="205"/>
      <c r="E317" s="205">
        <v>6291007905281</v>
      </c>
      <c r="F317" s="229">
        <v>240667</v>
      </c>
    </row>
    <row r="318" spans="1:8" x14ac:dyDescent="0.2">
      <c r="A318" s="203">
        <v>1757644</v>
      </c>
      <c r="B318" s="204" t="s">
        <v>505</v>
      </c>
      <c r="C318" s="205" t="s">
        <v>506</v>
      </c>
      <c r="D318" s="205">
        <v>8901063165809</v>
      </c>
      <c r="E318" s="205">
        <v>8901063165793</v>
      </c>
      <c r="F318" s="229">
        <v>318416</v>
      </c>
    </row>
    <row r="319" spans="1:8" x14ac:dyDescent="0.2">
      <c r="A319" s="203">
        <v>1902100</v>
      </c>
      <c r="B319" s="204" t="s">
        <v>507</v>
      </c>
      <c r="C319" s="205" t="s">
        <v>508</v>
      </c>
      <c r="D319" s="205">
        <v>6291007911466</v>
      </c>
      <c r="E319" s="205">
        <v>6291007911459</v>
      </c>
      <c r="F319" s="229">
        <v>337296</v>
      </c>
    </row>
    <row r="320" spans="1:8" x14ac:dyDescent="0.2">
      <c r="A320" s="203">
        <v>1902101</v>
      </c>
      <c r="B320" s="204" t="s">
        <v>509</v>
      </c>
      <c r="C320" s="205" t="s">
        <v>508</v>
      </c>
      <c r="D320" s="205">
        <v>6291007911480</v>
      </c>
      <c r="E320" s="205">
        <v>6291007911473</v>
      </c>
      <c r="F320" s="229">
        <v>337297</v>
      </c>
    </row>
    <row r="321" spans="1:6" x14ac:dyDescent="0.2">
      <c r="A321" s="203">
        <v>813119</v>
      </c>
      <c r="B321" s="204" t="s">
        <v>510</v>
      </c>
      <c r="C321" s="205" t="s">
        <v>511</v>
      </c>
      <c r="D321" s="205"/>
      <c r="E321" s="205">
        <v>8901063136779</v>
      </c>
      <c r="F321" s="229">
        <v>180063</v>
      </c>
    </row>
    <row r="322" spans="1:6" ht="15.75" x14ac:dyDescent="0.25">
      <c r="A322" s="203" t="e">
        <v>#N/A</v>
      </c>
      <c r="B322" s="206" t="s">
        <v>512</v>
      </c>
      <c r="C322" s="205" t="s">
        <v>513</v>
      </c>
      <c r="D322" s="205">
        <v>6291007908336</v>
      </c>
      <c r="E322" s="205">
        <v>6291007908466</v>
      </c>
      <c r="F322" s="230">
        <v>329799</v>
      </c>
    </row>
    <row r="323" spans="1:6" ht="15.75" x14ac:dyDescent="0.25">
      <c r="A323" s="203" t="e">
        <v>#N/A</v>
      </c>
      <c r="B323" s="206" t="s">
        <v>514</v>
      </c>
      <c r="C323" s="205" t="s">
        <v>513</v>
      </c>
      <c r="D323" s="205">
        <v>6291007907438</v>
      </c>
      <c r="E323" s="205">
        <v>6291007908473</v>
      </c>
      <c r="F323" s="230">
        <v>329800</v>
      </c>
    </row>
    <row r="324" spans="1:6" ht="15.75" x14ac:dyDescent="0.25">
      <c r="A324" s="203" t="e">
        <v>#N/A</v>
      </c>
      <c r="B324" s="207" t="s">
        <v>515</v>
      </c>
      <c r="C324" s="205" t="s">
        <v>513</v>
      </c>
      <c r="D324" s="205">
        <v>6291007907612</v>
      </c>
      <c r="E324" s="205">
        <v>6291007908480</v>
      </c>
      <c r="F324" s="230">
        <v>329801</v>
      </c>
    </row>
    <row r="325" spans="1:6" x14ac:dyDescent="0.2">
      <c r="A325" s="203"/>
      <c r="B325" s="208" t="s">
        <v>516</v>
      </c>
      <c r="C325" s="205" t="s">
        <v>517</v>
      </c>
      <c r="D325" s="205"/>
      <c r="E325" s="205"/>
      <c r="F325" s="231"/>
    </row>
    <row r="326" spans="1:6" x14ac:dyDescent="0.2">
      <c r="A326" s="203"/>
      <c r="B326" s="208" t="s">
        <v>518</v>
      </c>
      <c r="C326" s="205" t="s">
        <v>517</v>
      </c>
      <c r="D326" s="205"/>
      <c r="E326" s="205"/>
      <c r="F326" s="231"/>
    </row>
    <row r="327" spans="1:6" x14ac:dyDescent="0.2">
      <c r="A327" s="203"/>
      <c r="B327" s="208" t="s">
        <v>519</v>
      </c>
      <c r="C327" s="205" t="s">
        <v>517</v>
      </c>
      <c r="D327" s="205"/>
      <c r="F327" s="231">
        <v>302616</v>
      </c>
    </row>
    <row r="328" spans="1:6" x14ac:dyDescent="0.2">
      <c r="A328" s="203" t="s">
        <v>520</v>
      </c>
      <c r="B328" s="204" t="s">
        <v>521</v>
      </c>
      <c r="C328" s="205" t="s">
        <v>522</v>
      </c>
      <c r="D328" s="205"/>
      <c r="E328" s="205">
        <v>6291007906103</v>
      </c>
      <c r="F328" s="229">
        <v>346095</v>
      </c>
    </row>
    <row r="329" spans="1:6" x14ac:dyDescent="0.2">
      <c r="A329" s="203" t="s">
        <v>523</v>
      </c>
      <c r="B329" s="204" t="s">
        <v>524</v>
      </c>
      <c r="C329" s="205" t="s">
        <v>522</v>
      </c>
      <c r="D329" s="205"/>
      <c r="E329" s="205">
        <v>6291007906110</v>
      </c>
      <c r="F329" s="229">
        <v>346094</v>
      </c>
    </row>
    <row r="330" spans="1:6" x14ac:dyDescent="0.2">
      <c r="A330" s="203" t="s">
        <v>525</v>
      </c>
      <c r="B330" s="204" t="s">
        <v>526</v>
      </c>
      <c r="C330" s="205" t="s">
        <v>522</v>
      </c>
      <c r="D330" s="205"/>
      <c r="E330" s="205">
        <v>6291007906097</v>
      </c>
      <c r="F330" s="229">
        <v>346096</v>
      </c>
    </row>
    <row r="331" spans="1:6" x14ac:dyDescent="0.2">
      <c r="A331" s="203">
        <v>669451</v>
      </c>
      <c r="B331" s="209" t="s">
        <v>527</v>
      </c>
      <c r="C331" s="205" t="s">
        <v>528</v>
      </c>
      <c r="D331" s="205"/>
      <c r="E331" s="205">
        <v>8901063151017</v>
      </c>
      <c r="F331" s="229">
        <v>164508</v>
      </c>
    </row>
    <row r="332" spans="1:6" x14ac:dyDescent="0.2">
      <c r="A332" s="203">
        <v>669450</v>
      </c>
      <c r="B332" s="210" t="s">
        <v>529</v>
      </c>
      <c r="C332" s="205" t="s">
        <v>530</v>
      </c>
      <c r="D332" s="205"/>
      <c r="E332" s="205">
        <v>8901063151024</v>
      </c>
      <c r="F332" s="229">
        <v>111203</v>
      </c>
    </row>
    <row r="333" spans="1:6" x14ac:dyDescent="0.2">
      <c r="A333" s="203">
        <v>734239</v>
      </c>
      <c r="B333" s="209" t="s">
        <v>531</v>
      </c>
      <c r="C333" s="205" t="s">
        <v>532</v>
      </c>
      <c r="D333" s="205"/>
      <c r="E333" s="205">
        <v>6291007902181</v>
      </c>
      <c r="F333" s="229">
        <v>164530</v>
      </c>
    </row>
    <row r="334" spans="1:6" x14ac:dyDescent="0.2">
      <c r="A334" s="203">
        <v>734380</v>
      </c>
      <c r="B334" s="209" t="s">
        <v>533</v>
      </c>
      <c r="C334" s="205" t="s">
        <v>534</v>
      </c>
      <c r="D334" s="205"/>
      <c r="E334" s="205">
        <v>6291007902198</v>
      </c>
      <c r="F334" s="229">
        <v>164531</v>
      </c>
    </row>
    <row r="335" spans="1:6" x14ac:dyDescent="0.2">
      <c r="A335" s="203">
        <v>1074062</v>
      </c>
      <c r="B335" s="209" t="s">
        <v>535</v>
      </c>
      <c r="C335" s="205" t="s">
        <v>528</v>
      </c>
      <c r="D335" s="205"/>
      <c r="E335" s="205">
        <v>6291007905762</v>
      </c>
      <c r="F335" s="229">
        <v>199739</v>
      </c>
    </row>
    <row r="336" spans="1:6" x14ac:dyDescent="0.2">
      <c r="A336" s="203">
        <v>1074061</v>
      </c>
      <c r="B336" s="209" t="s">
        <v>536</v>
      </c>
      <c r="C336" s="205" t="s">
        <v>530</v>
      </c>
      <c r="D336" s="205"/>
      <c r="E336" s="205">
        <v>6291007905960</v>
      </c>
      <c r="F336" s="229">
        <v>199740</v>
      </c>
    </row>
    <row r="337" spans="1:6" x14ac:dyDescent="0.2">
      <c r="A337" s="203">
        <v>1648378</v>
      </c>
      <c r="B337" s="209" t="s">
        <v>537</v>
      </c>
      <c r="C337" s="205" t="s">
        <v>534</v>
      </c>
      <c r="D337" s="205"/>
      <c r="E337" s="205">
        <v>6291007909562</v>
      </c>
      <c r="F337" s="229">
        <v>300991</v>
      </c>
    </row>
    <row r="338" spans="1:6" x14ac:dyDescent="0.2">
      <c r="A338" s="203" t="e">
        <v>#N/A</v>
      </c>
      <c r="B338" s="211" t="s">
        <v>538</v>
      </c>
      <c r="C338" s="205" t="s">
        <v>539</v>
      </c>
      <c r="D338" s="205"/>
      <c r="E338" s="205">
        <v>8901063152427</v>
      </c>
      <c r="F338" s="229">
        <v>215558</v>
      </c>
    </row>
    <row r="339" spans="1:6" x14ac:dyDescent="0.2">
      <c r="A339" s="203">
        <v>701236</v>
      </c>
      <c r="B339" s="211" t="s">
        <v>540</v>
      </c>
      <c r="C339" s="205" t="s">
        <v>541</v>
      </c>
      <c r="D339" s="205"/>
      <c r="E339" s="205">
        <v>8901063151055</v>
      </c>
      <c r="F339" s="229">
        <v>164503</v>
      </c>
    </row>
    <row r="340" spans="1:6" x14ac:dyDescent="0.2">
      <c r="A340" s="203">
        <v>808992</v>
      </c>
      <c r="B340" s="210" t="s">
        <v>542</v>
      </c>
      <c r="C340" s="205" t="s">
        <v>543</v>
      </c>
      <c r="D340" s="205"/>
      <c r="E340" s="205">
        <v>8901063136762</v>
      </c>
      <c r="F340" s="229">
        <v>164642</v>
      </c>
    </row>
    <row r="341" spans="1:6" x14ac:dyDescent="0.2">
      <c r="A341" s="203">
        <v>1226044</v>
      </c>
      <c r="B341" s="210" t="s">
        <v>544</v>
      </c>
      <c r="C341" s="205" t="s">
        <v>545</v>
      </c>
      <c r="D341" s="205"/>
      <c r="E341" s="205">
        <v>6291007906998</v>
      </c>
      <c r="F341" s="229">
        <v>251153</v>
      </c>
    </row>
    <row r="342" spans="1:6" x14ac:dyDescent="0.2">
      <c r="A342" s="203" t="e">
        <v>#N/A</v>
      </c>
      <c r="B342" s="212" t="s">
        <v>546</v>
      </c>
      <c r="C342" s="213" t="s">
        <v>547</v>
      </c>
      <c r="D342" s="213"/>
      <c r="E342" s="205">
        <v>6291007910261</v>
      </c>
      <c r="F342" s="232">
        <v>295952</v>
      </c>
    </row>
    <row r="343" spans="1:6" x14ac:dyDescent="0.2">
      <c r="A343" s="203">
        <v>1185295</v>
      </c>
      <c r="B343" s="212" t="s">
        <v>548</v>
      </c>
      <c r="C343" s="213" t="s">
        <v>549</v>
      </c>
      <c r="D343" s="213"/>
      <c r="E343" s="205">
        <v>8901063151635</v>
      </c>
      <c r="F343" s="232">
        <v>300993</v>
      </c>
    </row>
    <row r="344" spans="1:6" x14ac:dyDescent="0.2">
      <c r="A344" s="203">
        <v>1131142</v>
      </c>
      <c r="B344" s="210" t="s">
        <v>550</v>
      </c>
      <c r="C344" s="205" t="s">
        <v>551</v>
      </c>
      <c r="D344" s="205"/>
      <c r="E344" s="205">
        <v>8901063405011</v>
      </c>
      <c r="F344" s="229">
        <v>211176</v>
      </c>
    </row>
    <row r="345" spans="1:6" x14ac:dyDescent="0.2">
      <c r="A345" s="203" t="e">
        <v>#N/A</v>
      </c>
      <c r="B345" s="211" t="s">
        <v>552</v>
      </c>
      <c r="C345" s="205" t="s">
        <v>553</v>
      </c>
      <c r="D345" s="205"/>
      <c r="E345" s="205">
        <v>8901063405202</v>
      </c>
      <c r="F345" s="229">
        <v>221940</v>
      </c>
    </row>
    <row r="346" spans="1:6" x14ac:dyDescent="0.2">
      <c r="A346" s="203">
        <v>31108</v>
      </c>
      <c r="B346" s="210" t="s">
        <v>554</v>
      </c>
      <c r="C346" s="205" t="s">
        <v>555</v>
      </c>
      <c r="D346" s="205"/>
      <c r="E346" s="205">
        <v>8901063203198</v>
      </c>
      <c r="F346" s="229">
        <v>164622</v>
      </c>
    </row>
    <row r="347" spans="1:6" x14ac:dyDescent="0.2">
      <c r="A347" s="203">
        <v>31063</v>
      </c>
      <c r="B347" s="204" t="s">
        <v>556</v>
      </c>
      <c r="C347" s="205" t="s">
        <v>557</v>
      </c>
      <c r="D347" s="205"/>
      <c r="E347" s="205">
        <v>8901063030022</v>
      </c>
      <c r="F347" s="229">
        <v>164725</v>
      </c>
    </row>
    <row r="348" spans="1:6" x14ac:dyDescent="0.2">
      <c r="A348" s="203">
        <v>974899</v>
      </c>
      <c r="B348" s="208" t="s">
        <v>558</v>
      </c>
      <c r="C348" s="205" t="s">
        <v>532</v>
      </c>
      <c r="D348" s="205"/>
      <c r="E348" s="205">
        <v>6291007905311</v>
      </c>
      <c r="F348" s="229">
        <v>177804</v>
      </c>
    </row>
    <row r="349" spans="1:6" x14ac:dyDescent="0.2">
      <c r="A349" s="203">
        <v>1035131</v>
      </c>
      <c r="B349" s="208" t="s">
        <v>559</v>
      </c>
      <c r="C349" s="205" t="s">
        <v>560</v>
      </c>
      <c r="D349" s="205"/>
      <c r="E349" s="205">
        <v>8901063136441</v>
      </c>
      <c r="F349" s="229">
        <v>194340</v>
      </c>
    </row>
    <row r="350" spans="1:6" x14ac:dyDescent="0.2">
      <c r="A350" s="203"/>
      <c r="B350" s="204" t="s">
        <v>561</v>
      </c>
      <c r="C350" s="205" t="s">
        <v>562</v>
      </c>
      <c r="D350" s="205"/>
      <c r="E350" s="205"/>
      <c r="F350" s="229"/>
    </row>
    <row r="351" spans="1:6" x14ac:dyDescent="0.2">
      <c r="A351" s="203" t="e">
        <v>#N/A</v>
      </c>
      <c r="B351" s="210" t="s">
        <v>563</v>
      </c>
      <c r="C351" s="205" t="s">
        <v>564</v>
      </c>
      <c r="D351" s="205"/>
      <c r="E351" s="205">
        <v>8901063151413</v>
      </c>
      <c r="F351" s="229">
        <v>198596</v>
      </c>
    </row>
    <row r="352" spans="1:6" x14ac:dyDescent="0.2">
      <c r="A352" s="203">
        <v>1457521</v>
      </c>
      <c r="B352" s="212" t="s">
        <v>565</v>
      </c>
      <c r="C352" s="213" t="s">
        <v>566</v>
      </c>
      <c r="D352" s="205">
        <v>8901063165458</v>
      </c>
      <c r="E352" s="205">
        <v>8901063165434</v>
      </c>
      <c r="F352" s="232">
        <v>308058</v>
      </c>
    </row>
    <row r="353" spans="1:6" x14ac:dyDescent="0.2">
      <c r="A353" s="203">
        <v>1457522</v>
      </c>
      <c r="B353" s="212" t="s">
        <v>567</v>
      </c>
      <c r="C353" s="213" t="s">
        <v>566</v>
      </c>
      <c r="D353" s="205">
        <v>8901063165465</v>
      </c>
      <c r="E353" s="205">
        <v>8901063165441</v>
      </c>
      <c r="F353" s="232">
        <v>308059</v>
      </c>
    </row>
    <row r="354" spans="1:6" x14ac:dyDescent="0.2">
      <c r="A354" s="203"/>
      <c r="B354" s="204" t="s">
        <v>568</v>
      </c>
      <c r="C354" s="205" t="s">
        <v>569</v>
      </c>
      <c r="D354" s="205"/>
      <c r="E354" s="205"/>
      <c r="F354" s="229"/>
    </row>
    <row r="355" spans="1:6" x14ac:dyDescent="0.2">
      <c r="A355" s="214">
        <v>615788</v>
      </c>
      <c r="B355" s="215" t="s">
        <v>570</v>
      </c>
      <c r="C355" s="216" t="s">
        <v>571</v>
      </c>
      <c r="D355" s="216"/>
      <c r="E355" s="216"/>
      <c r="F355" s="233">
        <v>164457</v>
      </c>
    </row>
    <row r="356" spans="1:6" x14ac:dyDescent="0.2">
      <c r="A356" s="203">
        <v>189269</v>
      </c>
      <c r="B356" s="210" t="s">
        <v>572</v>
      </c>
      <c r="C356" s="205" t="s">
        <v>557</v>
      </c>
      <c r="D356" s="205"/>
      <c r="E356" s="205">
        <v>6291007901108</v>
      </c>
      <c r="F356" s="229">
        <v>95891</v>
      </c>
    </row>
    <row r="357" spans="1:6" x14ac:dyDescent="0.2">
      <c r="A357" s="203"/>
      <c r="B357" s="204" t="s">
        <v>573</v>
      </c>
      <c r="C357" s="205" t="s">
        <v>574</v>
      </c>
      <c r="D357" s="205"/>
      <c r="E357" s="205">
        <v>6291007901078</v>
      </c>
      <c r="F357" s="229"/>
    </row>
    <row r="358" spans="1:6" x14ac:dyDescent="0.2">
      <c r="A358" s="203"/>
      <c r="B358" s="209" t="s">
        <v>575</v>
      </c>
      <c r="C358" s="205" t="s">
        <v>576</v>
      </c>
      <c r="D358" s="205"/>
      <c r="E358" s="205"/>
      <c r="F358" s="229"/>
    </row>
    <row r="359" spans="1:6" x14ac:dyDescent="0.2">
      <c r="A359" s="203"/>
      <c r="B359" s="209" t="s">
        <v>577</v>
      </c>
      <c r="C359" s="205" t="s">
        <v>578</v>
      </c>
      <c r="D359" s="205"/>
      <c r="F359" s="229"/>
    </row>
    <row r="360" spans="1:6" x14ac:dyDescent="0.2">
      <c r="A360" s="203"/>
      <c r="B360" s="210" t="s">
        <v>579</v>
      </c>
      <c r="C360" s="205" t="s">
        <v>580</v>
      </c>
      <c r="D360" s="205"/>
      <c r="E360" s="205"/>
      <c r="F360" s="229"/>
    </row>
    <row r="361" spans="1:6" x14ac:dyDescent="0.2">
      <c r="A361" s="203">
        <v>615232</v>
      </c>
      <c r="B361" s="204" t="s">
        <v>581</v>
      </c>
      <c r="C361" s="205" t="s">
        <v>582</v>
      </c>
      <c r="D361" s="205"/>
      <c r="E361" s="205">
        <v>6291007901603</v>
      </c>
      <c r="F361" s="229">
        <v>164456</v>
      </c>
    </row>
    <row r="362" spans="1:6" x14ac:dyDescent="0.2">
      <c r="A362" s="203">
        <v>1038952</v>
      </c>
      <c r="B362" s="208" t="s">
        <v>583</v>
      </c>
      <c r="C362" s="205" t="s">
        <v>584</v>
      </c>
      <c r="D362" s="205"/>
      <c r="E362" s="205">
        <v>6291007905694</v>
      </c>
      <c r="F362" s="231">
        <v>192042</v>
      </c>
    </row>
    <row r="363" spans="1:6" x14ac:dyDescent="0.2">
      <c r="A363" s="203">
        <v>712133</v>
      </c>
      <c r="B363" s="209" t="s">
        <v>585</v>
      </c>
      <c r="C363" s="205" t="s">
        <v>586</v>
      </c>
      <c r="D363" s="205"/>
      <c r="E363" s="205">
        <v>8901063151062</v>
      </c>
      <c r="F363" s="229">
        <v>164550</v>
      </c>
    </row>
    <row r="364" spans="1:6" x14ac:dyDescent="0.2">
      <c r="A364" s="203">
        <v>806295</v>
      </c>
      <c r="B364" s="209" t="s">
        <v>587</v>
      </c>
      <c r="C364" s="205" t="s">
        <v>586</v>
      </c>
      <c r="D364" s="205"/>
      <c r="E364" s="205">
        <v>8901063151192</v>
      </c>
      <c r="F364" s="229">
        <v>164646</v>
      </c>
    </row>
    <row r="365" spans="1:6" x14ac:dyDescent="0.2">
      <c r="A365" s="203">
        <v>712132</v>
      </c>
      <c r="B365" s="209" t="s">
        <v>588</v>
      </c>
      <c r="C365" s="205" t="s">
        <v>586</v>
      </c>
      <c r="D365" s="205"/>
      <c r="E365" s="205">
        <v>8901063151079</v>
      </c>
      <c r="F365" s="229">
        <v>164549</v>
      </c>
    </row>
    <row r="366" spans="1:6" x14ac:dyDescent="0.2">
      <c r="A366" s="203">
        <v>808993</v>
      </c>
      <c r="B366" s="209" t="s">
        <v>589</v>
      </c>
      <c r="C366" s="213" t="s">
        <v>590</v>
      </c>
      <c r="D366" s="213"/>
      <c r="E366" s="205">
        <v>8901063151208</v>
      </c>
      <c r="F366" s="229">
        <v>164645</v>
      </c>
    </row>
    <row r="367" spans="1:6" x14ac:dyDescent="0.2">
      <c r="A367" s="203">
        <v>712131</v>
      </c>
      <c r="B367" s="209" t="s">
        <v>591</v>
      </c>
      <c r="C367" s="213" t="s">
        <v>590</v>
      </c>
      <c r="D367" s="213"/>
      <c r="E367" s="205">
        <v>8901063151048</v>
      </c>
      <c r="F367" s="232">
        <v>164547</v>
      </c>
    </row>
    <row r="368" spans="1:6" x14ac:dyDescent="0.2">
      <c r="A368" s="203">
        <v>712130</v>
      </c>
      <c r="B368" s="209" t="s">
        <v>592</v>
      </c>
      <c r="C368" s="213" t="s">
        <v>590</v>
      </c>
      <c r="D368" s="213"/>
      <c r="E368" s="205">
        <v>8901063151031</v>
      </c>
      <c r="F368" s="232">
        <v>164548</v>
      </c>
    </row>
    <row r="369" spans="1:6" x14ac:dyDescent="0.2">
      <c r="A369" s="203">
        <v>492941</v>
      </c>
      <c r="B369" s="210" t="s">
        <v>593</v>
      </c>
      <c r="C369" s="205" t="s">
        <v>594</v>
      </c>
      <c r="D369" s="205"/>
      <c r="E369" s="205">
        <v>6291007901092</v>
      </c>
      <c r="F369" s="229">
        <v>95894</v>
      </c>
    </row>
    <row r="370" spans="1:6" x14ac:dyDescent="0.2">
      <c r="A370" s="203">
        <v>492944</v>
      </c>
      <c r="B370" s="210" t="s">
        <v>595</v>
      </c>
      <c r="C370" s="205" t="s">
        <v>594</v>
      </c>
      <c r="D370" s="205"/>
      <c r="E370" s="205">
        <v>6291007901085</v>
      </c>
      <c r="F370" s="229">
        <v>95898</v>
      </c>
    </row>
    <row r="371" spans="1:6" x14ac:dyDescent="0.2">
      <c r="A371" s="203">
        <v>1356914</v>
      </c>
      <c r="B371" s="210" t="s">
        <v>596</v>
      </c>
      <c r="C371" s="205" t="s">
        <v>566</v>
      </c>
      <c r="D371" s="205">
        <v>6291007909128</v>
      </c>
      <c r="E371" s="205">
        <v>6291007906479</v>
      </c>
      <c r="F371" s="229">
        <v>300992</v>
      </c>
    </row>
    <row r="372" spans="1:6" x14ac:dyDescent="0.2">
      <c r="A372" s="203">
        <v>593654</v>
      </c>
      <c r="B372" s="210" t="s">
        <v>597</v>
      </c>
      <c r="C372" s="205" t="s">
        <v>598</v>
      </c>
      <c r="D372" s="205"/>
      <c r="E372" s="205">
        <v>6291007901566</v>
      </c>
      <c r="F372" s="229">
        <v>164458</v>
      </c>
    </row>
    <row r="373" spans="1:6" x14ac:dyDescent="0.2">
      <c r="A373" s="203">
        <v>1992570</v>
      </c>
      <c r="B373" s="204" t="s">
        <v>599</v>
      </c>
      <c r="C373" s="205" t="s">
        <v>562</v>
      </c>
      <c r="D373" s="205"/>
      <c r="E373" s="205">
        <v>8901063166486</v>
      </c>
      <c r="F373" s="229">
        <v>352834</v>
      </c>
    </row>
    <row r="374" spans="1:6" x14ac:dyDescent="0.2">
      <c r="A374" s="203">
        <v>2031827</v>
      </c>
      <c r="B374" s="204" t="s">
        <v>600</v>
      </c>
      <c r="C374" s="205" t="s">
        <v>601</v>
      </c>
      <c r="D374" s="205"/>
      <c r="E374" s="205">
        <v>8901063166493</v>
      </c>
      <c r="F374" s="229">
        <v>352835</v>
      </c>
    </row>
    <row r="375" spans="1:6" x14ac:dyDescent="0.2">
      <c r="A375" s="203">
        <v>615231</v>
      </c>
      <c r="B375" s="209" t="s">
        <v>602</v>
      </c>
      <c r="C375" s="205" t="s">
        <v>603</v>
      </c>
      <c r="D375" s="205"/>
      <c r="E375" s="205">
        <v>8901063136243</v>
      </c>
      <c r="F375" s="229">
        <v>164224</v>
      </c>
    </row>
    <row r="376" spans="1:6" x14ac:dyDescent="0.2">
      <c r="A376" s="203" t="e">
        <v>#N/A</v>
      </c>
      <c r="B376" s="210" t="s">
        <v>604</v>
      </c>
      <c r="C376" s="205" t="s">
        <v>605</v>
      </c>
      <c r="D376" s="205"/>
      <c r="E376" s="205">
        <v>6291007904970</v>
      </c>
      <c r="F376" s="229">
        <v>174004</v>
      </c>
    </row>
    <row r="377" spans="1:6" x14ac:dyDescent="0.2">
      <c r="A377" s="203">
        <v>878924</v>
      </c>
      <c r="B377" s="210" t="s">
        <v>606</v>
      </c>
      <c r="C377" s="205" t="s">
        <v>607</v>
      </c>
      <c r="D377" s="205"/>
      <c r="E377" s="205">
        <v>8901063136861</v>
      </c>
      <c r="F377" s="229">
        <v>164715</v>
      </c>
    </row>
    <row r="378" spans="1:6" x14ac:dyDescent="0.2">
      <c r="A378" s="203">
        <v>1603665</v>
      </c>
      <c r="B378" s="210" t="s">
        <v>608</v>
      </c>
      <c r="C378" s="205" t="s">
        <v>609</v>
      </c>
      <c r="D378" s="205">
        <v>8901063165694</v>
      </c>
      <c r="E378" s="205">
        <v>8901063165601</v>
      </c>
      <c r="F378" s="229">
        <v>295766</v>
      </c>
    </row>
    <row r="379" spans="1:6" x14ac:dyDescent="0.2">
      <c r="A379" s="203">
        <v>1603668</v>
      </c>
      <c r="B379" s="210" t="s">
        <v>610</v>
      </c>
      <c r="C379" s="205" t="s">
        <v>609</v>
      </c>
      <c r="D379" s="205">
        <v>8901063165700</v>
      </c>
      <c r="E379" s="205">
        <v>8901063151987</v>
      </c>
      <c r="F379" s="229">
        <v>295767</v>
      </c>
    </row>
    <row r="380" spans="1:6" x14ac:dyDescent="0.2">
      <c r="A380" s="203">
        <v>1603667</v>
      </c>
      <c r="B380" s="210" t="s">
        <v>611</v>
      </c>
      <c r="C380" s="205" t="s">
        <v>609</v>
      </c>
      <c r="D380" s="205">
        <v>8901063165687</v>
      </c>
      <c r="E380" s="205">
        <v>8901063151963</v>
      </c>
      <c r="F380" s="229">
        <v>295768</v>
      </c>
    </row>
    <row r="381" spans="1:6" x14ac:dyDescent="0.2">
      <c r="A381" s="203">
        <v>1354479</v>
      </c>
      <c r="B381" s="212" t="s">
        <v>612</v>
      </c>
      <c r="C381" s="205" t="s">
        <v>613</v>
      </c>
      <c r="D381" s="217">
        <v>6291007907568</v>
      </c>
      <c r="E381" s="217">
        <v>6291007907353</v>
      </c>
      <c r="F381" s="232">
        <v>251154</v>
      </c>
    </row>
    <row r="382" spans="1:6" x14ac:dyDescent="0.2">
      <c r="A382" s="203">
        <v>1354478</v>
      </c>
      <c r="B382" s="212" t="s">
        <v>614</v>
      </c>
      <c r="C382" s="205" t="s">
        <v>613</v>
      </c>
      <c r="D382" s="217">
        <v>6291007907551</v>
      </c>
      <c r="E382" s="217">
        <v>6291007907346</v>
      </c>
      <c r="F382" s="232">
        <v>251155</v>
      </c>
    </row>
    <row r="383" spans="1:6" x14ac:dyDescent="0.2">
      <c r="A383" s="203" t="e">
        <v>#N/A</v>
      </c>
      <c r="B383" s="212" t="s">
        <v>615</v>
      </c>
      <c r="C383" s="205" t="s">
        <v>616</v>
      </c>
      <c r="D383" s="217"/>
      <c r="E383" s="217">
        <v>8901063151154</v>
      </c>
      <c r="F383" s="232">
        <v>335499</v>
      </c>
    </row>
    <row r="384" spans="1:6" x14ac:dyDescent="0.2">
      <c r="A384" s="203" t="e">
        <v>#N/A</v>
      </c>
      <c r="B384" s="212" t="s">
        <v>617</v>
      </c>
      <c r="C384" s="205" t="s">
        <v>616</v>
      </c>
      <c r="D384" s="217"/>
      <c r="E384" s="217">
        <v>8901063151161</v>
      </c>
      <c r="F384" s="232">
        <v>335500</v>
      </c>
    </row>
    <row r="385" spans="1:6" x14ac:dyDescent="0.2">
      <c r="A385" s="203">
        <v>13900</v>
      </c>
      <c r="B385" s="210" t="s">
        <v>618</v>
      </c>
      <c r="C385" s="205" t="s">
        <v>619</v>
      </c>
      <c r="D385" s="205"/>
      <c r="E385" s="205">
        <v>9501047211318</v>
      </c>
      <c r="F385" s="229">
        <v>95227</v>
      </c>
    </row>
    <row r="386" spans="1:6" x14ac:dyDescent="0.2">
      <c r="A386" s="203" t="e">
        <v>#N/A</v>
      </c>
      <c r="B386" s="210" t="s">
        <v>620</v>
      </c>
      <c r="C386" s="205" t="s">
        <v>619</v>
      </c>
      <c r="D386" s="205"/>
      <c r="E386" s="205">
        <v>9501047221324</v>
      </c>
      <c r="F386" s="229">
        <v>95239</v>
      </c>
    </row>
    <row r="387" spans="1:6" x14ac:dyDescent="0.2">
      <c r="A387" s="203">
        <v>13905</v>
      </c>
      <c r="B387" s="204" t="s">
        <v>621</v>
      </c>
      <c r="C387" s="205" t="s">
        <v>530</v>
      </c>
      <c r="D387" s="205"/>
      <c r="E387" s="205">
        <v>9501047211417</v>
      </c>
      <c r="F387" s="229">
        <v>95230</v>
      </c>
    </row>
    <row r="388" spans="1:6" x14ac:dyDescent="0.2">
      <c r="A388" s="203">
        <v>136339</v>
      </c>
      <c r="B388" s="204" t="s">
        <v>622</v>
      </c>
      <c r="C388" s="205" t="s">
        <v>530</v>
      </c>
      <c r="D388" s="205"/>
      <c r="E388" s="205">
        <v>9501047221416</v>
      </c>
      <c r="F388" s="229">
        <v>95240</v>
      </c>
    </row>
    <row r="389" spans="1:6" x14ac:dyDescent="0.2">
      <c r="A389" s="203">
        <v>1151652</v>
      </c>
      <c r="B389" s="211" t="s">
        <v>623</v>
      </c>
      <c r="C389" s="205" t="s">
        <v>624</v>
      </c>
      <c r="D389" s="205"/>
      <c r="E389" s="205">
        <v>8901063151543</v>
      </c>
      <c r="F389" s="234">
        <v>302569</v>
      </c>
    </row>
    <row r="390" spans="1:6" x14ac:dyDescent="0.2">
      <c r="A390" s="203">
        <v>13848</v>
      </c>
      <c r="B390" s="210" t="s">
        <v>625</v>
      </c>
      <c r="C390" s="205" t="s">
        <v>626</v>
      </c>
      <c r="D390" s="205">
        <v>6291007701012</v>
      </c>
      <c r="E390" s="205">
        <v>6291007700015</v>
      </c>
      <c r="F390" s="229">
        <v>95808</v>
      </c>
    </row>
    <row r="391" spans="1:6" x14ac:dyDescent="0.2">
      <c r="A391" s="203">
        <v>13849</v>
      </c>
      <c r="B391" s="210" t="s">
        <v>627</v>
      </c>
      <c r="C391" s="205" t="s">
        <v>626</v>
      </c>
      <c r="D391" s="205">
        <v>6291007701036</v>
      </c>
      <c r="E391" s="205">
        <v>6291007700039</v>
      </c>
      <c r="F391" s="229">
        <v>95814</v>
      </c>
    </row>
    <row r="392" spans="1:6" x14ac:dyDescent="0.2">
      <c r="A392" s="203">
        <v>13885</v>
      </c>
      <c r="B392" s="210" t="s">
        <v>628</v>
      </c>
      <c r="C392" s="205" t="s">
        <v>626</v>
      </c>
      <c r="D392" s="205">
        <v>6291007701029</v>
      </c>
      <c r="E392" s="205">
        <v>6291007700227</v>
      </c>
      <c r="F392" s="229">
        <v>95816</v>
      </c>
    </row>
    <row r="393" spans="1:6" x14ac:dyDescent="0.2">
      <c r="A393" s="203">
        <v>13847</v>
      </c>
      <c r="B393" s="204" t="s">
        <v>629</v>
      </c>
      <c r="C393" s="205" t="s">
        <v>630</v>
      </c>
      <c r="D393" s="205">
        <v>6291007701043</v>
      </c>
      <c r="E393" s="205">
        <v>6291007700084</v>
      </c>
      <c r="F393" s="229">
        <v>95819</v>
      </c>
    </row>
    <row r="394" spans="1:6" x14ac:dyDescent="0.2">
      <c r="A394" s="203">
        <v>13852</v>
      </c>
      <c r="B394" s="204" t="s">
        <v>631</v>
      </c>
      <c r="C394" s="205" t="s">
        <v>632</v>
      </c>
      <c r="D394" s="205">
        <v>6291007701050</v>
      </c>
      <c r="E394" s="205">
        <v>6291007701050</v>
      </c>
      <c r="F394" s="229">
        <v>164448</v>
      </c>
    </row>
    <row r="395" spans="1:6" x14ac:dyDescent="0.2">
      <c r="A395" s="203">
        <v>13848</v>
      </c>
      <c r="B395" s="212" t="s">
        <v>633</v>
      </c>
      <c r="C395" s="213" t="s">
        <v>634</v>
      </c>
      <c r="D395" s="213" t="s">
        <v>635</v>
      </c>
      <c r="E395" s="205">
        <v>6291007700015</v>
      </c>
      <c r="F395" s="232">
        <v>164459</v>
      </c>
    </row>
    <row r="396" spans="1:6" x14ac:dyDescent="0.2">
      <c r="A396" s="203">
        <v>13849</v>
      </c>
      <c r="B396" s="212" t="s">
        <v>636</v>
      </c>
      <c r="C396" s="213" t="s">
        <v>634</v>
      </c>
      <c r="D396" s="213" t="s">
        <v>635</v>
      </c>
      <c r="E396" s="205">
        <v>6291007700039</v>
      </c>
      <c r="F396" s="232">
        <v>164460</v>
      </c>
    </row>
    <row r="397" spans="1:6" x14ac:dyDescent="0.2">
      <c r="A397" s="203">
        <v>13885</v>
      </c>
      <c r="B397" s="212" t="s">
        <v>637</v>
      </c>
      <c r="C397" s="213" t="s">
        <v>634</v>
      </c>
      <c r="D397" s="213" t="s">
        <v>635</v>
      </c>
      <c r="E397" s="205">
        <v>6291007700227</v>
      </c>
      <c r="F397" s="232">
        <v>164461</v>
      </c>
    </row>
    <row r="398" spans="1:6" x14ac:dyDescent="0.2">
      <c r="A398" s="203">
        <v>13847</v>
      </c>
      <c r="B398" s="212" t="s">
        <v>638</v>
      </c>
      <c r="C398" s="213" t="s">
        <v>630</v>
      </c>
      <c r="D398" s="213" t="s">
        <v>635</v>
      </c>
      <c r="E398" s="205">
        <v>6291007700084</v>
      </c>
      <c r="F398" s="232">
        <v>164462</v>
      </c>
    </row>
    <row r="399" spans="1:6" x14ac:dyDescent="0.2">
      <c r="A399" s="203">
        <v>13852</v>
      </c>
      <c r="B399" s="212" t="s">
        <v>639</v>
      </c>
      <c r="C399" s="213" t="s">
        <v>640</v>
      </c>
      <c r="D399" s="213" t="s">
        <v>635</v>
      </c>
      <c r="E399" s="205">
        <v>6291007701050</v>
      </c>
      <c r="F399" s="232">
        <v>164463</v>
      </c>
    </row>
    <row r="400" spans="1:6" x14ac:dyDescent="0.2">
      <c r="A400" s="203">
        <v>183945</v>
      </c>
      <c r="B400" s="210" t="s">
        <v>641</v>
      </c>
      <c r="C400" s="205" t="s">
        <v>642</v>
      </c>
      <c r="D400" s="205"/>
      <c r="E400" s="205">
        <v>6291007500387</v>
      </c>
      <c r="F400" s="229">
        <v>175843</v>
      </c>
    </row>
    <row r="401" spans="1:6" x14ac:dyDescent="0.2">
      <c r="A401" s="203" t="e">
        <v>#N/A</v>
      </c>
      <c r="B401" s="210" t="s">
        <v>643</v>
      </c>
      <c r="C401" s="205" t="s">
        <v>642</v>
      </c>
      <c r="D401" s="205"/>
      <c r="E401" s="205">
        <v>6291007500417</v>
      </c>
      <c r="F401" s="229">
        <v>175844</v>
      </c>
    </row>
    <row r="402" spans="1:6" x14ac:dyDescent="0.2">
      <c r="A402" s="203">
        <v>183946</v>
      </c>
      <c r="B402" s="208" t="s">
        <v>644</v>
      </c>
      <c r="C402" s="205" t="s">
        <v>642</v>
      </c>
      <c r="D402" s="205"/>
      <c r="E402" s="205">
        <v>6291007500424</v>
      </c>
      <c r="F402" s="231">
        <v>183371</v>
      </c>
    </row>
    <row r="403" spans="1:6" x14ac:dyDescent="0.2">
      <c r="A403" s="203">
        <v>183947</v>
      </c>
      <c r="B403" s="210" t="s">
        <v>645</v>
      </c>
      <c r="C403" s="205" t="s">
        <v>624</v>
      </c>
      <c r="D403" s="205"/>
      <c r="E403" s="205">
        <v>6291007500370</v>
      </c>
      <c r="F403" s="229">
        <v>181306</v>
      </c>
    </row>
    <row r="404" spans="1:6" x14ac:dyDescent="0.2">
      <c r="A404" s="203">
        <v>13882</v>
      </c>
      <c r="B404" s="210" t="s">
        <v>646</v>
      </c>
      <c r="C404" s="205" t="s">
        <v>564</v>
      </c>
      <c r="D404" s="205"/>
      <c r="E404" s="205">
        <v>6291007500332</v>
      </c>
      <c r="F404" s="229">
        <v>174003</v>
      </c>
    </row>
    <row r="405" spans="1:6" x14ac:dyDescent="0.2">
      <c r="A405" s="203">
        <v>13878</v>
      </c>
      <c r="B405" s="210" t="s">
        <v>647</v>
      </c>
      <c r="C405" s="205" t="s">
        <v>564</v>
      </c>
      <c r="D405" s="205"/>
      <c r="E405" s="205">
        <v>6291007500325</v>
      </c>
      <c r="F405" s="229">
        <v>185290</v>
      </c>
    </row>
    <row r="406" spans="1:6" x14ac:dyDescent="0.2">
      <c r="A406" s="203">
        <v>13880</v>
      </c>
      <c r="B406" s="210" t="s">
        <v>648</v>
      </c>
      <c r="C406" s="205" t="s">
        <v>564</v>
      </c>
      <c r="D406" s="205"/>
      <c r="E406" s="205">
        <v>6291007500349</v>
      </c>
      <c r="F406" s="229">
        <v>181307</v>
      </c>
    </row>
    <row r="407" spans="1:6" x14ac:dyDescent="0.2">
      <c r="A407" s="203">
        <v>13881</v>
      </c>
      <c r="B407" s="210" t="s">
        <v>649</v>
      </c>
      <c r="C407" s="205" t="s">
        <v>564</v>
      </c>
      <c r="D407" s="205"/>
      <c r="E407" s="205">
        <v>6291007500363</v>
      </c>
      <c r="F407" s="229">
        <v>181308</v>
      </c>
    </row>
    <row r="408" spans="1:6" x14ac:dyDescent="0.2">
      <c r="A408" s="203">
        <v>1014806</v>
      </c>
      <c r="B408" s="208" t="s">
        <v>650</v>
      </c>
      <c r="C408" s="205" t="s">
        <v>651</v>
      </c>
      <c r="D408" s="205"/>
      <c r="E408" s="205">
        <v>6291007905946</v>
      </c>
      <c r="F408" s="231">
        <v>188242</v>
      </c>
    </row>
    <row r="409" spans="1:6" x14ac:dyDescent="0.2">
      <c r="A409" s="203">
        <v>1667729</v>
      </c>
      <c r="B409" s="208" t="s">
        <v>652</v>
      </c>
      <c r="C409" s="205" t="s">
        <v>506</v>
      </c>
      <c r="D409" s="205"/>
      <c r="E409" s="205">
        <v>8901063166158</v>
      </c>
      <c r="F409" s="231">
        <v>318417</v>
      </c>
    </row>
    <row r="410" spans="1:6" x14ac:dyDescent="0.2">
      <c r="A410" s="203">
        <v>1799567</v>
      </c>
      <c r="B410" s="218" t="s">
        <v>653</v>
      </c>
      <c r="C410" s="205" t="s">
        <v>654</v>
      </c>
      <c r="D410" s="205"/>
      <c r="E410" s="205">
        <v>8901063166325</v>
      </c>
      <c r="F410" s="235">
        <v>320440</v>
      </c>
    </row>
    <row r="411" spans="1:6" x14ac:dyDescent="0.2">
      <c r="A411" s="203">
        <v>2038560</v>
      </c>
      <c r="B411" s="212" t="s">
        <v>655</v>
      </c>
      <c r="C411" s="205" t="s">
        <v>656</v>
      </c>
      <c r="D411" s="213"/>
      <c r="E411" s="205">
        <v>6291007913132</v>
      </c>
      <c r="F411" s="232">
        <v>346915</v>
      </c>
    </row>
    <row r="412" spans="1:6" x14ac:dyDescent="0.2">
      <c r="A412" s="203">
        <v>2038762</v>
      </c>
      <c r="B412" s="212" t="s">
        <v>657</v>
      </c>
      <c r="C412" s="205" t="s">
        <v>656</v>
      </c>
      <c r="D412" s="213"/>
      <c r="E412" s="205">
        <v>6291007913125</v>
      </c>
      <c r="F412" s="232">
        <v>346916</v>
      </c>
    </row>
    <row r="413" spans="1:6" x14ac:dyDescent="0.2">
      <c r="A413" s="203">
        <v>2038561</v>
      </c>
      <c r="B413" s="212" t="s">
        <v>658</v>
      </c>
      <c r="C413" s="205" t="s">
        <v>656</v>
      </c>
      <c r="D413" s="213"/>
      <c r="E413" s="205">
        <v>6291007913118</v>
      </c>
      <c r="F413" s="232">
        <v>346917</v>
      </c>
    </row>
    <row r="414" spans="1:6" ht="15.75" x14ac:dyDescent="0.25">
      <c r="A414" s="203">
        <v>1498843</v>
      </c>
      <c r="B414" s="208" t="s">
        <v>659</v>
      </c>
      <c r="C414" s="205" t="s">
        <v>660</v>
      </c>
      <c r="D414" s="205" t="s">
        <v>661</v>
      </c>
      <c r="E414" s="205">
        <v>6291007909098</v>
      </c>
      <c r="F414" s="230">
        <v>331773</v>
      </c>
    </row>
    <row r="415" spans="1:6" ht="15.75" x14ac:dyDescent="0.25">
      <c r="A415" s="203">
        <v>1498845</v>
      </c>
      <c r="B415" s="208" t="s">
        <v>662</v>
      </c>
      <c r="C415" s="205" t="s">
        <v>660</v>
      </c>
      <c r="D415" s="205" t="s">
        <v>661</v>
      </c>
      <c r="E415" s="205">
        <v>6291007909104</v>
      </c>
      <c r="F415" s="230">
        <v>331774</v>
      </c>
    </row>
    <row r="416" spans="1:6" ht="15.75" x14ac:dyDescent="0.25">
      <c r="A416" s="203">
        <v>1498844</v>
      </c>
      <c r="B416" s="208" t="s">
        <v>663</v>
      </c>
      <c r="C416" s="205" t="s">
        <v>660</v>
      </c>
      <c r="D416" s="205" t="s">
        <v>661</v>
      </c>
      <c r="E416" s="205">
        <v>6291007909081</v>
      </c>
      <c r="F416" s="230">
        <v>331775</v>
      </c>
    </row>
    <row r="417" spans="1:6" x14ac:dyDescent="0.2">
      <c r="A417" s="203">
        <v>775388</v>
      </c>
      <c r="B417" s="219" t="s">
        <v>664</v>
      </c>
      <c r="C417" s="205" t="s">
        <v>665</v>
      </c>
      <c r="D417" s="213"/>
      <c r="E417" s="220">
        <v>6291007910537</v>
      </c>
      <c r="F417" s="236">
        <v>348109</v>
      </c>
    </row>
    <row r="418" spans="1:6" x14ac:dyDescent="0.2">
      <c r="A418" s="203">
        <v>796146</v>
      </c>
      <c r="B418" s="219" t="s">
        <v>666</v>
      </c>
      <c r="C418" s="205" t="s">
        <v>667</v>
      </c>
      <c r="D418" s="213"/>
      <c r="E418" s="220">
        <v>6291007903133</v>
      </c>
      <c r="F418" s="236">
        <v>348110</v>
      </c>
    </row>
    <row r="419" spans="1:6" x14ac:dyDescent="0.2">
      <c r="A419" s="203">
        <v>1738171</v>
      </c>
      <c r="B419" s="204" t="s">
        <v>668</v>
      </c>
      <c r="C419" s="205" t="s">
        <v>669</v>
      </c>
      <c r="D419" s="205"/>
      <c r="E419" s="205">
        <v>6291007910773</v>
      </c>
      <c r="F419" s="229">
        <v>310026</v>
      </c>
    </row>
    <row r="420" spans="1:6" x14ac:dyDescent="0.2">
      <c r="A420" s="203">
        <v>2039518</v>
      </c>
      <c r="B420" s="219" t="s">
        <v>670</v>
      </c>
      <c r="C420" s="205" t="s">
        <v>671</v>
      </c>
      <c r="D420" s="213"/>
      <c r="E420" s="220">
        <v>6291007913224</v>
      </c>
      <c r="F420" s="236">
        <v>348107</v>
      </c>
    </row>
    <row r="421" spans="1:6" x14ac:dyDescent="0.2">
      <c r="A421" s="203">
        <v>2039517</v>
      </c>
      <c r="B421" s="219" t="s">
        <v>672</v>
      </c>
      <c r="C421" s="205" t="s">
        <v>673</v>
      </c>
      <c r="D421" s="213"/>
      <c r="E421" s="220">
        <v>6291007913217</v>
      </c>
      <c r="F421" s="236">
        <v>348108</v>
      </c>
    </row>
    <row r="422" spans="1:6" x14ac:dyDescent="0.2">
      <c r="A422" s="203">
        <v>717816</v>
      </c>
      <c r="B422" s="212" t="s">
        <v>674</v>
      </c>
      <c r="C422" s="205" t="s">
        <v>675</v>
      </c>
      <c r="D422" s="205"/>
      <c r="E422" s="205">
        <v>6291007906660</v>
      </c>
      <c r="F422" s="232">
        <v>219728</v>
      </c>
    </row>
    <row r="423" spans="1:6" x14ac:dyDescent="0.2">
      <c r="A423" s="203">
        <v>846265</v>
      </c>
      <c r="B423" s="204" t="s">
        <v>676</v>
      </c>
      <c r="C423" s="205" t="s">
        <v>677</v>
      </c>
      <c r="D423" s="205"/>
      <c r="E423" s="205">
        <v>6291007904840</v>
      </c>
      <c r="F423" s="229">
        <v>166538</v>
      </c>
    </row>
    <row r="424" spans="1:6" x14ac:dyDescent="0.2">
      <c r="A424" s="203">
        <v>1259488</v>
      </c>
      <c r="B424" s="221" t="s">
        <v>678</v>
      </c>
      <c r="C424" s="213" t="s">
        <v>679</v>
      </c>
      <c r="D424" s="205" t="s">
        <v>661</v>
      </c>
      <c r="E424" s="220">
        <v>6291007907773</v>
      </c>
      <c r="F424" s="232">
        <v>347939</v>
      </c>
    </row>
    <row r="425" spans="1:6" x14ac:dyDescent="0.2">
      <c r="A425" s="203">
        <v>901093</v>
      </c>
      <c r="B425" s="221" t="s">
        <v>680</v>
      </c>
      <c r="C425" s="213" t="s">
        <v>681</v>
      </c>
      <c r="D425" s="205" t="s">
        <v>661</v>
      </c>
      <c r="E425" s="220">
        <v>6291007905403</v>
      </c>
      <c r="F425" s="232">
        <v>347940</v>
      </c>
    </row>
    <row r="426" spans="1:6" x14ac:dyDescent="0.2">
      <c r="A426" s="203">
        <v>1107785</v>
      </c>
      <c r="B426" s="219" t="s">
        <v>682</v>
      </c>
      <c r="C426" s="205" t="s">
        <v>683</v>
      </c>
      <c r="D426" s="213"/>
      <c r="E426" s="220">
        <v>8901063166639</v>
      </c>
      <c r="F426" s="236">
        <v>348111</v>
      </c>
    </row>
    <row r="427" spans="1:6" x14ac:dyDescent="0.2">
      <c r="A427" s="203">
        <v>1006428</v>
      </c>
      <c r="B427" s="212" t="s">
        <v>684</v>
      </c>
      <c r="C427" s="205" t="s">
        <v>685</v>
      </c>
      <c r="D427" s="205"/>
      <c r="E427" s="205">
        <v>6291007905809</v>
      </c>
      <c r="F427" s="232">
        <v>323901</v>
      </c>
    </row>
    <row r="428" spans="1:6" x14ac:dyDescent="0.2">
      <c r="A428" s="203">
        <v>1015741</v>
      </c>
      <c r="B428" s="208" t="s">
        <v>686</v>
      </c>
      <c r="C428" s="205" t="s">
        <v>687</v>
      </c>
      <c r="D428" s="205"/>
      <c r="E428" s="205">
        <v>6291007905519</v>
      </c>
      <c r="F428" s="231">
        <v>312827</v>
      </c>
    </row>
    <row r="429" spans="1:6" x14ac:dyDescent="0.2">
      <c r="A429" s="203">
        <v>1488728</v>
      </c>
      <c r="B429" s="208" t="s">
        <v>688</v>
      </c>
      <c r="C429" s="205" t="s">
        <v>689</v>
      </c>
      <c r="D429" s="205"/>
      <c r="E429" s="205">
        <v>6291007908992</v>
      </c>
      <c r="F429" s="231">
        <v>306802</v>
      </c>
    </row>
    <row r="430" spans="1:6" x14ac:dyDescent="0.2">
      <c r="A430" s="203" t="e">
        <v>#N/A</v>
      </c>
      <c r="B430" s="208" t="s">
        <v>690</v>
      </c>
      <c r="C430" s="205" t="s">
        <v>691</v>
      </c>
      <c r="D430" s="205"/>
      <c r="E430" s="205">
        <v>6291007909029</v>
      </c>
      <c r="F430" s="231">
        <v>306803</v>
      </c>
    </row>
    <row r="431" spans="1:6" x14ac:dyDescent="0.2">
      <c r="A431" s="203">
        <v>1689539</v>
      </c>
      <c r="B431" s="208" t="s">
        <v>692</v>
      </c>
      <c r="C431" s="205" t="s">
        <v>693</v>
      </c>
      <c r="D431" s="205"/>
      <c r="E431" s="205">
        <v>6291007910667</v>
      </c>
      <c r="F431" s="231">
        <v>308871</v>
      </c>
    </row>
    <row r="432" spans="1:6" x14ac:dyDescent="0.2">
      <c r="A432" s="203">
        <v>1648611</v>
      </c>
      <c r="B432" s="204" t="s">
        <v>694</v>
      </c>
      <c r="C432" s="205" t="s">
        <v>609</v>
      </c>
      <c r="D432" s="205"/>
      <c r="E432" s="205">
        <v>6291007910070</v>
      </c>
      <c r="F432" s="229">
        <v>320846</v>
      </c>
    </row>
    <row r="433" spans="1:6" x14ac:dyDescent="0.2">
      <c r="A433" s="203">
        <v>1648613</v>
      </c>
      <c r="B433" s="204" t="s">
        <v>695</v>
      </c>
      <c r="C433" s="205" t="s">
        <v>609</v>
      </c>
      <c r="D433" s="205"/>
      <c r="E433" s="205">
        <v>6291007910087</v>
      </c>
      <c r="F433" s="229">
        <v>320847</v>
      </c>
    </row>
    <row r="434" spans="1:6" x14ac:dyDescent="0.2">
      <c r="A434" s="203">
        <v>1648612</v>
      </c>
      <c r="B434" s="204" t="s">
        <v>696</v>
      </c>
      <c r="C434" s="205" t="s">
        <v>609</v>
      </c>
      <c r="D434" s="205"/>
      <c r="E434" s="205">
        <v>6291007910094</v>
      </c>
      <c r="F434" s="229">
        <v>320928</v>
      </c>
    </row>
    <row r="435" spans="1:6" x14ac:dyDescent="0.2">
      <c r="A435" s="203">
        <v>54289</v>
      </c>
      <c r="B435" s="204" t="s">
        <v>697</v>
      </c>
      <c r="C435" s="205" t="s">
        <v>698</v>
      </c>
      <c r="D435" s="205"/>
      <c r="E435" s="205">
        <v>9501047721411</v>
      </c>
      <c r="F435" s="229">
        <v>164604</v>
      </c>
    </row>
    <row r="436" spans="1:6" x14ac:dyDescent="0.2">
      <c r="A436" s="203" t="e">
        <v>#N/A</v>
      </c>
      <c r="B436" s="211" t="s">
        <v>699</v>
      </c>
      <c r="C436" s="205" t="s">
        <v>698</v>
      </c>
      <c r="D436" s="205"/>
      <c r="E436" s="205">
        <v>9501047242213</v>
      </c>
      <c r="F436" s="229">
        <v>164520</v>
      </c>
    </row>
    <row r="437" spans="1:6" x14ac:dyDescent="0.2">
      <c r="A437" s="203">
        <v>866052</v>
      </c>
      <c r="B437" s="210" t="s">
        <v>700</v>
      </c>
      <c r="C437" s="205" t="s">
        <v>701</v>
      </c>
      <c r="D437" s="205"/>
      <c r="E437" s="205">
        <v>1800000005642</v>
      </c>
      <c r="F437" s="229">
        <v>164652</v>
      </c>
    </row>
    <row r="438" spans="1:6" x14ac:dyDescent="0.2">
      <c r="A438" s="203">
        <v>940416</v>
      </c>
      <c r="B438" s="209" t="s">
        <v>702</v>
      </c>
      <c r="C438" s="205" t="s">
        <v>703</v>
      </c>
      <c r="D438" s="205"/>
      <c r="E438" s="205">
        <v>1800000006717</v>
      </c>
      <c r="F438" s="229">
        <v>170374</v>
      </c>
    </row>
    <row r="439" spans="1:6" x14ac:dyDescent="0.2">
      <c r="A439" s="203">
        <v>1066199</v>
      </c>
      <c r="B439" s="208" t="s">
        <v>704</v>
      </c>
      <c r="C439" s="205" t="s">
        <v>705</v>
      </c>
      <c r="D439" s="205"/>
      <c r="E439" s="205">
        <v>6291007905861</v>
      </c>
      <c r="F439" s="231">
        <v>164720</v>
      </c>
    </row>
    <row r="440" spans="1:6" x14ac:dyDescent="0.2">
      <c r="A440" s="203">
        <v>12005</v>
      </c>
      <c r="B440" s="210" t="s">
        <v>706</v>
      </c>
      <c r="C440" s="205" t="s">
        <v>707</v>
      </c>
      <c r="D440" s="205"/>
      <c r="E440" s="205">
        <v>5351904104031</v>
      </c>
      <c r="F440" s="229">
        <v>164357</v>
      </c>
    </row>
    <row r="441" spans="1:6" x14ac:dyDescent="0.2">
      <c r="A441" s="203">
        <v>472457</v>
      </c>
      <c r="B441" s="212" t="s">
        <v>708</v>
      </c>
      <c r="C441" s="205" t="s">
        <v>707</v>
      </c>
      <c r="D441" s="205"/>
      <c r="E441" s="205">
        <v>5351904104048</v>
      </c>
      <c r="F441" s="229">
        <v>177778</v>
      </c>
    </row>
    <row r="442" spans="1:6" ht="15.75" thickBot="1" x14ac:dyDescent="0.25">
      <c r="A442" s="203">
        <v>535067</v>
      </c>
      <c r="B442" s="222" t="s">
        <v>709</v>
      </c>
      <c r="C442" s="223" t="s">
        <v>710</v>
      </c>
      <c r="D442" s="224"/>
      <c r="E442" s="225">
        <v>1800000012305</v>
      </c>
      <c r="F442" s="237">
        <v>350054</v>
      </c>
    </row>
    <row r="443" spans="1:6" x14ac:dyDescent="0.2">
      <c r="A443" s="248">
        <v>31116</v>
      </c>
      <c r="B443" s="207" t="s">
        <v>711</v>
      </c>
      <c r="C443" s="205" t="s">
        <v>712</v>
      </c>
      <c r="D443" s="226"/>
      <c r="E443" s="205">
        <v>6291007901054</v>
      </c>
      <c r="F443" s="238">
        <v>377747</v>
      </c>
    </row>
    <row r="444" spans="1:6" x14ac:dyDescent="0.2">
      <c r="A444" s="226"/>
      <c r="B444" s="227" t="s">
        <v>713</v>
      </c>
      <c r="C444" s="205" t="s">
        <v>714</v>
      </c>
      <c r="D444" s="226"/>
      <c r="E444" s="205">
        <v>6291007901559</v>
      </c>
      <c r="F444" s="238">
        <v>384458</v>
      </c>
    </row>
    <row r="445" spans="1:6" x14ac:dyDescent="0.2">
      <c r="A445" s="199">
        <v>918961</v>
      </c>
      <c r="B445" s="219" t="s">
        <v>733</v>
      </c>
      <c r="C445" s="205" t="s">
        <v>734</v>
      </c>
      <c r="D445" s="74"/>
      <c r="E445" s="205">
        <v>6291007901078</v>
      </c>
      <c r="F445" s="239">
        <v>375702</v>
      </c>
    </row>
    <row r="446" spans="1:6" x14ac:dyDescent="0.2">
      <c r="A446" s="199">
        <v>1670711</v>
      </c>
      <c r="B446" s="212" t="s">
        <v>735</v>
      </c>
      <c r="C446" s="205" t="s">
        <v>736</v>
      </c>
      <c r="E446" s="205">
        <v>6291007910278</v>
      </c>
      <c r="F446" s="238">
        <v>365221</v>
      </c>
    </row>
    <row r="447" spans="1:6" x14ac:dyDescent="0.2">
      <c r="A447" s="248">
        <v>31066</v>
      </c>
      <c r="B447" s="301" t="s">
        <v>740</v>
      </c>
      <c r="C447" s="301"/>
      <c r="D447" s="226"/>
      <c r="E447" s="242">
        <v>8901063242029</v>
      </c>
      <c r="F447" s="238">
        <v>357939</v>
      </c>
    </row>
    <row r="448" spans="1:6" x14ac:dyDescent="0.2">
      <c r="A448" s="248">
        <v>2208035</v>
      </c>
      <c r="B448" s="301" t="s">
        <v>741</v>
      </c>
      <c r="C448" s="301"/>
      <c r="D448" s="226"/>
      <c r="E448" s="248">
        <v>6291007912692</v>
      </c>
      <c r="F448" s="236">
        <v>386178</v>
      </c>
    </row>
    <row r="449" spans="1:6" x14ac:dyDescent="0.2">
      <c r="A449" s="226"/>
      <c r="B449" s="227"/>
      <c r="C449" s="205"/>
      <c r="D449" s="226"/>
      <c r="E449" s="205"/>
      <c r="F449" s="238"/>
    </row>
    <row r="450" spans="1:6" x14ac:dyDescent="0.2">
      <c r="A450" s="199">
        <v>1185330</v>
      </c>
      <c r="B450" s="212" t="s">
        <v>731</v>
      </c>
      <c r="C450" s="213" t="s">
        <v>732</v>
      </c>
      <c r="E450" s="205">
        <v>8901063151505</v>
      </c>
      <c r="F450" s="232">
        <v>378938</v>
      </c>
    </row>
    <row r="451" spans="1:6" x14ac:dyDescent="0.2">
      <c r="A451" s="226">
        <v>492943</v>
      </c>
      <c r="B451" s="219" t="s">
        <v>726</v>
      </c>
      <c r="C451" s="205" t="s">
        <v>727</v>
      </c>
      <c r="E451" s="205">
        <v>6291007901061</v>
      </c>
      <c r="F451" s="239">
        <v>373220</v>
      </c>
    </row>
    <row r="452" spans="1:6" x14ac:dyDescent="0.2">
      <c r="A452" s="199">
        <v>761185</v>
      </c>
      <c r="B452" s="303" t="s">
        <v>728</v>
      </c>
      <c r="C452" s="303"/>
      <c r="D452" s="199"/>
      <c r="E452" s="205">
        <v>6291007902211</v>
      </c>
      <c r="F452" s="239">
        <v>375701</v>
      </c>
    </row>
    <row r="453" spans="1:6" x14ac:dyDescent="0.2">
      <c r="A453" s="199">
        <v>769095</v>
      </c>
      <c r="B453" s="303" t="s">
        <v>729</v>
      </c>
      <c r="C453" s="303"/>
      <c r="E453" s="199">
        <v>6291007902204</v>
      </c>
      <c r="F453" s="239">
        <v>375703</v>
      </c>
    </row>
    <row r="454" spans="1:6" x14ac:dyDescent="0.2">
      <c r="A454" s="199">
        <v>2208033</v>
      </c>
      <c r="B454" s="303" t="s">
        <v>730</v>
      </c>
      <c r="C454" s="303"/>
      <c r="E454" s="199">
        <v>8901063166714</v>
      </c>
      <c r="F454" s="238">
        <v>387513</v>
      </c>
    </row>
    <row r="455" spans="1:6" x14ac:dyDescent="0.2">
      <c r="A455" s="199">
        <v>138529</v>
      </c>
      <c r="B455" s="207" t="s">
        <v>631</v>
      </c>
      <c r="C455" s="205"/>
      <c r="D455" s="226"/>
      <c r="E455" s="205">
        <v>6291007701050</v>
      </c>
      <c r="F455" s="238">
        <v>164448</v>
      </c>
    </row>
    <row r="456" spans="1:6" x14ac:dyDescent="0.2">
      <c r="A456" s="199">
        <v>492926</v>
      </c>
      <c r="B456" s="303" t="s">
        <v>725</v>
      </c>
      <c r="C456" s="303"/>
      <c r="E456" s="205">
        <v>6291007901047</v>
      </c>
      <c r="F456" s="239">
        <v>365212</v>
      </c>
    </row>
    <row r="457" spans="1:6" s="240" customFormat="1" x14ac:dyDescent="0.2">
      <c r="A457" s="240">
        <v>492925</v>
      </c>
      <c r="B457" s="302" t="s">
        <v>724</v>
      </c>
      <c r="C457" s="302"/>
      <c r="D457" s="120"/>
      <c r="E457" s="240">
        <v>6291007901030</v>
      </c>
      <c r="F457" s="239">
        <v>365213</v>
      </c>
    </row>
    <row r="458" spans="1:6" x14ac:dyDescent="0.2">
      <c r="A458" s="240">
        <v>492924</v>
      </c>
      <c r="B458" s="219" t="s">
        <v>715</v>
      </c>
      <c r="C458" s="205" t="s">
        <v>716</v>
      </c>
      <c r="D458" s="226"/>
      <c r="E458" s="205">
        <v>6291007901016</v>
      </c>
      <c r="F458" s="239">
        <v>365214</v>
      </c>
    </row>
    <row r="459" spans="1:6" x14ac:dyDescent="0.2">
      <c r="A459" s="240">
        <v>2208034</v>
      </c>
      <c r="B459" s="302" t="s">
        <v>717</v>
      </c>
      <c r="C459" s="302"/>
      <c r="E459" s="240">
        <v>6291007912685</v>
      </c>
      <c r="F459" s="239">
        <v>386179</v>
      </c>
    </row>
    <row r="460" spans="1:6" x14ac:dyDescent="0.2">
      <c r="A460" s="240">
        <v>2243110</v>
      </c>
      <c r="B460" s="302" t="s">
        <v>718</v>
      </c>
      <c r="C460" s="302"/>
      <c r="E460" s="240">
        <v>6291007914900</v>
      </c>
      <c r="F460" s="239">
        <v>375706</v>
      </c>
    </row>
    <row r="461" spans="1:6" x14ac:dyDescent="0.2">
      <c r="A461" s="240">
        <v>2237280</v>
      </c>
      <c r="B461" s="302" t="s">
        <v>719</v>
      </c>
      <c r="C461" s="302"/>
      <c r="E461" s="240">
        <v>8901063166783</v>
      </c>
      <c r="F461" s="238">
        <v>375708</v>
      </c>
    </row>
    <row r="462" spans="1:6" x14ac:dyDescent="0.2">
      <c r="A462" s="240">
        <v>2130562</v>
      </c>
      <c r="B462" s="302" t="s">
        <v>720</v>
      </c>
      <c r="C462" s="302"/>
      <c r="E462" s="242">
        <v>6291007913460</v>
      </c>
      <c r="F462" s="241">
        <v>365217</v>
      </c>
    </row>
    <row r="463" spans="1:6" x14ac:dyDescent="0.2">
      <c r="A463" s="240">
        <v>2130563</v>
      </c>
      <c r="B463" s="302" t="s">
        <v>721</v>
      </c>
      <c r="C463" s="302"/>
      <c r="E463" s="242">
        <v>6291007913446</v>
      </c>
      <c r="F463" s="241">
        <v>365215</v>
      </c>
    </row>
    <row r="464" spans="1:6" x14ac:dyDescent="0.2">
      <c r="A464" s="240">
        <v>774937</v>
      </c>
      <c r="B464" s="302" t="s">
        <v>722</v>
      </c>
      <c r="C464" s="302"/>
      <c r="E464" s="242">
        <v>6291007905304</v>
      </c>
      <c r="F464" s="238">
        <v>384459</v>
      </c>
    </row>
    <row r="465" spans="1:6" ht="15.75" x14ac:dyDescent="0.2">
      <c r="A465" s="240"/>
      <c r="B465" s="251" t="s">
        <v>742</v>
      </c>
      <c r="C465" s="249"/>
      <c r="E465" s="252">
        <v>1800000023509</v>
      </c>
      <c r="F465" s="250">
        <v>399396</v>
      </c>
    </row>
    <row r="466" spans="1:6" ht="15.75" x14ac:dyDescent="0.2">
      <c r="A466" s="240">
        <v>2564431</v>
      </c>
      <c r="B466" s="251" t="s">
        <v>747</v>
      </c>
      <c r="C466" s="253"/>
      <c r="E466" s="252">
        <v>1800000024308</v>
      </c>
      <c r="F466" s="255">
        <v>401027</v>
      </c>
    </row>
    <row r="467" spans="1:6" ht="15.75" x14ac:dyDescent="0.2">
      <c r="A467" s="240">
        <v>2564582</v>
      </c>
      <c r="B467" s="251" t="s">
        <v>748</v>
      </c>
      <c r="C467" s="253"/>
      <c r="E467" s="252">
        <v>1800000024100</v>
      </c>
      <c r="F467" s="255">
        <v>401021</v>
      </c>
    </row>
    <row r="468" spans="1:6" ht="15.75" x14ac:dyDescent="0.2">
      <c r="A468" s="240">
        <v>2564583</v>
      </c>
      <c r="B468" s="251" t="s">
        <v>749</v>
      </c>
      <c r="C468" s="253"/>
      <c r="E468" s="252">
        <v>1800000024407</v>
      </c>
      <c r="F468" s="255">
        <v>401028</v>
      </c>
    </row>
    <row r="469" spans="1:6" ht="15.75" x14ac:dyDescent="0.2">
      <c r="A469" s="240">
        <v>2564584</v>
      </c>
      <c r="B469" s="251" t="s">
        <v>750</v>
      </c>
      <c r="C469" s="253"/>
      <c r="E469" s="252">
        <v>1800000024209</v>
      </c>
      <c r="F469" s="255">
        <v>401022</v>
      </c>
    </row>
    <row r="470" spans="1:6" ht="15.75" x14ac:dyDescent="0.25">
      <c r="A470" s="256" t="s">
        <v>751</v>
      </c>
      <c r="B470" s="257" t="s">
        <v>752</v>
      </c>
      <c r="C470" s="257" t="s">
        <v>753</v>
      </c>
      <c r="D470" s="257" t="s">
        <v>754</v>
      </c>
      <c r="E470" s="257" t="s">
        <v>755</v>
      </c>
      <c r="F470" s="255"/>
    </row>
    <row r="471" spans="1:6" ht="15.75" x14ac:dyDescent="0.25">
      <c r="A471" s="258">
        <v>401021</v>
      </c>
      <c r="B471" s="259" t="s">
        <v>756</v>
      </c>
      <c r="C471" s="245">
        <v>12</v>
      </c>
      <c r="D471" s="260" t="s">
        <v>757</v>
      </c>
      <c r="E471" s="245">
        <v>1800000024100</v>
      </c>
      <c r="F471" s="255"/>
    </row>
    <row r="472" spans="1:6" ht="15.75" x14ac:dyDescent="0.25">
      <c r="A472" s="258">
        <v>401022</v>
      </c>
      <c r="B472" s="259" t="s">
        <v>758</v>
      </c>
      <c r="C472" s="245">
        <v>12</v>
      </c>
      <c r="D472" s="260" t="s">
        <v>759</v>
      </c>
      <c r="E472" s="245">
        <v>1800000024209</v>
      </c>
      <c r="F472" s="255"/>
    </row>
    <row r="473" spans="1:6" ht="15.75" x14ac:dyDescent="0.25">
      <c r="A473" s="258">
        <v>401023</v>
      </c>
      <c r="B473" s="259" t="s">
        <v>760</v>
      </c>
      <c r="C473" s="245">
        <v>12</v>
      </c>
      <c r="D473" s="260" t="s">
        <v>761</v>
      </c>
      <c r="E473" s="245">
        <v>1800000023707</v>
      </c>
      <c r="F473" s="255"/>
    </row>
    <row r="474" spans="1:6" ht="15.75" x14ac:dyDescent="0.25">
      <c r="A474" s="258">
        <v>401024</v>
      </c>
      <c r="B474" s="259" t="s">
        <v>762</v>
      </c>
      <c r="C474" s="245">
        <v>12</v>
      </c>
      <c r="D474" s="260" t="s">
        <v>763</v>
      </c>
      <c r="E474" s="245">
        <v>1800000023806</v>
      </c>
      <c r="F474" s="255"/>
    </row>
    <row r="475" spans="1:6" ht="15.75" x14ac:dyDescent="0.25">
      <c r="A475" s="258">
        <v>401025</v>
      </c>
      <c r="B475" s="259" t="s">
        <v>764</v>
      </c>
      <c r="C475" s="245">
        <v>12</v>
      </c>
      <c r="D475" s="260" t="s">
        <v>765</v>
      </c>
      <c r="E475" s="245">
        <v>1800000023905</v>
      </c>
      <c r="F475" s="255"/>
    </row>
    <row r="476" spans="1:6" ht="15.75" x14ac:dyDescent="0.25">
      <c r="A476" s="258">
        <v>401026</v>
      </c>
      <c r="B476" s="259" t="s">
        <v>766</v>
      </c>
      <c r="C476" s="245">
        <v>12</v>
      </c>
      <c r="D476" s="260" t="s">
        <v>767</v>
      </c>
      <c r="E476" s="245">
        <v>1800000024001</v>
      </c>
      <c r="F476" s="255"/>
    </row>
    <row r="477" spans="1:6" ht="15.75" x14ac:dyDescent="0.25">
      <c r="A477" s="258">
        <v>401027</v>
      </c>
      <c r="B477" s="259" t="s">
        <v>768</v>
      </c>
      <c r="C477" s="245">
        <v>12</v>
      </c>
      <c r="D477" s="260" t="s">
        <v>769</v>
      </c>
      <c r="E477" s="245">
        <v>1800000024308</v>
      </c>
      <c r="F477" s="255"/>
    </row>
    <row r="478" spans="1:6" ht="15.75" x14ac:dyDescent="0.25">
      <c r="A478" s="258">
        <v>401028</v>
      </c>
      <c r="B478" s="259" t="s">
        <v>770</v>
      </c>
      <c r="C478" s="245">
        <v>12</v>
      </c>
      <c r="D478" s="260" t="s">
        <v>769</v>
      </c>
      <c r="E478" s="245">
        <v>1800000024407</v>
      </c>
      <c r="F478" s="255"/>
    </row>
    <row r="479" spans="1:6" ht="15.75" x14ac:dyDescent="0.25">
      <c r="A479" s="275">
        <v>365220</v>
      </c>
      <c r="B479" s="262" t="s">
        <v>771</v>
      </c>
      <c r="C479" s="245"/>
      <c r="D479" s="261"/>
      <c r="E479" s="245"/>
      <c r="F479" s="255"/>
    </row>
    <row r="480" spans="1:6" ht="15.75" x14ac:dyDescent="0.25">
      <c r="A480" s="275">
        <v>365218</v>
      </c>
      <c r="B480" s="262" t="s">
        <v>772</v>
      </c>
      <c r="C480" s="245"/>
      <c r="D480" s="261"/>
      <c r="E480" s="245"/>
      <c r="F480" s="255"/>
    </row>
    <row r="481" spans="1:7" ht="15.75" x14ac:dyDescent="0.25">
      <c r="A481" s="275">
        <v>365219</v>
      </c>
      <c r="B481" s="262" t="s">
        <v>773</v>
      </c>
      <c r="C481" s="245"/>
      <c r="D481" s="261"/>
      <c r="E481" s="245"/>
      <c r="F481" s="255"/>
    </row>
    <row r="482" spans="1:7" ht="15.75" x14ac:dyDescent="0.25">
      <c r="A482" s="258"/>
      <c r="B482" s="259"/>
      <c r="C482" s="245"/>
      <c r="D482" s="261"/>
      <c r="E482" s="245"/>
      <c r="F482" s="255"/>
    </row>
    <row r="483" spans="1:7" ht="15.75" customHeight="1" x14ac:dyDescent="0.25">
      <c r="A483" s="258" t="s">
        <v>777</v>
      </c>
      <c r="B483" s="259" t="s">
        <v>777</v>
      </c>
      <c r="C483" s="245"/>
      <c r="D483" s="261"/>
      <c r="E483" s="245"/>
      <c r="F483" s="255"/>
    </row>
    <row r="484" spans="1:7" ht="15.75" x14ac:dyDescent="0.25">
      <c r="A484" s="258"/>
      <c r="B484" s="259"/>
      <c r="C484" s="245"/>
      <c r="D484" s="261"/>
      <c r="E484" s="245"/>
      <c r="F484" s="255"/>
    </row>
    <row r="485" spans="1:7" ht="15.75" customHeight="1" x14ac:dyDescent="0.25">
      <c r="A485" s="258">
        <v>2227886</v>
      </c>
      <c r="B485" s="259" t="s">
        <v>778</v>
      </c>
      <c r="C485" s="245"/>
      <c r="D485" s="261">
        <v>1.095</v>
      </c>
      <c r="E485" s="245">
        <v>6291007914719</v>
      </c>
      <c r="F485" s="255">
        <v>396374</v>
      </c>
    </row>
    <row r="486" spans="1:7" ht="15.75" x14ac:dyDescent="0.25">
      <c r="A486" s="258"/>
      <c r="B486" s="259" t="s">
        <v>778</v>
      </c>
      <c r="C486" s="245"/>
      <c r="D486" s="261"/>
      <c r="E486" s="245"/>
      <c r="F486" s="255"/>
    </row>
    <row r="487" spans="1:7" ht="16.5" thickBot="1" x14ac:dyDescent="0.25">
      <c r="A487" s="270">
        <v>410295</v>
      </c>
      <c r="B487" s="268" t="s">
        <v>791</v>
      </c>
      <c r="C487" s="271">
        <v>16</v>
      </c>
      <c r="D487" s="271">
        <v>1.2689999999999999</v>
      </c>
      <c r="E487" s="271">
        <v>3073781219654</v>
      </c>
      <c r="F487" s="255"/>
      <c r="G487" s="178" t="s">
        <v>793</v>
      </c>
    </row>
    <row r="488" spans="1:7" ht="15.75" x14ac:dyDescent="0.2">
      <c r="A488" s="272">
        <v>194963</v>
      </c>
      <c r="B488" s="269" t="s">
        <v>792</v>
      </c>
      <c r="C488" s="274">
        <v>3073780829311</v>
      </c>
      <c r="D488" s="273">
        <v>1.0349999999999999</v>
      </c>
      <c r="E488" s="274">
        <v>3073780810661</v>
      </c>
      <c r="F488" s="74" t="s">
        <v>466</v>
      </c>
      <c r="G488" s="178" t="s">
        <v>794</v>
      </c>
    </row>
    <row r="489" spans="1:7" ht="15.75" x14ac:dyDescent="0.2">
      <c r="A489" s="279">
        <v>779750</v>
      </c>
      <c r="B489" s="251"/>
      <c r="C489" s="263"/>
      <c r="E489" s="279">
        <v>24000145066</v>
      </c>
      <c r="F489" s="279">
        <v>411274</v>
      </c>
    </row>
    <row r="490" spans="1:7" ht="15.75" x14ac:dyDescent="0.2">
      <c r="A490" s="279">
        <v>779751</v>
      </c>
      <c r="B490" s="251"/>
      <c r="C490" s="263"/>
      <c r="E490" s="279">
        <v>24000145080</v>
      </c>
      <c r="F490" s="279">
        <v>411276</v>
      </c>
    </row>
    <row r="491" spans="1:7" ht="15.75" x14ac:dyDescent="0.2">
      <c r="A491" s="279">
        <v>779752</v>
      </c>
      <c r="B491" s="251"/>
      <c r="C491" s="263"/>
      <c r="E491" s="279">
        <v>24000145059</v>
      </c>
      <c r="F491" s="279">
        <v>411273</v>
      </c>
    </row>
    <row r="492" spans="1:7" ht="15.75" x14ac:dyDescent="0.2">
      <c r="A492" s="279">
        <v>1660422</v>
      </c>
      <c r="B492" s="251"/>
      <c r="C492" s="263"/>
      <c r="E492" s="279">
        <v>24000238188</v>
      </c>
      <c r="F492" s="279">
        <v>165100</v>
      </c>
    </row>
    <row r="493" spans="1:7" ht="15.75" x14ac:dyDescent="0.2">
      <c r="A493" s="279">
        <v>457165</v>
      </c>
      <c r="B493" s="251"/>
      <c r="C493" s="263"/>
      <c r="E493" s="279">
        <v>24000104582</v>
      </c>
      <c r="F493" s="279">
        <v>91599</v>
      </c>
    </row>
    <row r="494" spans="1:7" ht="15.75" x14ac:dyDescent="0.2">
      <c r="A494" s="279">
        <v>779750</v>
      </c>
      <c r="B494" s="251"/>
      <c r="C494" s="263"/>
      <c r="E494" s="279">
        <v>24000145066</v>
      </c>
      <c r="F494" s="279">
        <v>411274</v>
      </c>
    </row>
    <row r="495" spans="1:7" ht="15.75" x14ac:dyDescent="0.2">
      <c r="A495" s="279">
        <v>779751</v>
      </c>
      <c r="B495" s="251"/>
      <c r="C495" s="263"/>
      <c r="E495" s="279">
        <v>24000145080</v>
      </c>
      <c r="F495" s="279">
        <v>411276</v>
      </c>
    </row>
    <row r="496" spans="1:7" ht="15.75" x14ac:dyDescent="0.2">
      <c r="A496" s="279">
        <v>779752</v>
      </c>
      <c r="B496" s="251"/>
      <c r="C496" s="263"/>
      <c r="E496" s="279">
        <v>24000145059</v>
      </c>
      <c r="F496" s="279">
        <v>411273</v>
      </c>
    </row>
    <row r="497" spans="1:6" ht="15.75" x14ac:dyDescent="0.2">
      <c r="A497" s="279">
        <v>779753</v>
      </c>
      <c r="B497" s="251"/>
      <c r="C497" s="263"/>
      <c r="E497" s="279">
        <v>24000145073</v>
      </c>
      <c r="F497" s="279">
        <v>411275</v>
      </c>
    </row>
    <row r="498" spans="1:6" ht="15.75" x14ac:dyDescent="0.2">
      <c r="A498" s="279">
        <v>439175</v>
      </c>
      <c r="B498" s="251"/>
      <c r="C498" s="263"/>
      <c r="E498" s="279">
        <v>24000074342</v>
      </c>
      <c r="F498" s="279">
        <v>91592</v>
      </c>
    </row>
    <row r="499" spans="1:6" ht="15.75" x14ac:dyDescent="0.2">
      <c r="A499" s="279">
        <v>1652224</v>
      </c>
      <c r="B499" s="251"/>
      <c r="C499" s="263"/>
      <c r="E499" s="279">
        <v>24000238171</v>
      </c>
      <c r="F499" s="279">
        <v>165099</v>
      </c>
    </row>
    <row r="500" spans="1:6" ht="15.75" x14ac:dyDescent="0.2">
      <c r="A500" s="279">
        <v>416309</v>
      </c>
      <c r="B500" s="251"/>
      <c r="C500" s="263"/>
      <c r="E500" s="279">
        <v>24000156000</v>
      </c>
      <c r="F500" s="279">
        <v>416309</v>
      </c>
    </row>
    <row r="501" spans="1:6" ht="15.75" x14ac:dyDescent="0.2">
      <c r="A501" s="279">
        <v>1281014</v>
      </c>
      <c r="B501" s="251"/>
      <c r="C501" s="263"/>
      <c r="E501" s="279">
        <v>736211763631</v>
      </c>
      <c r="F501" s="279">
        <v>1281014</v>
      </c>
    </row>
    <row r="502" spans="1:6" ht="15.75" x14ac:dyDescent="0.2">
      <c r="A502" s="279">
        <v>1281151</v>
      </c>
      <c r="B502" s="251"/>
      <c r="C502" s="263"/>
      <c r="E502" s="279">
        <v>736211763839</v>
      </c>
      <c r="F502" s="279">
        <v>1281151</v>
      </c>
    </row>
    <row r="503" spans="1:6" ht="15.75" x14ac:dyDescent="0.2">
      <c r="A503" s="279">
        <v>1281152</v>
      </c>
      <c r="B503" s="251"/>
      <c r="C503" s="263"/>
      <c r="E503" s="279">
        <v>736211763938</v>
      </c>
      <c r="F503" s="279">
        <v>1281152</v>
      </c>
    </row>
    <row r="504" spans="1:6" ht="15.75" x14ac:dyDescent="0.2">
      <c r="A504" s="279">
        <v>1660424</v>
      </c>
      <c r="B504" s="251"/>
      <c r="C504" s="263"/>
      <c r="E504" s="279">
        <v>24000105626</v>
      </c>
      <c r="F504" s="279">
        <v>1660424</v>
      </c>
    </row>
    <row r="505" spans="1:6" ht="15.75" x14ac:dyDescent="0.2">
      <c r="A505" s="279">
        <v>2299</v>
      </c>
      <c r="B505" s="251"/>
      <c r="C505" s="263"/>
      <c r="E505" s="279">
        <v>24000012313</v>
      </c>
      <c r="F505" s="279">
        <v>91566</v>
      </c>
    </row>
    <row r="506" spans="1:6" ht="16.5" thickBot="1" x14ac:dyDescent="0.25">
      <c r="A506" s="240">
        <v>192933</v>
      </c>
      <c r="B506" s="251"/>
      <c r="C506" s="263"/>
      <c r="E506" s="252"/>
      <c r="F506" s="295">
        <v>378137</v>
      </c>
    </row>
    <row r="507" spans="1:6" x14ac:dyDescent="0.2">
      <c r="A507" s="240"/>
      <c r="B507" s="263"/>
      <c r="C507" s="263"/>
      <c r="E507" s="242"/>
      <c r="F507" s="238"/>
    </row>
    <row r="508" spans="1:6" x14ac:dyDescent="0.2">
      <c r="A508" s="240"/>
      <c r="B508" s="254"/>
      <c r="C508" s="254"/>
      <c r="E508" s="242"/>
      <c r="F508" s="238"/>
    </row>
    <row r="509" spans="1:6" x14ac:dyDescent="0.2">
      <c r="A509" s="240"/>
      <c r="B509" s="254"/>
      <c r="C509" s="254"/>
      <c r="E509" s="242"/>
      <c r="F509" s="238"/>
    </row>
    <row r="510" spans="1:6" x14ac:dyDescent="0.2">
      <c r="A510" s="240"/>
      <c r="B510" s="254"/>
      <c r="C510" s="254"/>
      <c r="E510" s="242"/>
      <c r="F510" s="238"/>
    </row>
    <row r="511" spans="1:6" x14ac:dyDescent="0.2">
      <c r="A511" s="240">
        <v>796147</v>
      </c>
      <c r="B511" s="299" t="s">
        <v>723</v>
      </c>
      <c r="C511" s="300"/>
      <c r="E511" s="242">
        <v>6291007905298</v>
      </c>
      <c r="F511" s="238">
        <v>384460</v>
      </c>
    </row>
  </sheetData>
  <protectedRanges>
    <protectedRange sqref="E52:E53" name="Range1_16"/>
    <protectedRange sqref="B52:B53" name="Range1_15"/>
    <protectedRange sqref="F52:F53" name="Range1_14"/>
  </protectedRanges>
  <autoFilter ref="A1:H448" xr:uid="{00000000-0009-0000-0000-000000000000}"/>
  <mergeCells count="14">
    <mergeCell ref="B511:C511"/>
    <mergeCell ref="B447:C447"/>
    <mergeCell ref="B448:C448"/>
    <mergeCell ref="B459:C459"/>
    <mergeCell ref="B460:C460"/>
    <mergeCell ref="B461:C461"/>
    <mergeCell ref="B462:C462"/>
    <mergeCell ref="B463:C463"/>
    <mergeCell ref="B464:C464"/>
    <mergeCell ref="B457:C457"/>
    <mergeCell ref="B456:C456"/>
    <mergeCell ref="B452:C452"/>
    <mergeCell ref="B453:C453"/>
    <mergeCell ref="B454:C454"/>
  </mergeCells>
  <conditionalFormatting sqref="E226:E253 E181:E219">
    <cfRule type="duplicateValues" dxfId="30" priority="31"/>
  </conditionalFormatting>
  <conditionalFormatting sqref="E220:E225">
    <cfRule type="duplicateValues" dxfId="29" priority="30"/>
  </conditionalFormatting>
  <conditionalFormatting sqref="E254">
    <cfRule type="duplicateValues" dxfId="28" priority="29"/>
  </conditionalFormatting>
  <conditionalFormatting sqref="E255">
    <cfRule type="duplicateValues" dxfId="27" priority="28"/>
  </conditionalFormatting>
  <conditionalFormatting sqref="E256">
    <cfRule type="duplicateValues" dxfId="26" priority="27"/>
  </conditionalFormatting>
  <conditionalFormatting sqref="E257">
    <cfRule type="duplicateValues" dxfId="25" priority="26"/>
  </conditionalFormatting>
  <conditionalFormatting sqref="E258">
    <cfRule type="duplicateValues" dxfId="24" priority="25"/>
  </conditionalFormatting>
  <conditionalFormatting sqref="E259">
    <cfRule type="duplicateValues" dxfId="23" priority="24"/>
  </conditionalFormatting>
  <conditionalFormatting sqref="E260">
    <cfRule type="duplicateValues" dxfId="22" priority="23"/>
  </conditionalFormatting>
  <conditionalFormatting sqref="E280:E292">
    <cfRule type="duplicateValues" dxfId="21" priority="22"/>
  </conditionalFormatting>
  <conditionalFormatting sqref="F443:F444 E453 F449">
    <cfRule type="duplicateValues" dxfId="20" priority="21"/>
  </conditionalFormatting>
  <conditionalFormatting sqref="F458">
    <cfRule type="duplicateValues" dxfId="19" priority="20"/>
  </conditionalFormatting>
  <conditionalFormatting sqref="F461">
    <cfRule type="duplicateValues" dxfId="18" priority="19"/>
  </conditionalFormatting>
  <conditionalFormatting sqref="F462">
    <cfRule type="duplicateValues" dxfId="17" priority="18"/>
  </conditionalFormatting>
  <conditionalFormatting sqref="F463">
    <cfRule type="duplicateValues" dxfId="16" priority="17"/>
  </conditionalFormatting>
  <conditionalFormatting sqref="F464:F465 F503:F505 F507:F510">
    <cfRule type="duplicateValues" dxfId="15" priority="16"/>
  </conditionalFormatting>
  <conditionalFormatting sqref="F511">
    <cfRule type="duplicateValues" dxfId="14" priority="15"/>
  </conditionalFormatting>
  <conditionalFormatting sqref="F459">
    <cfRule type="duplicateValues" dxfId="13" priority="14"/>
  </conditionalFormatting>
  <conditionalFormatting sqref="F460">
    <cfRule type="duplicateValues" dxfId="12" priority="13"/>
  </conditionalFormatting>
  <conditionalFormatting sqref="F457">
    <cfRule type="duplicateValues" dxfId="11" priority="12"/>
  </conditionalFormatting>
  <conditionalFormatting sqref="F456">
    <cfRule type="duplicateValues" dxfId="10" priority="11"/>
  </conditionalFormatting>
  <conditionalFormatting sqref="F451">
    <cfRule type="duplicateValues" dxfId="9" priority="10"/>
  </conditionalFormatting>
  <conditionalFormatting sqref="F452">
    <cfRule type="duplicateValues" dxfId="8" priority="9"/>
  </conditionalFormatting>
  <conditionalFormatting sqref="F453">
    <cfRule type="duplicateValues" dxfId="7" priority="8"/>
  </conditionalFormatting>
  <conditionalFormatting sqref="F454">
    <cfRule type="duplicateValues" dxfId="6" priority="7"/>
  </conditionalFormatting>
  <conditionalFormatting sqref="F455">
    <cfRule type="duplicateValues" dxfId="5" priority="6"/>
  </conditionalFormatting>
  <conditionalFormatting sqref="F450">
    <cfRule type="duplicateValues" dxfId="4" priority="5"/>
  </conditionalFormatting>
  <conditionalFormatting sqref="F445">
    <cfRule type="duplicateValues" dxfId="3" priority="4"/>
  </conditionalFormatting>
  <conditionalFormatting sqref="F446">
    <cfRule type="duplicateValues" dxfId="2" priority="3"/>
  </conditionalFormatting>
  <conditionalFormatting sqref="F447">
    <cfRule type="duplicateValues" dxfId="1" priority="2"/>
  </conditionalFormatting>
  <conditionalFormatting sqref="F448">
    <cfRule type="duplicateValues" dxfId="0" priority="1"/>
  </conditionalFormatting>
  <dataValidations disablePrompts="1" count="1">
    <dataValidation type="textLength" allowBlank="1" showErrorMessage="1" errorTitle="Restriction" error="Article Description restricted to 40 Charecters." sqref="B52:B53" xr:uid="{00000000-0002-0000-0000-000000000000}">
      <formula1>1</formula1>
      <formula2>40</formula2>
    </dataValidation>
  </dataValidations>
  <pageMargins left="0.45" right="0.45" top="0.5" bottom="0.5" header="0.3" footer="0.3"/>
  <pageSetup paperSize="9" scale="3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09"/>
  <sheetViews>
    <sheetView zoomScale="124" zoomScaleNormal="124" workbookViewId="0">
      <pane xSplit="2" ySplit="1" topLeftCell="C102" activePane="bottomRight" state="frozen"/>
      <selection activeCell="M59" sqref="M59"/>
      <selection pane="topRight" activeCell="M59" sqref="M59"/>
      <selection pane="bottomLeft" activeCell="M59" sqref="M59"/>
      <selection pane="bottomRight" activeCell="E106" sqref="E106"/>
    </sheetView>
  </sheetViews>
  <sheetFormatPr defaultRowHeight="15" x14ac:dyDescent="0.25"/>
  <cols>
    <col min="1" max="1" width="15" style="158" bestFit="1" customWidth="1"/>
    <col min="2" max="2" width="12.85546875" style="142" bestFit="1" customWidth="1"/>
    <col min="3" max="3" width="11.85546875" style="142" bestFit="1" customWidth="1"/>
    <col min="4" max="4" width="9.7109375" style="142" bestFit="1" customWidth="1"/>
    <col min="5" max="5" width="18.28515625" style="159" customWidth="1"/>
    <col min="6" max="6" width="19.5703125" style="163" customWidth="1"/>
    <col min="7" max="7" width="12" style="160" bestFit="1" customWidth="1"/>
    <col min="8" max="8" width="18.28515625" style="142" bestFit="1" customWidth="1"/>
    <col min="9" max="9" width="15.5703125" style="142" customWidth="1"/>
    <col min="10" max="10" width="15.42578125" style="142" customWidth="1"/>
    <col min="11" max="16384" width="9.140625" style="142"/>
  </cols>
  <sheetData>
    <row r="1" spans="1:37" ht="15.75" x14ac:dyDescent="0.25">
      <c r="A1" s="164" t="s">
        <v>0</v>
      </c>
      <c r="B1" s="145" t="s">
        <v>1</v>
      </c>
      <c r="C1" s="145" t="s">
        <v>2</v>
      </c>
      <c r="D1" s="145" t="s">
        <v>3</v>
      </c>
      <c r="E1" s="146" t="s">
        <v>4</v>
      </c>
      <c r="F1" s="161" t="s">
        <v>5</v>
      </c>
      <c r="G1" s="147" t="s">
        <v>5</v>
      </c>
      <c r="H1" s="148" t="s">
        <v>6</v>
      </c>
    </row>
    <row r="2" spans="1:37" ht="15.75" x14ac:dyDescent="0.25">
      <c r="A2" s="4"/>
      <c r="B2" s="149"/>
      <c r="C2" s="150"/>
      <c r="D2" s="144"/>
      <c r="E2" s="151"/>
      <c r="F2" s="162" t="str">
        <f>IFERROR(VLOOKUP(A2,Lulu!A:F,6,0),"")</f>
        <v/>
      </c>
      <c r="G2" s="177" t="str">
        <f>IFERROR(VLOOKUP(E2,Lulu!E:F,2,0),"")</f>
        <v/>
      </c>
      <c r="H2" s="143">
        <v>60126982</v>
      </c>
      <c r="I2" s="142" t="s">
        <v>443</v>
      </c>
      <c r="K2" s="142" t="s">
        <v>493</v>
      </c>
    </row>
    <row r="3" spans="1:37" ht="15.75" x14ac:dyDescent="0.25">
      <c r="A3" s="4"/>
      <c r="B3" s="149"/>
      <c r="C3" s="150"/>
      <c r="D3" s="144"/>
      <c r="E3" s="151"/>
      <c r="F3" s="162"/>
      <c r="G3" s="177"/>
      <c r="H3" s="143">
        <v>60132102</v>
      </c>
      <c r="I3" s="142" t="s">
        <v>486</v>
      </c>
    </row>
    <row r="4" spans="1:37" ht="15.75" x14ac:dyDescent="0.25">
      <c r="A4" s="4"/>
      <c r="B4" s="149"/>
      <c r="C4" s="150"/>
      <c r="D4" s="144"/>
      <c r="E4" s="151"/>
      <c r="F4" s="162"/>
      <c r="G4" s="177"/>
      <c r="H4" s="143">
        <v>60126459</v>
      </c>
      <c r="I4" s="142" t="s">
        <v>487</v>
      </c>
    </row>
    <row r="5" spans="1:37" ht="15.75" x14ac:dyDescent="0.25">
      <c r="A5" s="4"/>
      <c r="B5" s="149"/>
      <c r="C5" s="150"/>
      <c r="D5" s="144"/>
      <c r="E5" s="151"/>
      <c r="F5" s="162" t="str">
        <f>IFERROR(VLOOKUP(A5,Lulu!A:F,6,0),"")</f>
        <v/>
      </c>
      <c r="G5" s="177" t="s">
        <v>490</v>
      </c>
      <c r="H5" s="143">
        <v>60131290</v>
      </c>
      <c r="I5" s="142" t="s">
        <v>488</v>
      </c>
    </row>
    <row r="6" spans="1:37" ht="15.75" x14ac:dyDescent="0.25">
      <c r="A6" s="4"/>
      <c r="B6" s="149"/>
      <c r="C6" s="150"/>
      <c r="D6" s="144"/>
      <c r="E6" s="151"/>
      <c r="F6" s="162"/>
      <c r="G6" s="177">
        <v>174</v>
      </c>
      <c r="H6" s="143">
        <v>60008648</v>
      </c>
      <c r="I6" s="163" t="s">
        <v>489</v>
      </c>
    </row>
    <row r="7" spans="1:37" ht="15.75" x14ac:dyDescent="0.25">
      <c r="A7"/>
      <c r="B7" s="149"/>
      <c r="C7" s="150"/>
      <c r="D7" s="144"/>
      <c r="E7"/>
      <c r="F7" s="162" t="str">
        <f>IFERROR(VLOOKUP(A7,Lulu!A:F,6,0),"")</f>
        <v/>
      </c>
      <c r="G7" s="177" t="str">
        <f>IFERROR(VLOOKUP(E7,Lulu!E:F,2,0),"")</f>
        <v/>
      </c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</row>
    <row r="8" spans="1:37" ht="15.75" x14ac:dyDescent="0.25">
      <c r="A8"/>
      <c r="B8" s="149"/>
      <c r="C8" s="150"/>
      <c r="D8" s="144"/>
      <c r="E8"/>
      <c r="F8" s="162" t="str">
        <f>IFERROR(VLOOKUP(A8,Lulu!A:F,6,0),"")</f>
        <v/>
      </c>
      <c r="G8" s="177" t="str">
        <f>IFERROR(VLOOKUP(E8,Lulu!E:F,2,0),"")</f>
        <v/>
      </c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</row>
    <row r="9" spans="1:37" ht="15.75" x14ac:dyDescent="0.25">
      <c r="A9"/>
      <c r="B9" s="149"/>
      <c r="C9" s="150"/>
      <c r="D9" s="144"/>
      <c r="E9"/>
      <c r="F9" s="162" t="str">
        <f>IFERROR(VLOOKUP(A9,Lulu!A:F,6,0),"")</f>
        <v/>
      </c>
      <c r="G9" s="177" t="str">
        <f>IFERROR(VLOOKUP(E9,Lulu!E:F,2,0),"")</f>
        <v/>
      </c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</row>
    <row r="10" spans="1:37" ht="15.75" x14ac:dyDescent="0.25">
      <c r="A10"/>
      <c r="B10" s="149"/>
      <c r="C10" s="150"/>
      <c r="D10" s="144"/>
      <c r="E10"/>
      <c r="F10" s="162" t="str">
        <f>IFERROR(VLOOKUP(A10,Lulu!A:F,6,0),"")</f>
        <v/>
      </c>
      <c r="G10" s="177" t="str">
        <f>IFERROR(VLOOKUP(E10,Lulu!E:F,2,0),"")</f>
        <v/>
      </c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</row>
    <row r="11" spans="1:37" ht="15.75" x14ac:dyDescent="0.25">
      <c r="A11"/>
      <c r="B11" s="149"/>
      <c r="C11" s="150"/>
      <c r="D11" s="144"/>
      <c r="E11"/>
      <c r="F11" s="162" t="str">
        <f>IFERROR(VLOOKUP(A11,Lulu!A:F,6,0),"")</f>
        <v/>
      </c>
      <c r="G11" s="177" t="str">
        <f>IFERROR(VLOOKUP(E11,Lulu!E:F,2,0),"")</f>
        <v/>
      </c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</row>
    <row r="12" spans="1:37" ht="15.75" x14ac:dyDescent="0.25">
      <c r="A12"/>
      <c r="B12" s="149"/>
      <c r="C12" s="150"/>
      <c r="D12" s="144"/>
      <c r="E12"/>
      <c r="F12" s="162" t="str">
        <f>IFERROR(VLOOKUP(A12,Lulu!A:F,6,0),"")</f>
        <v/>
      </c>
      <c r="G12" s="177" t="str">
        <f>IFERROR(VLOOKUP(E12,Lulu!E:F,2,0),"")</f>
        <v/>
      </c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</row>
    <row r="13" spans="1:37" ht="15.75" x14ac:dyDescent="0.25">
      <c r="A13"/>
      <c r="B13" s="152"/>
      <c r="C13" s="150"/>
      <c r="D13" s="144"/>
      <c r="E13"/>
      <c r="F13" s="162" t="str">
        <f>IFERROR(VLOOKUP(A13,Lulu!A:F,6,0),"")</f>
        <v/>
      </c>
      <c r="G13" s="177" t="str">
        <f>IFERROR(VLOOKUP(E13,Lulu!E:F,2,0),"")</f>
        <v/>
      </c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</row>
    <row r="14" spans="1:37" ht="15.75" x14ac:dyDescent="0.25">
      <c r="A14"/>
      <c r="B14" s="152"/>
      <c r="C14" s="150"/>
      <c r="D14" s="144"/>
      <c r="E14"/>
      <c r="F14" s="162" t="str">
        <f>IFERROR(VLOOKUP(A14,Lulu!A:F,6,0),"")</f>
        <v/>
      </c>
      <c r="G14" s="177" t="str">
        <f>IFERROR(VLOOKUP(E14,Lulu!E:F,2,0),"")</f>
        <v/>
      </c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</row>
    <row r="15" spans="1:37" ht="15.75" x14ac:dyDescent="0.25">
      <c r="A15"/>
      <c r="B15" s="153"/>
      <c r="C15" s="154"/>
      <c r="D15" s="144"/>
      <c r="E15"/>
      <c r="F15" s="162" t="str">
        <f>IFERROR(VLOOKUP(A15,Lulu!A:F,6,0),"")</f>
        <v/>
      </c>
      <c r="G15" s="177" t="str">
        <f>IFERROR(VLOOKUP(E15,Lulu!E:F,2,0),"")</f>
        <v/>
      </c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</row>
    <row r="16" spans="1:37" ht="15.75" x14ac:dyDescent="0.25">
      <c r="A16"/>
      <c r="B16" s="153"/>
      <c r="C16" s="154"/>
      <c r="D16" s="144"/>
      <c r="E16"/>
      <c r="F16" s="162" t="str">
        <f>IFERROR(VLOOKUP(A16,Lulu!A:F,6,0),"")</f>
        <v/>
      </c>
      <c r="G16" s="177" t="str">
        <f>IFERROR(VLOOKUP(E16,Lulu!E:F,2,0),"")</f>
        <v/>
      </c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</row>
    <row r="17" spans="1:37" ht="15.75" x14ac:dyDescent="0.25">
      <c r="A17"/>
      <c r="B17" s="153"/>
      <c r="C17" s="154"/>
      <c r="D17" s="144"/>
      <c r="E17"/>
      <c r="F17" s="162" t="str">
        <f>IFERROR(VLOOKUP(A17,Lulu!A:F,6,0),"")</f>
        <v/>
      </c>
      <c r="G17" s="177" t="str">
        <f>IFERROR(VLOOKUP(E17,Lulu!E:F,2,0),"")</f>
        <v/>
      </c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</row>
    <row r="18" spans="1:37" ht="15.75" x14ac:dyDescent="0.25">
      <c r="A18"/>
      <c r="B18" s="152"/>
      <c r="C18" s="155"/>
      <c r="D18" s="144"/>
      <c r="E18"/>
      <c r="F18" s="162" t="str">
        <f>IFERROR(VLOOKUP(A18,Lulu!A:F,6,0),"")</f>
        <v/>
      </c>
      <c r="G18" s="177" t="str">
        <f>IFERROR(VLOOKUP(E18,Lulu!E:F,2,0),"")</f>
        <v/>
      </c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</row>
    <row r="19" spans="1:37" ht="15.75" x14ac:dyDescent="0.25">
      <c r="A19"/>
      <c r="B19" s="153"/>
      <c r="C19" s="154"/>
      <c r="D19" s="144"/>
      <c r="E19"/>
      <c r="F19" s="162" t="str">
        <f>IFERROR(VLOOKUP(A19,Lulu!A:F,6,0),"")</f>
        <v/>
      </c>
      <c r="G19" s="177" t="str">
        <f>IFERROR(VLOOKUP(E19,Lulu!E:F,2,0),"")</f>
        <v/>
      </c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</row>
    <row r="20" spans="1:37" ht="15.75" x14ac:dyDescent="0.25">
      <c r="A20"/>
      <c r="B20" s="153"/>
      <c r="C20" s="156"/>
      <c r="D20" s="144"/>
      <c r="E20"/>
      <c r="F20" s="162" t="str">
        <f>IFERROR(VLOOKUP(A20,Lulu!A:F,6,0),"")</f>
        <v/>
      </c>
      <c r="G20" s="177" t="str">
        <f>IFERROR(VLOOKUP(E20,Lulu!E:F,2,0),"")</f>
        <v/>
      </c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</row>
    <row r="21" spans="1:37" ht="15.75" x14ac:dyDescent="0.25">
      <c r="A21"/>
      <c r="B21" s="149"/>
      <c r="C21" s="150"/>
      <c r="D21" s="144"/>
      <c r="E21"/>
      <c r="F21" s="162" t="str">
        <f>IFERROR(VLOOKUP(A21,Lulu!A:F,6,0),"")</f>
        <v/>
      </c>
      <c r="G21" s="177" t="str">
        <f>IFERROR(VLOOKUP(E21,Lulu!E:F,2,0),"")</f>
        <v/>
      </c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</row>
    <row r="22" spans="1:37" ht="15.75" x14ac:dyDescent="0.25">
      <c r="A22"/>
      <c r="B22" s="149"/>
      <c r="C22" s="150"/>
      <c r="D22" s="144"/>
      <c r="E22"/>
      <c r="F22" s="162" t="str">
        <f>IFERROR(VLOOKUP(A22,Lulu!A:F,6,0),"")</f>
        <v/>
      </c>
      <c r="G22" s="177" t="str">
        <f>IFERROR(VLOOKUP(E22,Lulu!E:F,2,0),"")</f>
        <v/>
      </c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</row>
    <row r="23" spans="1:37" ht="15.75" x14ac:dyDescent="0.25">
      <c r="A23"/>
      <c r="B23" s="149"/>
      <c r="C23" s="150"/>
      <c r="D23" s="144"/>
      <c r="E23"/>
      <c r="F23" s="162" t="str">
        <f>IFERROR(VLOOKUP(A23,Lulu!A:F,6,0),"")</f>
        <v/>
      </c>
      <c r="G23" s="177" t="str">
        <f>IFERROR(VLOOKUP(E23,Lulu!E:F,2,0),"")</f>
        <v/>
      </c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</row>
    <row r="24" spans="1:37" ht="15.75" x14ac:dyDescent="0.25">
      <c r="A24"/>
      <c r="B24" s="149"/>
      <c r="C24" s="150"/>
      <c r="D24" s="144"/>
      <c r="E24"/>
      <c r="F24" s="162" t="str">
        <f>IFERROR(VLOOKUP(A24,Lulu!A:F,6,0),"")</f>
        <v/>
      </c>
      <c r="G24" s="177" t="str">
        <f>IFERROR(VLOOKUP(E24,Lulu!E:F,2,0),"")</f>
        <v/>
      </c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</row>
    <row r="25" spans="1:37" ht="15.75" x14ac:dyDescent="0.25">
      <c r="A25"/>
      <c r="B25" s="149"/>
      <c r="C25" s="150"/>
      <c r="D25" s="144"/>
      <c r="E25"/>
      <c r="F25" s="162" t="str">
        <f>IFERROR(VLOOKUP(A25,Lulu!A:F,6,0),"")</f>
        <v/>
      </c>
      <c r="G25" s="177" t="str">
        <f>IFERROR(VLOOKUP(E25,Lulu!E:F,2,0),"")</f>
        <v/>
      </c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</row>
    <row r="26" spans="1:37" ht="15.75" x14ac:dyDescent="0.25">
      <c r="A26"/>
      <c r="B26" s="149"/>
      <c r="C26" s="150"/>
      <c r="D26" s="144"/>
      <c r="E26"/>
      <c r="F26" s="162" t="str">
        <f>IFERROR(VLOOKUP(A26,Lulu!A:F,6,0),"")</f>
        <v/>
      </c>
      <c r="G26" s="177" t="str">
        <f>IFERROR(VLOOKUP(E26,Lulu!E:F,2,0),"")</f>
        <v/>
      </c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</row>
    <row r="27" spans="1:37" ht="15.75" x14ac:dyDescent="0.25">
      <c r="A27"/>
      <c r="B27" s="149"/>
      <c r="C27" s="150"/>
      <c r="D27" s="144"/>
      <c r="E27"/>
      <c r="F27" s="162" t="str">
        <f>IFERROR(VLOOKUP(A27,Lulu!A:F,6,0),"")</f>
        <v/>
      </c>
      <c r="G27" s="177" t="str">
        <f>IFERROR(VLOOKUP(E27,Lulu!E:F,2,0),"")</f>
        <v/>
      </c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</row>
    <row r="28" spans="1:37" ht="15.75" x14ac:dyDescent="0.25">
      <c r="A28"/>
      <c r="B28" s="149"/>
      <c r="C28" s="150"/>
      <c r="D28" s="144"/>
      <c r="E28"/>
      <c r="F28" s="162" t="str">
        <f>IFERROR(VLOOKUP(A28,Lulu!A:F,6,0),"")</f>
        <v/>
      </c>
      <c r="G28" s="177" t="str">
        <f>IFERROR(VLOOKUP(E28,Lulu!E:F,2,0),"")</f>
        <v/>
      </c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</row>
    <row r="29" spans="1:37" ht="15.75" x14ac:dyDescent="0.25">
      <c r="A29"/>
      <c r="B29" s="149"/>
      <c r="C29" s="150"/>
      <c r="D29" s="144"/>
      <c r="E29"/>
      <c r="F29" s="162" t="str">
        <f>IFERROR(VLOOKUP(A29,Lulu!A:F,6,0),"")</f>
        <v/>
      </c>
      <c r="G29" s="177" t="str">
        <f>IFERROR(VLOOKUP(E29,Lulu!E:F,2,0),"")</f>
        <v/>
      </c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</row>
    <row r="30" spans="1:37" ht="15.75" x14ac:dyDescent="0.25">
      <c r="A30"/>
      <c r="B30" s="149"/>
      <c r="C30" s="150"/>
      <c r="D30" s="144"/>
      <c r="E30"/>
      <c r="F30" s="162" t="str">
        <f>IFERROR(VLOOKUP(A30,Lulu!A:F,6,0),"")</f>
        <v/>
      </c>
      <c r="G30" s="177" t="str">
        <f>IFERROR(VLOOKUP(E30,Lulu!E:F,2,0),"")</f>
        <v/>
      </c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</row>
    <row r="31" spans="1:37" ht="15.75" x14ac:dyDescent="0.25">
      <c r="A31"/>
      <c r="B31" s="149"/>
      <c r="C31" s="150"/>
      <c r="D31" s="144"/>
      <c r="E31"/>
      <c r="F31" s="162" t="str">
        <f>IFERROR(VLOOKUP(A31,Lulu!A:F,6,0),"")</f>
        <v/>
      </c>
      <c r="G31" s="177" t="str">
        <f>IFERROR(VLOOKUP(E31,Lulu!E:F,2,0),"")</f>
        <v/>
      </c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</row>
    <row r="32" spans="1:37" ht="15.75" x14ac:dyDescent="0.25">
      <c r="A32"/>
      <c r="B32" s="149"/>
      <c r="C32" s="150"/>
      <c r="D32" s="144"/>
      <c r="E32"/>
      <c r="F32" s="162" t="str">
        <f>IFERROR(VLOOKUP(A32,Lulu!A:F,6,0),"")</f>
        <v/>
      </c>
      <c r="G32" s="177" t="str">
        <f>IFERROR(VLOOKUP(E32,Lulu!E:F,2,0),"")</f>
        <v/>
      </c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</row>
    <row r="33" spans="1:37" ht="15.75" x14ac:dyDescent="0.25">
      <c r="A33"/>
      <c r="B33" s="149"/>
      <c r="C33" s="150"/>
      <c r="D33" s="144"/>
      <c r="E33"/>
      <c r="F33" s="162" t="str">
        <f>IFERROR(VLOOKUP(A33,Lulu!A:F,6,0),"")</f>
        <v/>
      </c>
      <c r="G33" s="177" t="str">
        <f>IFERROR(VLOOKUP(E33,Lulu!E:F,2,0),"")</f>
        <v/>
      </c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</row>
    <row r="34" spans="1:37" ht="15.75" x14ac:dyDescent="0.25">
      <c r="A34"/>
      <c r="B34" s="149"/>
      <c r="C34" s="150"/>
      <c r="D34" s="144"/>
      <c r="E34"/>
      <c r="F34" s="162" t="str">
        <f>IFERROR(VLOOKUP(A34,Lulu!A:F,6,0),"")</f>
        <v/>
      </c>
      <c r="G34" s="177" t="str">
        <f>IFERROR(VLOOKUP(E34,Lulu!E:F,2,0),"")</f>
        <v/>
      </c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</row>
    <row r="35" spans="1:37" ht="15.75" x14ac:dyDescent="0.25">
      <c r="A35"/>
      <c r="B35" s="149"/>
      <c r="C35" s="150"/>
      <c r="D35" s="144"/>
      <c r="E35"/>
      <c r="F35" s="162" t="str">
        <f>IFERROR(VLOOKUP(A35,Lulu!A:F,6,0),"")</f>
        <v/>
      </c>
      <c r="G35" s="177" t="str">
        <f>IFERROR(VLOOKUP(E35,Lulu!E:F,2,0),"")</f>
        <v/>
      </c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</row>
    <row r="36" spans="1:37" ht="15.75" x14ac:dyDescent="0.25">
      <c r="A36"/>
      <c r="B36" s="149"/>
      <c r="C36" s="150"/>
      <c r="D36" s="144"/>
      <c r="E36"/>
      <c r="F36" s="162" t="str">
        <f>IFERROR(VLOOKUP(A36,Lulu!A:F,6,0),"")</f>
        <v/>
      </c>
      <c r="G36" s="177" t="str">
        <f>IFERROR(VLOOKUP(E36,Lulu!E:F,2,0),"")</f>
        <v/>
      </c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</row>
    <row r="37" spans="1:37" ht="15.75" x14ac:dyDescent="0.25">
      <c r="A37"/>
      <c r="B37" s="149"/>
      <c r="C37" s="150"/>
      <c r="D37" s="144"/>
      <c r="E37"/>
      <c r="F37" s="162" t="str">
        <f>IFERROR(VLOOKUP(A37,Lulu!A:F,6,0),"")</f>
        <v/>
      </c>
      <c r="G37" s="177" t="str">
        <f>IFERROR(VLOOKUP(E37,Lulu!E:F,2,0),"")</f>
        <v/>
      </c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</row>
    <row r="38" spans="1:37" ht="15.75" x14ac:dyDescent="0.25">
      <c r="A38"/>
      <c r="B38" s="149"/>
      <c r="C38" s="150"/>
      <c r="D38" s="144"/>
      <c r="E38"/>
      <c r="F38" s="162" t="str">
        <f>IFERROR(VLOOKUP(A38,Lulu!A:F,6,0),"")</f>
        <v/>
      </c>
      <c r="G38" s="177" t="str">
        <f>IFERROR(VLOOKUP(E38,Lulu!E:F,2,0),"")</f>
        <v/>
      </c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</row>
    <row r="39" spans="1:37" ht="15.75" x14ac:dyDescent="0.25">
      <c r="A39"/>
      <c r="B39" s="149"/>
      <c r="C39" s="150"/>
      <c r="D39" s="144"/>
      <c r="E39"/>
      <c r="F39" s="162" t="str">
        <f>IFERROR(VLOOKUP(A39,Lulu!A:F,6,0),"")</f>
        <v/>
      </c>
      <c r="G39" s="177" t="str">
        <f>IFERROR(VLOOKUP(E39,Lulu!E:F,2,0),"")</f>
        <v/>
      </c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</row>
    <row r="40" spans="1:37" ht="15.75" x14ac:dyDescent="0.25">
      <c r="A40"/>
      <c r="B40" s="149"/>
      <c r="C40" s="150"/>
      <c r="D40" s="144"/>
      <c r="E40"/>
      <c r="F40" s="162" t="str">
        <f>IFERROR(VLOOKUP(A40,Lulu!A:F,6,0),"")</f>
        <v/>
      </c>
      <c r="G40" s="177" t="str">
        <f>IFERROR(VLOOKUP(E40,Lulu!E:F,2,0),"")</f>
        <v/>
      </c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</row>
    <row r="41" spans="1:37" ht="15.75" x14ac:dyDescent="0.25">
      <c r="A41"/>
      <c r="B41" s="149"/>
      <c r="C41" s="150"/>
      <c r="D41" s="144"/>
      <c r="E41"/>
      <c r="F41" s="162" t="str">
        <f>IFERROR(VLOOKUP(A41,Lulu!A:F,6,0),"")</f>
        <v/>
      </c>
      <c r="G41" s="177" t="str">
        <f>IFERROR(VLOOKUP(E41,Lulu!E:F,2,0),"")</f>
        <v/>
      </c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</row>
    <row r="42" spans="1:37" ht="15.75" x14ac:dyDescent="0.25">
      <c r="A42"/>
      <c r="B42" s="149"/>
      <c r="C42" s="150"/>
      <c r="D42" s="144"/>
      <c r="E42"/>
      <c r="F42" s="162" t="str">
        <f>IFERROR(VLOOKUP(A42,Lulu!A:F,6,0),"")</f>
        <v/>
      </c>
      <c r="G42" s="177" t="str">
        <f>IFERROR(VLOOKUP(E42,Lulu!E:F,2,0),"")</f>
        <v/>
      </c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</row>
    <row r="43" spans="1:37" ht="15.75" x14ac:dyDescent="0.25">
      <c r="A43"/>
      <c r="B43" s="149"/>
      <c r="C43" s="150"/>
      <c r="D43" s="144"/>
      <c r="E43"/>
      <c r="F43" s="162" t="str">
        <f>IFERROR(VLOOKUP(A43,Lulu!A:F,6,0),"")</f>
        <v/>
      </c>
      <c r="G43" s="177" t="str">
        <f>IFERROR(VLOOKUP(E43,Lulu!E:F,2,0),"")</f>
        <v/>
      </c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</row>
    <row r="44" spans="1:37" ht="15.75" x14ac:dyDescent="0.25">
      <c r="A44"/>
      <c r="B44" s="149"/>
      <c r="C44" s="150"/>
      <c r="D44" s="144"/>
      <c r="E44"/>
      <c r="F44" s="162" t="str">
        <f>IFERROR(VLOOKUP(A44,Lulu!A:F,6,0),"")</f>
        <v/>
      </c>
      <c r="G44" s="177" t="str">
        <f>IFERROR(VLOOKUP(E44,Lulu!E:F,2,0),"")</f>
        <v/>
      </c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</row>
    <row r="45" spans="1:37" ht="15.75" x14ac:dyDescent="0.25">
      <c r="A45"/>
      <c r="B45" s="149"/>
      <c r="C45" s="150"/>
      <c r="D45" s="144"/>
      <c r="E45"/>
      <c r="F45" s="162" t="str">
        <f>IFERROR(VLOOKUP(A45,Lulu!A:F,6,0),"")</f>
        <v/>
      </c>
      <c r="G45" s="177" t="str">
        <f>IFERROR(VLOOKUP(E45,Lulu!E:F,2,0),"")</f>
        <v/>
      </c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</row>
    <row r="46" spans="1:37" ht="15.75" x14ac:dyDescent="0.25">
      <c r="A46"/>
      <c r="B46" s="149"/>
      <c r="C46" s="150"/>
      <c r="D46" s="144"/>
      <c r="E46"/>
      <c r="F46" s="162" t="str">
        <f>IFERROR(VLOOKUP(A46,Lulu!A:F,6,0),"")</f>
        <v/>
      </c>
      <c r="G46" s="177" t="str">
        <f>IFERROR(VLOOKUP(E46,Lulu!E:F,2,0),"")</f>
        <v/>
      </c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</row>
    <row r="47" spans="1:37" ht="15.75" x14ac:dyDescent="0.25">
      <c r="A47"/>
      <c r="B47" s="149"/>
      <c r="C47" s="150"/>
      <c r="D47" s="144"/>
      <c r="E47"/>
      <c r="F47" s="162" t="str">
        <f>IFERROR(VLOOKUP(A47,Lulu!A:F,6,0),"")</f>
        <v/>
      </c>
      <c r="G47" s="177" t="str">
        <f>IFERROR(VLOOKUP(E47,Lulu!E:F,2,0),"")</f>
        <v/>
      </c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</row>
    <row r="48" spans="1:37" ht="15.75" x14ac:dyDescent="0.25">
      <c r="A48"/>
      <c r="B48" s="149"/>
      <c r="C48" s="150"/>
      <c r="D48" s="144"/>
      <c r="E48"/>
      <c r="F48" s="162" t="str">
        <f>IFERROR(VLOOKUP(A48,Lulu!A:F,6,0),"")</f>
        <v/>
      </c>
      <c r="G48" s="177" t="str">
        <f>IFERROR(VLOOKUP(E48,Lulu!E:F,2,0),"")</f>
        <v/>
      </c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</row>
    <row r="49" spans="1:37" ht="15.75" x14ac:dyDescent="0.25">
      <c r="A49"/>
      <c r="B49" s="149"/>
      <c r="C49" s="150"/>
      <c r="D49" s="144"/>
      <c r="E49"/>
      <c r="F49" s="162" t="str">
        <f>IFERROR(VLOOKUP(A49,Lulu!A:F,6,0),"")</f>
        <v/>
      </c>
      <c r="G49" s="177" t="str">
        <f>IFERROR(VLOOKUP(E49,Lulu!E:F,2,0),"")</f>
        <v/>
      </c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</row>
    <row r="50" spans="1:37" ht="15.75" x14ac:dyDescent="0.25">
      <c r="A50"/>
      <c r="B50" s="149"/>
      <c r="C50" s="150"/>
      <c r="D50" s="144"/>
      <c r="E50"/>
      <c r="F50" s="162" t="str">
        <f>IFERROR(VLOOKUP(A50,Lulu!A:F,6,0),"")</f>
        <v/>
      </c>
      <c r="G50" s="177" t="str">
        <f>IFERROR(VLOOKUP(E50,Lulu!E:F,2,0),"")</f>
        <v/>
      </c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</row>
    <row r="51" spans="1:37" ht="15.75" x14ac:dyDescent="0.25">
      <c r="A51"/>
      <c r="B51" s="149"/>
      <c r="C51" s="150"/>
      <c r="D51" s="144"/>
      <c r="E51"/>
      <c r="F51" s="162" t="str">
        <f>IFERROR(VLOOKUP(A51,Lulu!A:F,6,0),"")</f>
        <v/>
      </c>
      <c r="G51" s="177" t="str">
        <f>IFERROR(VLOOKUP(E51,Lulu!E:F,2,0),"")</f>
        <v/>
      </c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</row>
    <row r="52" spans="1:37" ht="15.75" x14ac:dyDescent="0.25">
      <c r="A52"/>
      <c r="B52" s="149"/>
      <c r="C52" s="150"/>
      <c r="D52" s="144"/>
      <c r="E52"/>
      <c r="F52" s="162" t="str">
        <f>IFERROR(VLOOKUP(A52,Lulu!A:F,6,0),"")</f>
        <v/>
      </c>
      <c r="G52" s="177" t="str">
        <f>IFERROR(VLOOKUP(E52,Lulu!E:F,2,0),"")</f>
        <v/>
      </c>
      <c r="H52" s="143"/>
      <c r="I52" s="143"/>
      <c r="J52" s="143"/>
    </row>
    <row r="53" spans="1:37" ht="15.75" x14ac:dyDescent="0.25">
      <c r="A53"/>
      <c r="B53" s="149"/>
      <c r="C53" s="150"/>
      <c r="D53" s="144"/>
      <c r="E53"/>
      <c r="F53" s="162" t="str">
        <f>IFERROR(VLOOKUP(A53,Lulu!A:F,6,0),"")</f>
        <v/>
      </c>
      <c r="G53" s="177" t="str">
        <f>IFERROR(VLOOKUP(E53,Lulu!E:F,2,0),"")</f>
        <v/>
      </c>
      <c r="H53" s="143"/>
      <c r="I53" s="143"/>
      <c r="J53" s="143"/>
    </row>
    <row r="54" spans="1:37" ht="15.75" x14ac:dyDescent="0.25">
      <c r="A54"/>
      <c r="B54" s="149"/>
      <c r="C54" s="150"/>
      <c r="D54" s="144"/>
      <c r="E54"/>
      <c r="F54" s="162" t="str">
        <f>IFERROR(VLOOKUP(A54,Lulu!A:F,6,0),"")</f>
        <v/>
      </c>
      <c r="G54" s="177" t="str">
        <f>IFERROR(VLOOKUP(E54,Lulu!E:F,2,0),"")</f>
        <v/>
      </c>
      <c r="H54" s="143"/>
      <c r="I54" s="143"/>
      <c r="J54" s="143"/>
    </row>
    <row r="55" spans="1:37" ht="15.75" x14ac:dyDescent="0.25">
      <c r="A55"/>
      <c r="B55" s="149"/>
      <c r="C55" s="150"/>
      <c r="D55" s="144"/>
      <c r="E55"/>
      <c r="F55" s="162" t="str">
        <f>IFERROR(VLOOKUP(A55,Lulu!A:F,6,0),"")</f>
        <v/>
      </c>
      <c r="G55" s="177" t="str">
        <f>IFERROR(VLOOKUP(E55,Lulu!E:F,2,0),"")</f>
        <v/>
      </c>
      <c r="H55" s="143"/>
      <c r="I55" s="143"/>
      <c r="J55" s="143"/>
    </row>
    <row r="56" spans="1:37" ht="15.75" x14ac:dyDescent="0.25">
      <c r="A56"/>
      <c r="B56" s="149"/>
      <c r="C56" s="150"/>
      <c r="D56" s="144"/>
      <c r="E56"/>
      <c r="F56" s="162" t="str">
        <f>IFERROR(VLOOKUP(A56,Lulu!A:F,6,0),"")</f>
        <v/>
      </c>
      <c r="G56" s="177" t="str">
        <f>IFERROR(VLOOKUP(E56,Lulu!E:F,2,0),"")</f>
        <v/>
      </c>
      <c r="H56" s="143"/>
      <c r="I56" s="143"/>
      <c r="J56" s="143"/>
    </row>
    <row r="57" spans="1:37" ht="15.75" x14ac:dyDescent="0.25">
      <c r="A57"/>
      <c r="B57" s="149"/>
      <c r="C57" s="150"/>
      <c r="D57" s="144"/>
      <c r="E57"/>
      <c r="F57" s="162" t="str">
        <f>IFERROR(VLOOKUP(A57,Lulu!A:F,6,0),"")</f>
        <v/>
      </c>
      <c r="G57" s="177" t="str">
        <f>IFERROR(VLOOKUP(E57,Lulu!E:F,2,0),"")</f>
        <v/>
      </c>
      <c r="H57" s="143"/>
      <c r="I57" s="143"/>
      <c r="J57" s="143"/>
    </row>
    <row r="58" spans="1:37" ht="15.75" x14ac:dyDescent="0.25">
      <c r="A58"/>
      <c r="B58" s="149"/>
      <c r="C58" s="150"/>
      <c r="D58" s="144"/>
      <c r="E58"/>
      <c r="F58" s="162" t="str">
        <f>IFERROR(VLOOKUP(A58,Lulu!A:F,6,0),"")</f>
        <v/>
      </c>
      <c r="G58" s="177" t="str">
        <f>IFERROR(VLOOKUP(E58,Lulu!E:F,2,0),"")</f>
        <v/>
      </c>
      <c r="H58" s="143"/>
      <c r="I58" s="143"/>
      <c r="J58" s="143"/>
    </row>
    <row r="59" spans="1:37" ht="15.75" x14ac:dyDescent="0.25">
      <c r="A59"/>
      <c r="B59" s="149"/>
      <c r="C59" s="150"/>
      <c r="D59" s="144"/>
      <c r="E59"/>
      <c r="F59" s="162" t="str">
        <f>IFERROR(VLOOKUP(A59,Lulu!A:F,6,0),"")</f>
        <v/>
      </c>
      <c r="G59" s="177" t="str">
        <f>IFERROR(VLOOKUP(E59,Lulu!E:F,2,0),"")</f>
        <v/>
      </c>
      <c r="H59" s="143"/>
      <c r="I59" s="143"/>
      <c r="J59" s="143"/>
    </row>
    <row r="60" spans="1:37" ht="15.75" x14ac:dyDescent="0.25">
      <c r="A60"/>
      <c r="B60" s="149"/>
      <c r="C60" s="150"/>
      <c r="D60" s="144"/>
      <c r="E60"/>
      <c r="F60" s="162" t="str">
        <f>IFERROR(VLOOKUP(A60,Lulu!A:F,6,0),"")</f>
        <v/>
      </c>
      <c r="G60" s="177" t="str">
        <f>IFERROR(VLOOKUP(E60,Lulu!E:F,2,0),"")</f>
        <v/>
      </c>
      <c r="H60" s="143"/>
      <c r="I60" s="143"/>
      <c r="J60" s="143"/>
    </row>
    <row r="61" spans="1:37" ht="15.75" x14ac:dyDescent="0.25">
      <c r="A61"/>
      <c r="B61" s="149"/>
      <c r="C61" s="150"/>
      <c r="D61" s="144"/>
      <c r="E61"/>
      <c r="F61" s="162" t="str">
        <f>IFERROR(VLOOKUP(A61,Lulu!A:F,6,0),"")</f>
        <v/>
      </c>
      <c r="G61" s="177" t="str">
        <f>IFERROR(VLOOKUP(E61,Lulu!E:F,2,0),"")</f>
        <v/>
      </c>
      <c r="H61" s="143"/>
      <c r="I61" s="143"/>
      <c r="J61" s="143"/>
    </row>
    <row r="62" spans="1:37" ht="15.75" x14ac:dyDescent="0.25">
      <c r="A62"/>
      <c r="B62" s="149"/>
      <c r="C62" s="150"/>
      <c r="D62" s="144"/>
      <c r="E62"/>
      <c r="F62" s="162" t="str">
        <f>IFERROR(VLOOKUP(A62,Lulu!A:F,6,0),"")</f>
        <v/>
      </c>
      <c r="G62" s="177" t="str">
        <f>IFERROR(VLOOKUP(E62,Lulu!E:F,2,0),"")</f>
        <v/>
      </c>
      <c r="H62" s="143"/>
      <c r="I62" s="143"/>
      <c r="J62" s="143"/>
    </row>
    <row r="63" spans="1:37" ht="15.75" x14ac:dyDescent="0.25">
      <c r="A63"/>
      <c r="B63" s="149"/>
      <c r="C63" s="150"/>
      <c r="D63" s="144"/>
      <c r="E63"/>
      <c r="F63" s="162" t="str">
        <f>IFERROR(VLOOKUP(A63,Lulu!A:F,6,0),"")</f>
        <v/>
      </c>
      <c r="G63" s="177" t="str">
        <f>IFERROR(VLOOKUP(E63,Lulu!E:F,2,0),"")</f>
        <v/>
      </c>
      <c r="H63" s="143"/>
      <c r="I63" s="143"/>
      <c r="J63" s="143"/>
    </row>
    <row r="64" spans="1:37" ht="15.75" x14ac:dyDescent="0.25">
      <c r="A64"/>
      <c r="B64" s="149"/>
      <c r="C64" s="150"/>
      <c r="D64" s="144"/>
      <c r="E64"/>
      <c r="F64" s="162" t="str">
        <f>IFERROR(VLOOKUP(A64,Lulu!A:F,6,0),"")</f>
        <v/>
      </c>
      <c r="G64" s="177" t="str">
        <f>IFERROR(VLOOKUP(E64,Lulu!E:F,2,0),"")</f>
        <v/>
      </c>
      <c r="H64" s="143"/>
      <c r="I64" s="143"/>
      <c r="J64" s="143"/>
    </row>
    <row r="65" spans="1:10" ht="15.75" x14ac:dyDescent="0.25">
      <c r="A65"/>
      <c r="B65" s="149"/>
      <c r="C65" s="150"/>
      <c r="D65" s="144"/>
      <c r="E65"/>
      <c r="F65" s="162" t="str">
        <f>IFERROR(VLOOKUP(A65,Lulu!A:F,6,0),"")</f>
        <v/>
      </c>
      <c r="G65" s="177" t="str">
        <f>IFERROR(VLOOKUP(E65,Lulu!E:F,2,0),"")</f>
        <v/>
      </c>
      <c r="H65" s="143"/>
      <c r="I65" s="143"/>
      <c r="J65" s="143"/>
    </row>
    <row r="66" spans="1:10" ht="15.75" x14ac:dyDescent="0.25">
      <c r="A66"/>
      <c r="B66" s="149"/>
      <c r="C66" s="150"/>
      <c r="D66" s="144"/>
      <c r="E66"/>
      <c r="F66" s="162" t="str">
        <f>IFERROR(VLOOKUP(A66,Lulu!A:F,6,0),"")</f>
        <v/>
      </c>
      <c r="G66" s="177" t="str">
        <f>IFERROR(VLOOKUP(E66,Lulu!E:F,2,0),"")</f>
        <v/>
      </c>
      <c r="H66" s="143"/>
      <c r="I66" s="143"/>
      <c r="J66" s="143"/>
    </row>
    <row r="67" spans="1:10" ht="15.75" x14ac:dyDescent="0.25">
      <c r="A67"/>
      <c r="B67" s="149"/>
      <c r="C67" s="150"/>
      <c r="D67" s="144"/>
      <c r="E67"/>
      <c r="F67" s="162" t="str">
        <f>IFERROR(VLOOKUP(A67,Lulu!A:F,6,0),"")</f>
        <v/>
      </c>
      <c r="G67" s="177" t="str">
        <f>IFERROR(VLOOKUP(E67,Lulu!E:F,2,0),"")</f>
        <v/>
      </c>
      <c r="H67" s="143"/>
      <c r="I67" s="143"/>
      <c r="J67" s="143"/>
    </row>
    <row r="68" spans="1:10" ht="15.75" x14ac:dyDescent="0.25">
      <c r="A68"/>
      <c r="B68" s="149"/>
      <c r="C68" s="150"/>
      <c r="D68" s="144"/>
      <c r="E68"/>
      <c r="F68" s="162" t="str">
        <f>IFERROR(VLOOKUP(A68,Lulu!A:F,6,0),"")</f>
        <v/>
      </c>
      <c r="G68" s="177" t="str">
        <f>IFERROR(VLOOKUP(E68,Lulu!E:F,2,0),"")</f>
        <v/>
      </c>
      <c r="H68" s="143"/>
      <c r="I68" s="143"/>
      <c r="J68" s="143"/>
    </row>
    <row r="69" spans="1:10" ht="15.75" x14ac:dyDescent="0.25">
      <c r="A69"/>
      <c r="B69" s="149"/>
      <c r="C69" s="150"/>
      <c r="D69" s="144"/>
      <c r="E69"/>
      <c r="F69" s="162" t="str">
        <f>IFERROR(VLOOKUP(A69,Lulu!A:F,6,0),"")</f>
        <v/>
      </c>
      <c r="G69" s="177" t="str">
        <f>IFERROR(VLOOKUP(E69,Lulu!E:F,2,0),"")</f>
        <v/>
      </c>
      <c r="H69" s="143"/>
      <c r="I69" s="143"/>
      <c r="J69" s="143"/>
    </row>
    <row r="70" spans="1:10" ht="15.75" x14ac:dyDescent="0.25">
      <c r="A70"/>
      <c r="B70" s="149"/>
      <c r="C70" s="150"/>
      <c r="D70" s="144"/>
      <c r="E70"/>
      <c r="F70" s="162" t="str">
        <f>IFERROR(VLOOKUP(A70,Lulu!A:F,6,0),"")</f>
        <v/>
      </c>
      <c r="G70" s="177" t="str">
        <f>IFERROR(VLOOKUP(E70,Lulu!E:F,2,0),"")</f>
        <v/>
      </c>
      <c r="H70" s="143"/>
      <c r="I70" s="143"/>
      <c r="J70" s="143"/>
    </row>
    <row r="71" spans="1:10" ht="15.75" x14ac:dyDescent="0.25">
      <c r="A71"/>
      <c r="B71" s="149"/>
      <c r="C71" s="150"/>
      <c r="D71" s="144"/>
      <c r="E71"/>
      <c r="F71" s="162" t="str">
        <f>IFERROR(VLOOKUP(A71,Lulu!A:F,6,0),"")</f>
        <v/>
      </c>
      <c r="G71" s="177" t="str">
        <f>IFERROR(VLOOKUP(E71,Lulu!E:F,2,0),"")</f>
        <v/>
      </c>
      <c r="H71" s="143"/>
      <c r="I71" s="143"/>
      <c r="J71" s="143"/>
    </row>
    <row r="72" spans="1:10" ht="15.75" x14ac:dyDescent="0.25">
      <c r="A72"/>
      <c r="B72" s="149"/>
      <c r="C72" s="150"/>
      <c r="D72" s="144"/>
      <c r="E72"/>
      <c r="F72" s="162" t="str">
        <f>IFERROR(VLOOKUP(A72,Lulu!A:F,6,0),"")</f>
        <v/>
      </c>
      <c r="G72" s="177" t="str">
        <f>IFERROR(VLOOKUP(E72,Lulu!E:F,2,0),"")</f>
        <v/>
      </c>
      <c r="H72" s="143"/>
      <c r="I72" s="143"/>
      <c r="J72" s="143"/>
    </row>
    <row r="73" spans="1:10" ht="15.75" x14ac:dyDescent="0.25">
      <c r="A73"/>
      <c r="B73" s="149"/>
      <c r="C73" s="150"/>
      <c r="D73" s="144"/>
      <c r="E73"/>
      <c r="F73" s="162" t="str">
        <f>IFERROR(VLOOKUP(A73,Lulu!A:F,6,0),"")</f>
        <v/>
      </c>
      <c r="G73" s="177" t="str">
        <f>IFERROR(VLOOKUP(E73,Lulu!E:F,2,0),"")</f>
        <v/>
      </c>
      <c r="H73" s="143"/>
      <c r="I73" s="143"/>
      <c r="J73" s="143"/>
    </row>
    <row r="74" spans="1:10" ht="15.75" x14ac:dyDescent="0.25">
      <c r="A74"/>
      <c r="B74" s="149"/>
      <c r="C74" s="150"/>
      <c r="D74" s="144"/>
      <c r="E74"/>
      <c r="F74" s="162" t="str">
        <f>IFERROR(VLOOKUP(A74,Lulu!A:F,6,0),"")</f>
        <v/>
      </c>
      <c r="G74" s="177" t="str">
        <f>IFERROR(VLOOKUP(E74,Lulu!E:F,2,0),"")</f>
        <v/>
      </c>
      <c r="H74" s="143"/>
      <c r="I74" s="143"/>
      <c r="J74" s="143"/>
    </row>
    <row r="75" spans="1:10" ht="15.75" x14ac:dyDescent="0.25">
      <c r="A75"/>
      <c r="B75" s="149"/>
      <c r="C75" s="150"/>
      <c r="D75" s="144"/>
      <c r="E75"/>
      <c r="F75" s="162" t="str">
        <f>IFERROR(VLOOKUP(A75,Lulu!A:F,6,0),"")</f>
        <v/>
      </c>
      <c r="G75" s="177" t="str">
        <f>IFERROR(VLOOKUP(E75,Lulu!E:F,2,0),"")</f>
        <v/>
      </c>
      <c r="H75" s="143"/>
      <c r="I75" s="143"/>
      <c r="J75" s="143"/>
    </row>
    <row r="76" spans="1:10" ht="15.75" x14ac:dyDescent="0.25">
      <c r="A76"/>
      <c r="B76" s="149"/>
      <c r="C76" s="150"/>
      <c r="D76" s="144"/>
      <c r="E76"/>
      <c r="F76" s="162" t="str">
        <f>IFERROR(VLOOKUP(A76,Lulu!A:F,6,0),"")</f>
        <v/>
      </c>
      <c r="G76" s="177" t="str">
        <f>IFERROR(VLOOKUP(E76,Lulu!E:F,2,0),"")</f>
        <v/>
      </c>
      <c r="H76" s="143"/>
      <c r="I76" s="143"/>
      <c r="J76" s="143"/>
    </row>
    <row r="77" spans="1:10" ht="15.75" x14ac:dyDescent="0.25">
      <c r="A77"/>
      <c r="B77" s="149"/>
      <c r="C77" s="150"/>
      <c r="D77" s="144"/>
      <c r="E77"/>
      <c r="F77" s="162" t="str">
        <f>IFERROR(VLOOKUP(A77,Lulu!A:F,6,0),"")</f>
        <v/>
      </c>
      <c r="G77" s="177" t="str">
        <f>IFERROR(VLOOKUP(E77,Lulu!E:F,2,0),"")</f>
        <v/>
      </c>
      <c r="H77" s="143"/>
      <c r="I77" s="143"/>
      <c r="J77" s="143"/>
    </row>
    <row r="78" spans="1:10" ht="15.75" x14ac:dyDescent="0.25">
      <c r="A78"/>
      <c r="B78" s="149"/>
      <c r="C78" s="150"/>
      <c r="D78" s="144"/>
      <c r="E78"/>
      <c r="F78" s="162" t="str">
        <f>IFERROR(VLOOKUP(A78,Lulu!A:F,6,0),"")</f>
        <v/>
      </c>
      <c r="G78" s="177" t="str">
        <f>IFERROR(VLOOKUP(E78,Lulu!E:F,2,0),"")</f>
        <v/>
      </c>
      <c r="H78" s="143"/>
      <c r="I78" s="143"/>
      <c r="J78" s="143"/>
    </row>
    <row r="79" spans="1:10" ht="15.75" x14ac:dyDescent="0.25">
      <c r="A79"/>
      <c r="B79" s="149"/>
      <c r="C79" s="150"/>
      <c r="D79" s="144"/>
      <c r="E79"/>
      <c r="F79" s="162" t="str">
        <f>IFERROR(VLOOKUP(A79,Lulu!A:F,6,0),"")</f>
        <v/>
      </c>
      <c r="G79" s="177" t="str">
        <f>IFERROR(VLOOKUP(E79,Lulu!E:F,2,0),"")</f>
        <v/>
      </c>
      <c r="H79" s="143"/>
      <c r="I79" s="143"/>
      <c r="J79" s="143"/>
    </row>
    <row r="80" spans="1:10" ht="15.75" x14ac:dyDescent="0.25">
      <c r="A80"/>
      <c r="B80" s="149"/>
      <c r="C80" s="150"/>
      <c r="D80" s="144"/>
      <c r="E80"/>
      <c r="F80" s="162" t="str">
        <f>IFERROR(VLOOKUP(A80,Lulu!A:F,6,0),"")</f>
        <v/>
      </c>
      <c r="G80" s="177" t="str">
        <f>IFERROR(VLOOKUP(E80,Lulu!E:F,2,0),"")</f>
        <v/>
      </c>
      <c r="H80" s="143"/>
      <c r="I80" s="143"/>
      <c r="J80" s="143"/>
    </row>
    <row r="81" spans="1:10" ht="15.75" x14ac:dyDescent="0.25">
      <c r="A81"/>
      <c r="B81" s="149"/>
      <c r="C81" s="150"/>
      <c r="D81" s="144"/>
      <c r="E81"/>
      <c r="F81" s="162" t="str">
        <f>IFERROR(VLOOKUP(A81,Lulu!A:F,6,0),"")</f>
        <v/>
      </c>
      <c r="G81" s="177" t="str">
        <f>IFERROR(VLOOKUP(E81,Lulu!E:F,2,0),"")</f>
        <v/>
      </c>
      <c r="H81" s="143"/>
      <c r="I81" s="143"/>
      <c r="J81" s="143"/>
    </row>
    <row r="82" spans="1:10" ht="15.75" x14ac:dyDescent="0.25">
      <c r="A82"/>
      <c r="B82" s="149"/>
      <c r="C82" s="150"/>
      <c r="D82" s="144"/>
      <c r="E82"/>
      <c r="F82" s="162" t="str">
        <f>IFERROR(VLOOKUP(A82,Lulu!A:F,6,0),"")</f>
        <v/>
      </c>
      <c r="G82" s="177" t="str">
        <f>IFERROR(VLOOKUP(E82,Lulu!E:F,2,0),"")</f>
        <v/>
      </c>
      <c r="H82" s="143"/>
      <c r="I82" s="143"/>
      <c r="J82" s="143"/>
    </row>
    <row r="83" spans="1:10" ht="15.75" x14ac:dyDescent="0.25">
      <c r="A83"/>
      <c r="B83" s="149"/>
      <c r="C83" s="150"/>
      <c r="D83" s="144"/>
      <c r="E83"/>
      <c r="F83" s="162" t="str">
        <f>IFERROR(VLOOKUP(A83,Lulu!A:F,6,0),"")</f>
        <v/>
      </c>
      <c r="G83" s="177" t="str">
        <f>IFERROR(VLOOKUP(E83,Lulu!E:F,2,0),"")</f>
        <v/>
      </c>
      <c r="H83" s="143"/>
      <c r="I83" s="143"/>
      <c r="J83" s="143"/>
    </row>
    <row r="84" spans="1:10" ht="15.75" x14ac:dyDescent="0.25">
      <c r="A84"/>
      <c r="B84" s="149"/>
      <c r="C84" s="150"/>
      <c r="D84" s="144"/>
      <c r="E84"/>
      <c r="F84" s="162" t="str">
        <f>IFERROR(VLOOKUP(A84,Lulu!A:F,6,0),"")</f>
        <v/>
      </c>
      <c r="G84" s="177" t="str">
        <f>IFERROR(VLOOKUP(E84,Lulu!E:F,2,0),"")</f>
        <v/>
      </c>
      <c r="H84" s="143"/>
      <c r="I84" s="143"/>
      <c r="J84" s="143"/>
    </row>
    <row r="85" spans="1:10" ht="15.75" x14ac:dyDescent="0.25">
      <c r="A85"/>
      <c r="B85" s="149"/>
      <c r="C85" s="150"/>
      <c r="D85" s="144"/>
      <c r="E85"/>
      <c r="F85" s="162" t="str">
        <f>IFERROR(VLOOKUP(A85,Lulu!A:F,6,0),"")</f>
        <v/>
      </c>
      <c r="G85" s="177" t="str">
        <f>IFERROR(VLOOKUP(E85,Lulu!E:F,2,0),"")</f>
        <v/>
      </c>
      <c r="H85" s="143"/>
      <c r="I85" s="143"/>
      <c r="J85" s="143"/>
    </row>
    <row r="86" spans="1:10" ht="15.75" x14ac:dyDescent="0.25">
      <c r="A86"/>
      <c r="B86" s="149"/>
      <c r="C86" s="150"/>
      <c r="D86" s="144"/>
      <c r="E86"/>
      <c r="F86" s="162" t="str">
        <f>IFERROR(VLOOKUP(A86,Lulu!A:F,6,0),"")</f>
        <v/>
      </c>
      <c r="G86" s="177" t="str">
        <f>IFERROR(VLOOKUP(E86,Lulu!E:F,2,0),"")</f>
        <v/>
      </c>
      <c r="H86" s="143"/>
      <c r="I86" s="143"/>
      <c r="J86" s="143"/>
    </row>
    <row r="87" spans="1:10" ht="15.75" x14ac:dyDescent="0.25">
      <c r="A87">
        <v>99999</v>
      </c>
      <c r="B87" s="149"/>
      <c r="C87" s="150"/>
      <c r="D87" s="144"/>
      <c r="E87"/>
      <c r="F87" s="162" t="str">
        <f>IFERROR(VLOOKUP(A87,Lulu!A:F,6,0),"")</f>
        <v/>
      </c>
      <c r="G87" s="177" t="str">
        <f>IFERROR(VLOOKUP(E87,Lulu!E:F,2,0),"")</f>
        <v/>
      </c>
      <c r="H87" s="143"/>
      <c r="I87" s="143"/>
      <c r="J87" s="143"/>
    </row>
    <row r="88" spans="1:10" ht="15.75" x14ac:dyDescent="0.25">
      <c r="A88">
        <v>99999</v>
      </c>
      <c r="B88" s="149"/>
      <c r="C88" s="150"/>
      <c r="D88" s="144"/>
      <c r="E88"/>
      <c r="F88" s="162" t="str">
        <f>IFERROR(VLOOKUP(A88,Lulu!A:F,6,0),"")</f>
        <v/>
      </c>
      <c r="G88" s="177" t="str">
        <f>IFERROR(VLOOKUP(E88,Lulu!E:F,2,0),"")</f>
        <v/>
      </c>
      <c r="H88" s="143"/>
      <c r="I88" s="143"/>
      <c r="J88" s="143"/>
    </row>
    <row r="89" spans="1:10" ht="15.75" x14ac:dyDescent="0.25">
      <c r="A89">
        <v>99999</v>
      </c>
      <c r="B89" s="149"/>
      <c r="C89" s="150"/>
      <c r="D89" s="144"/>
      <c r="E89"/>
      <c r="F89" s="162" t="str">
        <f>IFERROR(VLOOKUP(A89,Lulu!A:F,6,0),"")</f>
        <v/>
      </c>
      <c r="G89" s="177" t="str">
        <f>IFERROR(VLOOKUP(E89,Lulu!E:F,2,0),"")</f>
        <v/>
      </c>
      <c r="H89" s="143"/>
      <c r="I89" s="143"/>
      <c r="J89" s="143"/>
    </row>
    <row r="90" spans="1:10" ht="15.75" x14ac:dyDescent="0.25">
      <c r="A90">
        <v>537522</v>
      </c>
      <c r="B90" s="149"/>
      <c r="C90" s="150"/>
      <c r="D90" s="144"/>
      <c r="E90" s="311">
        <v>6921211111467</v>
      </c>
      <c r="F90" s="162">
        <f>IFERROR(VLOOKUP(A90,Lulu!A:F,6,0),"")</f>
        <v>395985</v>
      </c>
      <c r="G90" s="177">
        <f>IFERROR(VLOOKUP(E90,Lulu!E:F,2,0),"")</f>
        <v>229187</v>
      </c>
      <c r="H90" s="143"/>
      <c r="I90" s="143"/>
      <c r="J90" s="143" t="s">
        <v>845</v>
      </c>
    </row>
    <row r="91" spans="1:10" ht="15.75" x14ac:dyDescent="0.25">
      <c r="A91" s="284"/>
      <c r="B91" s="149"/>
      <c r="C91" s="150"/>
      <c r="D91" s="144"/>
      <c r="E91" s="311">
        <v>6921211112006</v>
      </c>
      <c r="F91" s="162" t="str">
        <f>IFERROR(VLOOKUP(A91,Lulu!A:F,6,0),"")</f>
        <v/>
      </c>
      <c r="G91" s="177">
        <f>IFERROR(VLOOKUP(E91,Lulu!E:F,2,0),"")</f>
        <v>229188</v>
      </c>
      <c r="H91" s="143"/>
      <c r="I91" s="143"/>
      <c r="J91" s="143" t="s">
        <v>845</v>
      </c>
    </row>
    <row r="92" spans="1:10" ht="15.75" x14ac:dyDescent="0.25">
      <c r="A92"/>
      <c r="B92" s="149"/>
      <c r="C92" s="150"/>
      <c r="D92" s="144"/>
      <c r="E92" s="311">
        <v>80757450</v>
      </c>
      <c r="F92" s="162" t="str">
        <f>IFERROR(VLOOKUP(A92,Lulu!A:F,6,0),"")</f>
        <v/>
      </c>
      <c r="G92" s="177">
        <f>IFERROR(VLOOKUP(E92,Lulu!E:F,2,0),"")</f>
        <v>229190</v>
      </c>
      <c r="H92" s="143"/>
      <c r="I92" s="143"/>
      <c r="J92" s="143" t="s">
        <v>845</v>
      </c>
    </row>
    <row r="93" spans="1:10" ht="15.75" x14ac:dyDescent="0.25">
      <c r="A93"/>
      <c r="B93" s="149"/>
      <c r="C93" s="150"/>
      <c r="D93" s="144"/>
      <c r="E93" s="311">
        <v>80757474</v>
      </c>
      <c r="F93" s="162" t="str">
        <f>IFERROR(VLOOKUP(A93,Lulu!A:F,6,0),"")</f>
        <v/>
      </c>
      <c r="G93" s="177">
        <f>IFERROR(VLOOKUP(E93,Lulu!E:F,2,0),"")</f>
        <v>229392</v>
      </c>
      <c r="H93" s="143"/>
      <c r="I93" s="143"/>
      <c r="J93" s="143" t="s">
        <v>845</v>
      </c>
    </row>
    <row r="94" spans="1:10" ht="15.75" x14ac:dyDescent="0.25">
      <c r="A94"/>
      <c r="B94" s="149"/>
      <c r="C94" s="150"/>
      <c r="D94" s="144"/>
      <c r="E94" s="311">
        <v>80757481</v>
      </c>
      <c r="F94" s="162" t="str">
        <f>IFERROR(VLOOKUP(A94,Lulu!A:F,6,0),"")</f>
        <v/>
      </c>
      <c r="G94" s="177">
        <f>IFERROR(VLOOKUP(E94,Lulu!E:F,2,0),"")</f>
        <v>229393</v>
      </c>
      <c r="H94" s="143"/>
      <c r="I94" s="143"/>
      <c r="J94" s="143" t="s">
        <v>845</v>
      </c>
    </row>
    <row r="95" spans="1:10" ht="15.75" x14ac:dyDescent="0.25">
      <c r="A95"/>
      <c r="B95" s="149"/>
      <c r="C95" s="150"/>
      <c r="D95" s="144"/>
      <c r="E95" s="311">
        <v>6291007901092</v>
      </c>
      <c r="F95" s="162" t="str">
        <f>IFERROR(VLOOKUP(A95,Lulu!A:F,6,0),"")</f>
        <v/>
      </c>
      <c r="G95" s="177">
        <f>IFERROR(VLOOKUP(E95,Lulu!E:F,2,0),"")</f>
        <v>95894</v>
      </c>
      <c r="H95" s="143"/>
      <c r="I95" s="143"/>
      <c r="J95" s="143" t="s">
        <v>845</v>
      </c>
    </row>
    <row r="96" spans="1:10" ht="15.75" x14ac:dyDescent="0.25">
      <c r="A96"/>
      <c r="B96" s="149"/>
      <c r="C96" s="150"/>
      <c r="D96" s="144"/>
      <c r="E96" s="311">
        <v>8901063004016</v>
      </c>
      <c r="F96" s="162" t="str">
        <f>IFERROR(VLOOKUP(A96,Lulu!A:F,6,0),"")</f>
        <v/>
      </c>
      <c r="G96" s="177">
        <f>IFERROR(VLOOKUP(E96,Lulu!E:F,2,0),"")</f>
        <v>233419</v>
      </c>
      <c r="H96" s="143"/>
      <c r="I96" s="143"/>
      <c r="J96" s="143" t="s">
        <v>845</v>
      </c>
    </row>
    <row r="97" spans="1:10" ht="15.75" x14ac:dyDescent="0.25">
      <c r="A97"/>
      <c r="B97" s="149"/>
      <c r="C97" s="150"/>
      <c r="D97" s="144"/>
      <c r="E97" s="311">
        <v>6291007915334</v>
      </c>
      <c r="F97" s="162" t="str">
        <f>IFERROR(VLOOKUP(A97,Lulu!A:F,6,0),"")</f>
        <v/>
      </c>
      <c r="G97" s="177" t="str">
        <f>IFERROR(VLOOKUP(E97,Lulu!E:F,2,0),"")</f>
        <v/>
      </c>
      <c r="H97" s="143"/>
      <c r="I97" s="143"/>
      <c r="J97" s="143" t="s">
        <v>845</v>
      </c>
    </row>
    <row r="98" spans="1:10" ht="15.75" x14ac:dyDescent="0.25">
      <c r="A98"/>
      <c r="B98" s="149"/>
      <c r="C98" s="150"/>
      <c r="D98" s="144"/>
      <c r="E98" s="311">
        <v>6291007915341</v>
      </c>
      <c r="F98" s="162" t="str">
        <f>IFERROR(VLOOKUP(A98,Lulu!A:F,6,0),"")</f>
        <v/>
      </c>
      <c r="G98" s="177" t="str">
        <f>IFERROR(VLOOKUP(E98,Lulu!E:F,2,0),"")</f>
        <v/>
      </c>
      <c r="H98" s="143"/>
      <c r="I98" s="143"/>
      <c r="J98" s="143" t="s">
        <v>845</v>
      </c>
    </row>
    <row r="99" spans="1:10" ht="15.75" x14ac:dyDescent="0.25">
      <c r="A99"/>
      <c r="B99" s="149"/>
      <c r="C99" s="150"/>
      <c r="D99" s="144"/>
      <c r="E99" s="311">
        <v>6291007906479</v>
      </c>
      <c r="F99" s="162" t="str">
        <f>IFERROR(VLOOKUP(A99,Lulu!A:F,6,0),"")</f>
        <v/>
      </c>
      <c r="G99" s="177">
        <f>IFERROR(VLOOKUP(E99,Lulu!E:F,2,0),"")</f>
        <v>300992</v>
      </c>
      <c r="H99" s="143"/>
      <c r="I99" s="143"/>
      <c r="J99" s="143"/>
    </row>
    <row r="100" spans="1:10" ht="15.75" x14ac:dyDescent="0.25">
      <c r="A100"/>
      <c r="B100" s="149"/>
      <c r="C100" s="150"/>
      <c r="D100" s="144"/>
      <c r="E100" s="311">
        <v>8410031122510</v>
      </c>
      <c r="F100" s="162" t="str">
        <f>IFERROR(VLOOKUP(A100,Lulu!A:F,6,0),"")</f>
        <v/>
      </c>
      <c r="G100" s="177">
        <f>IFERROR(VLOOKUP(E100,Lulu!E:F,2,0),"")</f>
        <v>176200</v>
      </c>
      <c r="H100" s="143"/>
      <c r="I100" s="143"/>
      <c r="J100" s="143"/>
    </row>
    <row r="101" spans="1:10" ht="15.75" x14ac:dyDescent="0.25">
      <c r="A101"/>
      <c r="B101" s="149"/>
      <c r="C101" s="150"/>
      <c r="D101" s="144"/>
      <c r="E101" s="311">
        <v>84196842</v>
      </c>
      <c r="F101" s="162" t="str">
        <f>IFERROR(VLOOKUP(A101,Lulu!A:F,6,0),"")</f>
        <v/>
      </c>
      <c r="G101" s="177">
        <f>IFERROR(VLOOKUP(E101,Lulu!E:F,2,0),"")</f>
        <v>176210</v>
      </c>
      <c r="H101" s="143"/>
      <c r="I101" s="143"/>
      <c r="J101" s="143"/>
    </row>
    <row r="102" spans="1:10" ht="15.75" x14ac:dyDescent="0.25">
      <c r="A102"/>
      <c r="B102" s="149"/>
      <c r="C102" s="150"/>
      <c r="D102" s="144"/>
      <c r="E102" s="311">
        <v>8992741993340</v>
      </c>
      <c r="F102" s="162" t="str">
        <f>IFERROR(VLOOKUP(A102,Lulu!A:F,6,0),"")</f>
        <v/>
      </c>
      <c r="G102" s="177">
        <f>IFERROR(VLOOKUP(E102,Lulu!E:F,2,0),"")</f>
        <v>329171</v>
      </c>
      <c r="H102" s="143"/>
      <c r="I102" s="143"/>
      <c r="J102" s="143"/>
    </row>
    <row r="103" spans="1:10" ht="15.75" x14ac:dyDescent="0.25">
      <c r="A103"/>
      <c r="B103" s="149"/>
      <c r="C103" s="150"/>
      <c r="D103" s="144"/>
      <c r="E103" s="311">
        <v>8901393020564</v>
      </c>
      <c r="F103" s="162" t="str">
        <f>IFERROR(VLOOKUP(A103,Lulu!A:F,6,0),"")</f>
        <v/>
      </c>
      <c r="G103" s="177">
        <f>IFERROR(VLOOKUP(E103,Lulu!E:F,2,0),"")</f>
        <v>324335</v>
      </c>
      <c r="H103" s="143"/>
      <c r="I103" s="143"/>
      <c r="J103" s="143"/>
    </row>
    <row r="104" spans="1:10" ht="15.75" x14ac:dyDescent="0.25">
      <c r="A104"/>
      <c r="B104" s="149"/>
      <c r="C104" s="150"/>
      <c r="D104" s="144"/>
      <c r="E104" s="311">
        <v>6925425474363</v>
      </c>
      <c r="F104" s="162" t="str">
        <f>IFERROR(VLOOKUP(A104,Lulu!A:F,6,0),"")</f>
        <v/>
      </c>
      <c r="G104" s="177">
        <f>IFERROR(VLOOKUP(E104,Lulu!E:F,2,0),"")</f>
        <v>181554</v>
      </c>
      <c r="H104" s="143"/>
      <c r="I104" s="143"/>
      <c r="J104" s="143"/>
    </row>
    <row r="105" spans="1:10" ht="15.75" x14ac:dyDescent="0.25">
      <c r="A105"/>
      <c r="B105" s="149"/>
      <c r="C105" s="150"/>
      <c r="D105" s="144"/>
      <c r="E105" s="311">
        <v>6925425474486</v>
      </c>
      <c r="F105" s="162" t="str">
        <f>IFERROR(VLOOKUP(A105,Lulu!A:F,6,0),"")</f>
        <v/>
      </c>
      <c r="G105" s="177">
        <f>IFERROR(VLOOKUP(E105,Lulu!E:F,2,0),"")</f>
        <v>181555</v>
      </c>
      <c r="H105" s="143"/>
      <c r="I105" s="143"/>
      <c r="J105" s="143"/>
    </row>
    <row r="106" spans="1:10" ht="15.75" x14ac:dyDescent="0.25">
      <c r="A106"/>
      <c r="B106" s="149"/>
      <c r="C106" s="150"/>
      <c r="D106" s="144"/>
      <c r="E106" s="311">
        <v>6291109790303</v>
      </c>
      <c r="F106" s="162" t="str">
        <f>IFERROR(VLOOKUP(A106,Lulu!A:F,6,0),"")</f>
        <v/>
      </c>
      <c r="G106" s="177">
        <f>IFERROR(VLOOKUP(E106,Lulu!E:F,2,0),"")</f>
        <v>386804</v>
      </c>
      <c r="H106" s="143"/>
      <c r="I106" s="143"/>
      <c r="J106" s="143"/>
    </row>
    <row r="107" spans="1:10" ht="15.75" x14ac:dyDescent="0.25">
      <c r="A107"/>
      <c r="B107" s="149"/>
      <c r="C107" s="150"/>
      <c r="D107" s="144"/>
      <c r="E107" s="311">
        <v>6291109790310</v>
      </c>
      <c r="F107" s="162" t="str">
        <f>IFERROR(VLOOKUP(A107,Lulu!A:F,6,0),"")</f>
        <v/>
      </c>
      <c r="G107" s="177">
        <f>IFERROR(VLOOKUP(E107,Lulu!E:F,2,0),"")</f>
        <v>386805</v>
      </c>
      <c r="H107" s="143"/>
      <c r="I107" s="143"/>
      <c r="J107" s="143"/>
    </row>
    <row r="108" spans="1:10" ht="15.75" x14ac:dyDescent="0.25">
      <c r="A108"/>
      <c r="B108" s="149"/>
      <c r="C108" s="150"/>
      <c r="D108" s="144"/>
      <c r="E108" s="311">
        <v>6291106770421</v>
      </c>
      <c r="F108" s="162" t="str">
        <f>IFERROR(VLOOKUP(A108,Lulu!A:F,6,0),"")</f>
        <v/>
      </c>
      <c r="G108" s="177" t="str">
        <f>IFERROR(VLOOKUP(E108,Lulu!E:F,2,0),"")</f>
        <v/>
      </c>
      <c r="H108" s="143"/>
      <c r="I108" s="143"/>
      <c r="J108" s="143"/>
    </row>
    <row r="109" spans="1:10" ht="15.75" x14ac:dyDescent="0.25">
      <c r="A109"/>
      <c r="B109" s="149"/>
      <c r="C109" s="150"/>
      <c r="D109" s="144"/>
      <c r="E109" s="311">
        <v>24000101895</v>
      </c>
      <c r="F109" s="162" t="str">
        <f>IFERROR(VLOOKUP(A109,Lulu!A:F,6,0),"")</f>
        <v/>
      </c>
      <c r="G109" s="177">
        <f>IFERROR(VLOOKUP(E109,Lulu!E:F,2,0),"")</f>
        <v>302679</v>
      </c>
      <c r="H109" s="143"/>
      <c r="I109" s="143"/>
      <c r="J109" s="143"/>
    </row>
    <row r="110" spans="1:10" ht="15.75" x14ac:dyDescent="0.25">
      <c r="A110">
        <v>411212</v>
      </c>
      <c r="B110" s="149"/>
      <c r="C110" s="150"/>
      <c r="D110" s="144"/>
      <c r="E110" s="309">
        <v>8901393020557</v>
      </c>
      <c r="F110" s="162">
        <f>IFERROR(VLOOKUP(A110,Lulu!A:F,6,0),"")</f>
        <v>356739</v>
      </c>
      <c r="G110" s="177">
        <f>IFERROR(VLOOKUP(E110,Lulu!E:F,2,0),"")</f>
        <v>324336</v>
      </c>
      <c r="H110" s="143"/>
      <c r="I110" s="143"/>
      <c r="J110" s="143"/>
    </row>
    <row r="111" spans="1:10" ht="15.75" x14ac:dyDescent="0.25">
      <c r="A111"/>
      <c r="B111" s="149"/>
      <c r="C111" s="150"/>
      <c r="D111" s="144"/>
      <c r="E111" s="309">
        <v>6925425474363</v>
      </c>
      <c r="F111" s="162" t="str">
        <f>IFERROR(VLOOKUP(A111,Lulu!A:F,6,0),"")</f>
        <v/>
      </c>
      <c r="G111" s="177">
        <f>IFERROR(VLOOKUP(E111,Lulu!E:F,2,0),"")</f>
        <v>181554</v>
      </c>
      <c r="H111" s="143"/>
      <c r="I111" s="143"/>
      <c r="J111" s="143"/>
    </row>
    <row r="112" spans="1:10" ht="15.75" x14ac:dyDescent="0.25">
      <c r="A112"/>
      <c r="B112" s="149"/>
      <c r="C112" s="150"/>
      <c r="D112" s="144"/>
      <c r="E112" s="309">
        <v>6925425474387</v>
      </c>
      <c r="F112" s="162" t="str">
        <f>IFERROR(VLOOKUP(A112,Lulu!A:F,6,0),"")</f>
        <v/>
      </c>
      <c r="G112" s="177">
        <f>IFERROR(VLOOKUP(E112,Lulu!E:F,2,0),"")</f>
        <v>181557</v>
      </c>
      <c r="H112" s="143"/>
      <c r="I112" s="143"/>
      <c r="J112" s="143"/>
    </row>
    <row r="113" spans="1:10" ht="15.75" x14ac:dyDescent="0.25">
      <c r="A113"/>
      <c r="B113" s="149"/>
      <c r="C113" s="150"/>
      <c r="D113" s="144"/>
      <c r="E113" s="309">
        <v>6925425474462</v>
      </c>
      <c r="F113" s="162" t="str">
        <f>IFERROR(VLOOKUP(A113,Lulu!A:F,6,0),"")</f>
        <v/>
      </c>
      <c r="G113" s="177">
        <f>IFERROR(VLOOKUP(E113,Lulu!E:F,2,0),"")</f>
        <v>181558</v>
      </c>
      <c r="H113" s="143"/>
      <c r="I113" s="143"/>
      <c r="J113" s="143"/>
    </row>
    <row r="114" spans="1:10" ht="15.75" x14ac:dyDescent="0.25">
      <c r="A114"/>
      <c r="B114" s="149"/>
      <c r="C114" s="150"/>
      <c r="D114" s="144"/>
      <c r="E114" s="309">
        <v>6925425474424</v>
      </c>
      <c r="F114" s="162" t="str">
        <f>IFERROR(VLOOKUP(A114,Lulu!A:F,6,0),"")</f>
        <v/>
      </c>
      <c r="G114" s="177">
        <f>IFERROR(VLOOKUP(E114,Lulu!E:F,2,0),"")</f>
        <v>181559</v>
      </c>
      <c r="H114" s="143"/>
      <c r="I114" s="143"/>
      <c r="J114" s="143"/>
    </row>
    <row r="115" spans="1:10" ht="15.75" x14ac:dyDescent="0.25">
      <c r="A115"/>
      <c r="B115" s="149"/>
      <c r="C115" s="150"/>
      <c r="D115" s="144"/>
      <c r="E115" s="309">
        <v>6291109790280</v>
      </c>
      <c r="F115" s="162" t="str">
        <f>IFERROR(VLOOKUP(A115,Lulu!A:F,6,0),"")</f>
        <v/>
      </c>
      <c r="G115" s="177">
        <f>IFERROR(VLOOKUP(E115,Lulu!E:F,2,0),"")</f>
        <v>386802</v>
      </c>
      <c r="H115" s="143"/>
      <c r="I115" s="143"/>
      <c r="J115" s="143"/>
    </row>
    <row r="116" spans="1:10" ht="15.75" x14ac:dyDescent="0.25">
      <c r="A116"/>
      <c r="B116" s="149"/>
      <c r="C116" s="150"/>
      <c r="D116" s="144"/>
      <c r="E116" s="309">
        <v>8992741993333</v>
      </c>
      <c r="F116" s="162" t="str">
        <f>IFERROR(VLOOKUP(A116,Lulu!A:F,6,0),"")</f>
        <v/>
      </c>
      <c r="G116" s="177">
        <f>IFERROR(VLOOKUP(E116,Lulu!E:F,2,0),"")</f>
        <v>329172</v>
      </c>
      <c r="H116" s="143"/>
      <c r="I116" s="143"/>
      <c r="J116" s="143"/>
    </row>
    <row r="117" spans="1:10" ht="15.75" x14ac:dyDescent="0.25">
      <c r="A117"/>
      <c r="B117" s="149"/>
      <c r="C117" s="150"/>
      <c r="D117" s="144"/>
      <c r="E117" s="309">
        <v>8992741952590</v>
      </c>
      <c r="F117" s="162" t="str">
        <f>IFERROR(VLOOKUP(A117,Lulu!A:F,6,0),"")</f>
        <v/>
      </c>
      <c r="G117" s="177">
        <f>IFERROR(VLOOKUP(E117,Lulu!E:F,2,0),"")</f>
        <v>308066</v>
      </c>
      <c r="H117" s="143"/>
      <c r="I117" s="143"/>
      <c r="J117" s="143"/>
    </row>
    <row r="118" spans="1:10" ht="15.75" x14ac:dyDescent="0.25">
      <c r="A118"/>
      <c r="B118" s="149"/>
      <c r="C118" s="150"/>
      <c r="D118" s="144"/>
      <c r="E118" s="309">
        <v>8901393017076</v>
      </c>
      <c r="F118" s="162" t="str">
        <f>IFERROR(VLOOKUP(A118,Lulu!A:F,6,0),"")</f>
        <v/>
      </c>
      <c r="G118" s="177" t="str">
        <f>IFERROR(VLOOKUP(E118,Lulu!E:F,2,0),"")</f>
        <v/>
      </c>
      <c r="H118" s="143"/>
      <c r="I118" s="143"/>
      <c r="J118" s="143"/>
    </row>
    <row r="119" spans="1:10" ht="15.75" x14ac:dyDescent="0.25">
      <c r="A119"/>
      <c r="B119" s="149"/>
      <c r="C119" s="150"/>
      <c r="D119" s="144"/>
      <c r="E119" s="309">
        <v>8901393017106</v>
      </c>
      <c r="F119" s="162" t="str">
        <f>IFERROR(VLOOKUP(A119,Lulu!A:F,6,0),"")</f>
        <v/>
      </c>
      <c r="G119" s="177">
        <f>IFERROR(VLOOKUP(E119,Lulu!E:F,2,0),"")</f>
        <v>255466</v>
      </c>
      <c r="H119" s="143"/>
      <c r="I119" s="143"/>
      <c r="J119" s="143"/>
    </row>
    <row r="120" spans="1:10" ht="15.75" x14ac:dyDescent="0.25">
      <c r="A120"/>
      <c r="B120" s="149"/>
      <c r="C120" s="150"/>
      <c r="D120" s="144"/>
      <c r="E120" s="309">
        <v>8992741952613</v>
      </c>
      <c r="F120" s="162" t="str">
        <f>IFERROR(VLOOKUP(A120,Lulu!A:F,6,0),"")</f>
        <v/>
      </c>
      <c r="G120" s="177">
        <f>IFERROR(VLOOKUP(E120,Lulu!E:F,2,0),"")</f>
        <v>308068</v>
      </c>
      <c r="H120" s="143"/>
      <c r="I120" s="143"/>
      <c r="J120" s="143"/>
    </row>
    <row r="121" spans="1:10" ht="15.75" x14ac:dyDescent="0.25">
      <c r="A121"/>
      <c r="B121" s="149"/>
      <c r="C121" s="150"/>
      <c r="D121" s="144"/>
      <c r="E121" s="309">
        <v>24000101895</v>
      </c>
      <c r="F121" s="162" t="str">
        <f>IFERROR(VLOOKUP(A121,Lulu!A:F,6,0),"")</f>
        <v/>
      </c>
      <c r="G121" s="177">
        <f>IFERROR(VLOOKUP(E121,Lulu!E:F,2,0),"")</f>
        <v>302679</v>
      </c>
      <c r="H121" s="143"/>
      <c r="I121" s="143"/>
      <c r="J121" s="143"/>
    </row>
    <row r="122" spans="1:10" ht="15.75" x14ac:dyDescent="0.25">
      <c r="A122"/>
      <c r="B122" s="149"/>
      <c r="C122" s="150"/>
      <c r="D122" s="144"/>
      <c r="E122" s="309">
        <v>24000109785</v>
      </c>
      <c r="F122" s="162" t="str">
        <f>IFERROR(VLOOKUP(A122,Lulu!A:F,6,0),"")</f>
        <v/>
      </c>
      <c r="G122" s="177">
        <f>IFERROR(VLOOKUP(E122,Lulu!E:F,2,0),"")</f>
        <v>341280</v>
      </c>
      <c r="H122" s="143"/>
      <c r="I122" s="143"/>
      <c r="J122" s="143"/>
    </row>
    <row r="123" spans="1:10" ht="15.75" x14ac:dyDescent="0.25">
      <c r="A123"/>
      <c r="B123" s="149"/>
      <c r="C123" s="150"/>
      <c r="D123" s="144"/>
      <c r="E123" s="309">
        <v>24000109808</v>
      </c>
      <c r="F123" s="162" t="str">
        <f>IFERROR(VLOOKUP(A123,Lulu!A:F,6,0),"")</f>
        <v/>
      </c>
      <c r="G123" s="177">
        <f>IFERROR(VLOOKUP(E123,Lulu!E:F,2,0),"")</f>
        <v>341282</v>
      </c>
      <c r="H123" s="143"/>
      <c r="I123" s="143"/>
      <c r="J123" s="143"/>
    </row>
    <row r="124" spans="1:10" ht="15.75" x14ac:dyDescent="0.25">
      <c r="A124"/>
      <c r="B124" s="149"/>
      <c r="C124" s="150"/>
      <c r="D124" s="144"/>
      <c r="E124" s="309">
        <v>24000238171</v>
      </c>
      <c r="F124" s="162" t="str">
        <f>IFERROR(VLOOKUP(A124,Lulu!A:F,6,0),"")</f>
        <v/>
      </c>
      <c r="G124" s="177">
        <f>IFERROR(VLOOKUP(E124,Lulu!E:F,2,0),"")</f>
        <v>165099</v>
      </c>
      <c r="H124" s="143"/>
      <c r="I124" s="143"/>
      <c r="J124" s="143"/>
    </row>
    <row r="125" spans="1:10" ht="15.75" x14ac:dyDescent="0.25">
      <c r="A125"/>
      <c r="B125" s="149"/>
      <c r="C125" s="150"/>
      <c r="D125" s="144"/>
      <c r="E125" s="309">
        <v>24000025528</v>
      </c>
      <c r="F125" s="162" t="str">
        <f>IFERROR(VLOOKUP(A125,Lulu!A:F,6,0),"")</f>
        <v/>
      </c>
      <c r="G125" s="177">
        <f>IFERROR(VLOOKUP(E125,Lulu!E:F,2,0),"")</f>
        <v>91552</v>
      </c>
      <c r="H125" s="143"/>
      <c r="I125" s="143"/>
      <c r="J125" s="143"/>
    </row>
    <row r="126" spans="1:10" ht="15.75" x14ac:dyDescent="0.25">
      <c r="A126"/>
      <c r="B126" s="149"/>
      <c r="C126" s="150"/>
      <c r="D126" s="144"/>
      <c r="E126" s="309">
        <v>24000025993</v>
      </c>
      <c r="F126" s="162" t="str">
        <f>IFERROR(VLOOKUP(A126,Lulu!A:F,6,0),"")</f>
        <v/>
      </c>
      <c r="G126" s="177">
        <f>IFERROR(VLOOKUP(E126,Lulu!E:F,2,0),"")</f>
        <v>91555</v>
      </c>
      <c r="H126" s="143"/>
      <c r="I126" s="143"/>
    </row>
    <row r="127" spans="1:10" ht="15.75" x14ac:dyDescent="0.25">
      <c r="A127"/>
      <c r="B127" s="149"/>
      <c r="C127" s="150"/>
      <c r="D127" s="144"/>
      <c r="E127" s="310">
        <v>24000012306</v>
      </c>
      <c r="F127" s="162" t="str">
        <f>IFERROR(VLOOKUP(A127,Lulu!A:F,6,0),"")</f>
        <v/>
      </c>
      <c r="G127" s="177">
        <f>IFERROR(VLOOKUP(E127,Lulu!E:F,2,0),"")</f>
        <v>91568</v>
      </c>
      <c r="H127" s="143"/>
      <c r="I127" s="143"/>
    </row>
    <row r="128" spans="1:10" ht="15.75" x14ac:dyDescent="0.25">
      <c r="A128"/>
      <c r="B128" s="149"/>
      <c r="C128" s="150"/>
      <c r="D128" s="144"/>
      <c r="E128" s="310">
        <v>24000008934</v>
      </c>
      <c r="F128" s="162" t="str">
        <f>IFERROR(VLOOKUP(A128,Lulu!A:F,6,0),"")</f>
        <v/>
      </c>
      <c r="G128" s="177">
        <f>IFERROR(VLOOKUP(E128,Lulu!E:F,2,0),"")</f>
        <v>91570</v>
      </c>
      <c r="H128" s="143"/>
      <c r="I128" s="143"/>
    </row>
    <row r="129" spans="1:10" ht="15.75" x14ac:dyDescent="0.25">
      <c r="A129"/>
      <c r="B129" s="149"/>
      <c r="C129" s="150"/>
      <c r="D129" s="144"/>
      <c r="E129" s="310">
        <v>24000012313</v>
      </c>
      <c r="F129" s="162" t="str">
        <f>IFERROR(VLOOKUP(A129,Lulu!A:F,6,0),"")</f>
        <v/>
      </c>
      <c r="G129" s="177">
        <f>IFERROR(VLOOKUP(E129,Lulu!E:F,2,0),"")</f>
        <v>91566</v>
      </c>
      <c r="H129" s="143"/>
      <c r="I129" s="143"/>
    </row>
    <row r="130" spans="1:10" ht="15.75" x14ac:dyDescent="0.25">
      <c r="A130"/>
      <c r="B130" s="149"/>
      <c r="C130" s="150"/>
      <c r="D130" s="144"/>
      <c r="E130" s="310">
        <v>24000003649</v>
      </c>
      <c r="F130" s="162" t="str">
        <f>IFERROR(VLOOKUP(A130,Lulu!A:F,6,0),"")</f>
        <v/>
      </c>
      <c r="G130" s="177">
        <f>IFERROR(VLOOKUP(E130,Lulu!E:F,2,0),"")</f>
        <v>91558</v>
      </c>
      <c r="H130" s="143"/>
      <c r="I130" s="143"/>
    </row>
    <row r="131" spans="1:10" ht="15.75" x14ac:dyDescent="0.25">
      <c r="A131"/>
      <c r="B131" s="25"/>
      <c r="C131" s="150"/>
      <c r="D131" s="144"/>
      <c r="E131" s="310">
        <v>5351904104048</v>
      </c>
      <c r="F131" s="162" t="str">
        <f>IFERROR(VLOOKUP(A131,Lulu!A:F,6,0),"")</f>
        <v/>
      </c>
      <c r="G131" s="177">
        <f>IFERROR(VLOOKUP(E131,Lulu!E:F,2,0),"")</f>
        <v>177778</v>
      </c>
      <c r="H131" s="143"/>
      <c r="I131" s="143"/>
    </row>
    <row r="132" spans="1:10" ht="15.75" x14ac:dyDescent="0.25">
      <c r="A132"/>
      <c r="B132" s="25"/>
      <c r="C132" s="150"/>
      <c r="D132" s="144"/>
      <c r="E132"/>
      <c r="F132" s="162" t="str">
        <f>IFERROR(VLOOKUP(A132,Lulu!A:F,6,0),"")</f>
        <v/>
      </c>
      <c r="G132" s="177" t="str">
        <f>IFERROR(VLOOKUP(E132,Lulu!E:F,2,0),"")</f>
        <v/>
      </c>
      <c r="H132" s="143"/>
      <c r="I132" s="143"/>
    </row>
    <row r="133" spans="1:10" ht="15.75" x14ac:dyDescent="0.25">
      <c r="A133"/>
      <c r="B133" s="25"/>
      <c r="C133" s="150"/>
      <c r="D133" s="144"/>
      <c r="E133"/>
      <c r="F133" s="162" t="str">
        <f>IFERROR(VLOOKUP(A133,Lulu!A:F,6,0),"")</f>
        <v/>
      </c>
      <c r="G133" s="177" t="str">
        <f>IFERROR(VLOOKUP(E133,Lulu!E:F,2,0),"")</f>
        <v/>
      </c>
      <c r="H133" s="143"/>
      <c r="I133" s="143"/>
    </row>
    <row r="134" spans="1:10" ht="15.75" x14ac:dyDescent="0.25">
      <c r="A134"/>
      <c r="B134" s="25"/>
      <c r="C134" s="150"/>
      <c r="D134" s="144"/>
      <c r="E134"/>
      <c r="F134" s="162" t="str">
        <f>IFERROR(VLOOKUP(A134,Lulu!A:F,6,0),"")</f>
        <v/>
      </c>
      <c r="G134" s="177" t="str">
        <f>IFERROR(VLOOKUP(E134,Lulu!E:F,2,0),"")</f>
        <v/>
      </c>
      <c r="H134" s="143"/>
      <c r="I134" s="143"/>
    </row>
    <row r="135" spans="1:10" ht="15.75" x14ac:dyDescent="0.25">
      <c r="A135"/>
      <c r="B135" s="25"/>
      <c r="C135" s="150"/>
      <c r="D135" s="144"/>
      <c r="E135"/>
      <c r="F135" s="162" t="str">
        <f>IFERROR(VLOOKUP(A135,Lulu!A:F,6,0),"")</f>
        <v/>
      </c>
      <c r="G135" s="177" t="str">
        <f>IFERROR(VLOOKUP(E135,Lulu!E:F,2,0),"")</f>
        <v/>
      </c>
      <c r="H135" s="143"/>
      <c r="I135" s="143"/>
      <c r="J135" s="143"/>
    </row>
    <row r="136" spans="1:10" ht="15.75" x14ac:dyDescent="0.25">
      <c r="A136"/>
      <c r="B136" s="25"/>
      <c r="C136" s="150"/>
      <c r="D136" s="144"/>
      <c r="E136"/>
      <c r="F136" s="162" t="str">
        <f>IFERROR(VLOOKUP(A136,Lulu!A:F,6,0),"")</f>
        <v/>
      </c>
      <c r="G136" s="177" t="str">
        <f>IFERROR(VLOOKUP(E136,Lulu!E:F,2,0),"")</f>
        <v/>
      </c>
      <c r="H136" s="143"/>
      <c r="I136" s="143"/>
      <c r="J136" s="143"/>
    </row>
    <row r="137" spans="1:10" ht="15.75" x14ac:dyDescent="0.25">
      <c r="A137"/>
      <c r="B137" s="25"/>
      <c r="C137" s="150"/>
      <c r="D137" s="144"/>
      <c r="E137"/>
      <c r="F137" s="162" t="str">
        <f>IFERROR(VLOOKUP(A137,Lulu!A:F,6,0),"")</f>
        <v/>
      </c>
      <c r="G137" s="177" t="str">
        <f>IFERROR(VLOOKUP(E137,Lulu!E:F,2,0),"")</f>
        <v/>
      </c>
      <c r="H137" s="143"/>
      <c r="I137" s="143"/>
      <c r="J137" s="143"/>
    </row>
    <row r="138" spans="1:10" ht="15.75" x14ac:dyDescent="0.25">
      <c r="A138"/>
      <c r="B138" s="25"/>
      <c r="C138" s="150"/>
      <c r="D138" s="144"/>
      <c r="E138"/>
      <c r="F138" s="162" t="str">
        <f>IFERROR(VLOOKUP(A138,Lulu!A:F,6,0),"")</f>
        <v/>
      </c>
      <c r="G138" s="177" t="str">
        <f>IFERROR(VLOOKUP(E138,Lulu!E:F,2,0),"")</f>
        <v/>
      </c>
      <c r="H138" s="143"/>
      <c r="I138" s="143"/>
      <c r="J138" s="143"/>
    </row>
    <row r="139" spans="1:10" ht="15.75" x14ac:dyDescent="0.25">
      <c r="A139"/>
      <c r="B139" s="25"/>
      <c r="C139" s="150"/>
      <c r="D139" s="144"/>
      <c r="E139"/>
      <c r="F139" s="162" t="str">
        <f>IFERROR(VLOOKUP(A139,Lulu!A:F,6,0),"")</f>
        <v/>
      </c>
      <c r="G139" s="177" t="str">
        <f>IFERROR(VLOOKUP(E139,Lulu!E:F,2,0),"")</f>
        <v/>
      </c>
      <c r="H139" s="143"/>
      <c r="I139" s="143"/>
      <c r="J139" s="143"/>
    </row>
    <row r="140" spans="1:10" ht="15.75" x14ac:dyDescent="0.25">
      <c r="A140"/>
      <c r="B140" s="25"/>
      <c r="C140" s="150"/>
      <c r="D140" s="144"/>
      <c r="E140"/>
      <c r="F140" s="162" t="str">
        <f>IFERROR(VLOOKUP(A140,Lulu!A:F,6,0),"")</f>
        <v/>
      </c>
      <c r="G140" s="177" t="str">
        <f>IFERROR(VLOOKUP(E140,Lulu!E:F,2,0),"")</f>
        <v/>
      </c>
      <c r="H140" s="143"/>
      <c r="I140" s="143"/>
      <c r="J140" s="143"/>
    </row>
    <row r="141" spans="1:10" ht="15.75" x14ac:dyDescent="0.25">
      <c r="A141"/>
      <c r="B141" s="25"/>
      <c r="C141" s="150"/>
      <c r="D141" s="144"/>
      <c r="E141"/>
      <c r="F141" s="162" t="str">
        <f>IFERROR(VLOOKUP(A141,Lulu!A:F,6,0),"")</f>
        <v/>
      </c>
      <c r="G141" s="177" t="str">
        <f>IFERROR(VLOOKUP(E141,Lulu!E:F,2,0),"")</f>
        <v/>
      </c>
      <c r="H141" s="143"/>
      <c r="I141" s="143"/>
      <c r="J141" s="143"/>
    </row>
    <row r="142" spans="1:10" ht="15.75" x14ac:dyDescent="0.25">
      <c r="A142"/>
      <c r="B142" s="25"/>
      <c r="C142" s="150"/>
      <c r="D142" s="144"/>
      <c r="E142"/>
      <c r="F142" s="162" t="str">
        <f>IFERROR(VLOOKUP(A142,Lulu!A:F,6,0),"")</f>
        <v/>
      </c>
      <c r="G142" s="177" t="str">
        <f>IFERROR(VLOOKUP(E142,Lulu!E:F,2,0),"")</f>
        <v/>
      </c>
      <c r="H142" s="143"/>
      <c r="I142" s="143"/>
      <c r="J142" s="143"/>
    </row>
    <row r="143" spans="1:10" ht="15.75" x14ac:dyDescent="0.25">
      <c r="A143"/>
      <c r="B143" s="25"/>
      <c r="C143" s="150"/>
      <c r="D143" s="144"/>
      <c r="E143"/>
      <c r="F143" s="162" t="str">
        <f>IFERROR(VLOOKUP(A143,Lulu!A:F,6,0),"")</f>
        <v/>
      </c>
      <c r="G143" s="177" t="str">
        <f>IFERROR(VLOOKUP(E143,Lulu!E:F,2,0),"")</f>
        <v/>
      </c>
      <c r="H143" s="143"/>
      <c r="I143" s="143"/>
      <c r="J143" s="143"/>
    </row>
    <row r="144" spans="1:10" ht="15.75" x14ac:dyDescent="0.25">
      <c r="A144"/>
      <c r="B144" s="25"/>
      <c r="C144" s="150"/>
      <c r="D144" s="144"/>
      <c r="E144"/>
      <c r="F144" s="162" t="str">
        <f>IFERROR(VLOOKUP(A144,Lulu!A:F,6,0),"")</f>
        <v/>
      </c>
      <c r="G144" s="177" t="str">
        <f>IFERROR(VLOOKUP(E144,Lulu!E:F,2,0),"")</f>
        <v/>
      </c>
      <c r="H144" s="143"/>
      <c r="I144" s="143"/>
      <c r="J144" s="143"/>
    </row>
    <row r="145" spans="1:10" ht="15.75" x14ac:dyDescent="0.25">
      <c r="A145"/>
      <c r="B145" s="25"/>
      <c r="C145" s="150"/>
      <c r="D145" s="144"/>
      <c r="E145"/>
      <c r="F145" s="162" t="str">
        <f>IFERROR(VLOOKUP(A145,Lulu!A:F,6,0),"")</f>
        <v/>
      </c>
      <c r="G145" s="177" t="str">
        <f>IFERROR(VLOOKUP(E145,Lulu!E:F,2,0),"")</f>
        <v/>
      </c>
      <c r="H145" s="143"/>
      <c r="I145" s="143"/>
      <c r="J145" s="143"/>
    </row>
    <row r="146" spans="1:10" ht="15.75" x14ac:dyDescent="0.25">
      <c r="A146"/>
      <c r="B146" s="25"/>
      <c r="C146" s="150"/>
      <c r="D146" s="144"/>
      <c r="E146"/>
      <c r="F146" s="162" t="str">
        <f>IFERROR(VLOOKUP(A146,Lulu!A:F,6,0),"")</f>
        <v/>
      </c>
      <c r="G146" s="177" t="str">
        <f>IFERROR(VLOOKUP(E146,Lulu!E:F,2,0),"")</f>
        <v/>
      </c>
      <c r="H146" s="143"/>
      <c r="I146" s="143"/>
      <c r="J146" s="143"/>
    </row>
    <row r="147" spans="1:10" ht="15.75" x14ac:dyDescent="0.25">
      <c r="A147"/>
      <c r="B147" s="25"/>
      <c r="C147" s="150"/>
      <c r="D147" s="144"/>
      <c r="E147"/>
      <c r="F147" s="162" t="str">
        <f>IFERROR(VLOOKUP(A147,Lulu!A:F,6,0),"")</f>
        <v/>
      </c>
      <c r="G147" s="177" t="str">
        <f>IFERROR(VLOOKUP(E147,Lulu!E:F,2,0),"")</f>
        <v/>
      </c>
      <c r="H147" s="143"/>
      <c r="I147" s="143"/>
      <c r="J147" s="143"/>
    </row>
    <row r="148" spans="1:10" ht="15.75" x14ac:dyDescent="0.25">
      <c r="A148"/>
      <c r="B148" s="25"/>
      <c r="C148" s="150"/>
      <c r="D148" s="144"/>
      <c r="E148"/>
      <c r="F148" s="162" t="str">
        <f>IFERROR(VLOOKUP(A148,Lulu!A:F,6,0),"")</f>
        <v/>
      </c>
      <c r="G148" s="177" t="str">
        <f>IFERROR(VLOOKUP(E148,Lulu!E:F,2,0),"")</f>
        <v/>
      </c>
      <c r="H148" s="143"/>
      <c r="I148" s="143"/>
      <c r="J148" s="143"/>
    </row>
    <row r="149" spans="1:10" ht="15.75" x14ac:dyDescent="0.25">
      <c r="A149"/>
      <c r="B149" s="25"/>
      <c r="C149" s="150"/>
      <c r="D149" s="144"/>
      <c r="E149"/>
      <c r="F149" s="162" t="str">
        <f>IFERROR(VLOOKUP(A149,Lulu!A:F,6,0),"")</f>
        <v/>
      </c>
      <c r="G149" s="177" t="str">
        <f>IFERROR(VLOOKUP(E149,Lulu!E:F,2,0),"")</f>
        <v/>
      </c>
      <c r="H149" s="143"/>
      <c r="I149" s="143"/>
      <c r="J149" s="143"/>
    </row>
    <row r="150" spans="1:10" ht="15.75" x14ac:dyDescent="0.25">
      <c r="A150"/>
      <c r="B150" s="25"/>
      <c r="C150" s="150"/>
      <c r="D150" s="144"/>
      <c r="E150"/>
      <c r="F150" s="162" t="str">
        <f>IFERROR(VLOOKUP(A150,Lulu!A:F,6,0),"")</f>
        <v/>
      </c>
      <c r="G150" s="177" t="str">
        <f>IFERROR(VLOOKUP(E150,Lulu!E:F,2,0),"")</f>
        <v/>
      </c>
      <c r="H150" s="143"/>
      <c r="I150" s="143"/>
      <c r="J150" s="143"/>
    </row>
    <row r="151" spans="1:10" ht="15.75" x14ac:dyDescent="0.25">
      <c r="A151"/>
      <c r="B151" s="25"/>
      <c r="C151" s="150"/>
      <c r="D151" s="144"/>
      <c r="E151"/>
      <c r="F151" s="162" t="str">
        <f>IFERROR(VLOOKUP(A151,Lulu!A:F,6,0),"")</f>
        <v/>
      </c>
      <c r="G151" s="177" t="str">
        <f>IFERROR(VLOOKUP(E151,Lulu!E:F,2,0),"")</f>
        <v/>
      </c>
      <c r="H151" s="143"/>
      <c r="I151" s="143"/>
      <c r="J151" s="143"/>
    </row>
    <row r="152" spans="1:10" ht="15.75" x14ac:dyDescent="0.25">
      <c r="A152"/>
      <c r="B152" s="25"/>
      <c r="C152" s="150"/>
      <c r="D152" s="144"/>
      <c r="E152"/>
      <c r="F152" s="162" t="str">
        <f>IFERROR(VLOOKUP(A152,Lulu!A:F,6,0),"")</f>
        <v/>
      </c>
      <c r="G152" s="177" t="str">
        <f>IFERROR(VLOOKUP(E152,Lulu!E:F,2,0),"")</f>
        <v/>
      </c>
      <c r="H152" s="143"/>
      <c r="I152" s="143"/>
      <c r="J152" s="143"/>
    </row>
    <row r="153" spans="1:10" ht="15.75" x14ac:dyDescent="0.25">
      <c r="A153"/>
      <c r="B153" s="25"/>
      <c r="C153" s="150"/>
      <c r="D153" s="144"/>
      <c r="E153"/>
      <c r="F153" s="162" t="str">
        <f>IFERROR(VLOOKUP(A153,Lulu!A:F,6,0),"")</f>
        <v/>
      </c>
      <c r="G153" s="177" t="str">
        <f>IFERROR(VLOOKUP(E153,Lulu!E:F,2,0),"")</f>
        <v/>
      </c>
      <c r="H153" s="143"/>
      <c r="I153" s="143"/>
      <c r="J153" s="143"/>
    </row>
    <row r="154" spans="1:10" ht="15.75" x14ac:dyDescent="0.25">
      <c r="A154"/>
      <c r="B154" s="25"/>
      <c r="C154" s="150"/>
      <c r="D154" s="144"/>
      <c r="E154"/>
      <c r="F154" s="162" t="str">
        <f>IFERROR(VLOOKUP(A154,Lulu!A:F,6,0),"")</f>
        <v/>
      </c>
      <c r="G154" s="177" t="str">
        <f>IFERROR(VLOOKUP(E154,Lulu!E:F,2,0),"")</f>
        <v/>
      </c>
      <c r="H154" s="143"/>
      <c r="I154" s="143"/>
      <c r="J154" s="143"/>
    </row>
    <row r="155" spans="1:10" ht="15.75" x14ac:dyDescent="0.25">
      <c r="A155"/>
      <c r="B155" s="25"/>
      <c r="C155" s="150"/>
      <c r="D155" s="144"/>
      <c r="E155"/>
      <c r="F155" s="162" t="str">
        <f>IFERROR(VLOOKUP(A155,Lulu!A:F,6,0),"")</f>
        <v/>
      </c>
      <c r="G155" s="177" t="str">
        <f>IFERROR(VLOOKUP(E155,Lulu!E:F,2,0),"")</f>
        <v/>
      </c>
      <c r="H155" s="143"/>
      <c r="I155" s="143"/>
      <c r="J155" s="143"/>
    </row>
    <row r="156" spans="1:10" ht="15.75" x14ac:dyDescent="0.25">
      <c r="A156"/>
      <c r="B156" s="25"/>
      <c r="C156" s="150"/>
      <c r="D156" s="144"/>
      <c r="E156"/>
      <c r="F156" s="162" t="str">
        <f>IFERROR(VLOOKUP(A156,Lulu!A:F,6,0),"")</f>
        <v/>
      </c>
      <c r="G156" s="177" t="str">
        <f>IFERROR(VLOOKUP(E156,Lulu!E:F,2,0),"")</f>
        <v/>
      </c>
      <c r="H156" s="143"/>
      <c r="I156" s="143"/>
      <c r="J156" s="143"/>
    </row>
    <row r="157" spans="1:10" ht="15.75" x14ac:dyDescent="0.25">
      <c r="A157"/>
      <c r="B157" s="25"/>
      <c r="C157" s="150"/>
      <c r="D157" s="144"/>
      <c r="E157"/>
      <c r="F157" s="162" t="str">
        <f>IFERROR(VLOOKUP(A157,Lulu!A:F,6,0),"")</f>
        <v/>
      </c>
      <c r="G157" s="177" t="str">
        <f>IFERROR(VLOOKUP(E157,Lulu!E:F,2,0),"")</f>
        <v/>
      </c>
      <c r="H157" s="143"/>
      <c r="I157" s="143"/>
      <c r="J157" s="143"/>
    </row>
    <row r="158" spans="1:10" ht="15.75" x14ac:dyDescent="0.25">
      <c r="A158"/>
      <c r="B158" s="25"/>
      <c r="C158" s="150"/>
      <c r="D158" s="144"/>
      <c r="E158"/>
      <c r="F158" s="162" t="str">
        <f>IFERROR(VLOOKUP(A158,Lulu!A:F,6,0),"")</f>
        <v/>
      </c>
      <c r="G158" s="177" t="str">
        <f>IFERROR(VLOOKUP(E158,Lulu!E:F,2,0),"")</f>
        <v/>
      </c>
      <c r="H158" s="143"/>
      <c r="I158" s="143"/>
      <c r="J158" s="143"/>
    </row>
    <row r="159" spans="1:10" ht="15.75" x14ac:dyDescent="0.25">
      <c r="A159"/>
      <c r="B159" s="25"/>
      <c r="C159" s="150"/>
      <c r="D159" s="144"/>
      <c r="E159"/>
      <c r="F159" s="162" t="str">
        <f>IFERROR(VLOOKUP(A159,Lulu!A:F,6,0),"")</f>
        <v/>
      </c>
      <c r="G159" s="177" t="str">
        <f>IFERROR(VLOOKUP(E159,Lulu!E:F,2,0),"")</f>
        <v/>
      </c>
      <c r="H159" s="143"/>
      <c r="I159" s="143"/>
      <c r="J159" s="143"/>
    </row>
    <row r="160" spans="1:10" ht="15.75" x14ac:dyDescent="0.25">
      <c r="A160"/>
      <c r="B160" s="25"/>
      <c r="C160" s="150"/>
      <c r="D160" s="144"/>
      <c r="E160"/>
      <c r="F160" s="162" t="str">
        <f>IFERROR(VLOOKUP(A160,Lulu!A:F,6,0),"")</f>
        <v/>
      </c>
      <c r="G160" s="177" t="str">
        <f>IFERROR(VLOOKUP(E160,Lulu!E:F,2,0),"")</f>
        <v/>
      </c>
      <c r="H160" s="143"/>
      <c r="I160" s="143"/>
      <c r="J160" s="143"/>
    </row>
    <row r="161" spans="1:10" ht="15.75" x14ac:dyDescent="0.25">
      <c r="A161"/>
      <c r="B161" s="25"/>
      <c r="C161" s="150"/>
      <c r="D161" s="144"/>
      <c r="E161"/>
      <c r="F161" s="162" t="str">
        <f>IFERROR(VLOOKUP(A161,Lulu!A:F,6,0),"")</f>
        <v/>
      </c>
      <c r="G161" s="177" t="str">
        <f>IFERROR(VLOOKUP(E161,Lulu!E:F,2,0),"")</f>
        <v/>
      </c>
      <c r="H161" s="143"/>
      <c r="I161" s="143"/>
      <c r="J161" s="143"/>
    </row>
    <row r="162" spans="1:10" ht="15.75" x14ac:dyDescent="0.25">
      <c r="A162"/>
      <c r="B162" s="25"/>
      <c r="C162" s="150"/>
      <c r="D162" s="144"/>
      <c r="E162"/>
      <c r="F162" s="162" t="str">
        <f>IFERROR(VLOOKUP(A162,Lulu!A:F,6,0),"")</f>
        <v/>
      </c>
      <c r="G162" s="177" t="str">
        <f>IFERROR(VLOOKUP(E162,Lulu!E:F,2,0),"")</f>
        <v/>
      </c>
      <c r="H162" s="143"/>
      <c r="I162" s="143"/>
      <c r="J162" s="143"/>
    </row>
    <row r="163" spans="1:10" ht="15.75" x14ac:dyDescent="0.25">
      <c r="A163"/>
      <c r="B163" s="25"/>
      <c r="C163" s="150"/>
      <c r="D163" s="144"/>
      <c r="E163"/>
      <c r="F163" s="162" t="str">
        <f>IFERROR(VLOOKUP(A163,Lulu!A:F,6,0),"")</f>
        <v/>
      </c>
      <c r="G163" s="177" t="str">
        <f>IFERROR(VLOOKUP(E163,Lulu!E:F,2,0),"")</f>
        <v/>
      </c>
      <c r="H163" s="143"/>
      <c r="I163" s="143"/>
      <c r="J163" s="143"/>
    </row>
    <row r="164" spans="1:10" ht="15.75" x14ac:dyDescent="0.25">
      <c r="A164"/>
      <c r="B164" s="25"/>
      <c r="C164" s="150"/>
      <c r="D164" s="144"/>
      <c r="E164"/>
      <c r="F164" s="162" t="str">
        <f>IFERROR(VLOOKUP(A164,Lulu!A:F,6,0),"")</f>
        <v/>
      </c>
      <c r="G164" s="177" t="str">
        <f>IFERROR(VLOOKUP(E164,Lulu!E:F,2,0),"")</f>
        <v/>
      </c>
      <c r="H164" s="143"/>
      <c r="I164" s="143"/>
      <c r="J164" s="143"/>
    </row>
    <row r="165" spans="1:10" ht="15.75" x14ac:dyDescent="0.25">
      <c r="A165"/>
      <c r="B165" s="25"/>
      <c r="C165" s="150"/>
      <c r="D165" s="144"/>
      <c r="E165"/>
      <c r="F165" s="162" t="str">
        <f>IFERROR(VLOOKUP(A165,Lulu!A:F,6,0),"")</f>
        <v/>
      </c>
      <c r="G165" s="177" t="str">
        <f>IFERROR(VLOOKUP(E165,Lulu!E:F,2,0),"")</f>
        <v/>
      </c>
      <c r="H165" s="143"/>
      <c r="I165" s="143"/>
      <c r="J165" s="143"/>
    </row>
    <row r="166" spans="1:10" ht="15.75" x14ac:dyDescent="0.25">
      <c r="A166"/>
      <c r="B166" s="25"/>
      <c r="C166" s="150"/>
      <c r="D166" s="144"/>
      <c r="E166"/>
      <c r="F166" s="162" t="str">
        <f>IFERROR(VLOOKUP(A166,Lulu!A:F,6,0),"")</f>
        <v/>
      </c>
      <c r="G166" s="177" t="str">
        <f>IFERROR(VLOOKUP(E166,Lulu!E:F,2,0),"")</f>
        <v/>
      </c>
      <c r="H166" s="143"/>
      <c r="I166" s="143"/>
      <c r="J166" s="143"/>
    </row>
    <row r="167" spans="1:10" ht="15.75" x14ac:dyDescent="0.25">
      <c r="A167"/>
      <c r="B167" s="25"/>
      <c r="C167" s="150"/>
      <c r="D167" s="144"/>
      <c r="E167"/>
      <c r="F167" s="162" t="str">
        <f>IFERROR(VLOOKUP(A167,Lulu!A:F,6,0),"")</f>
        <v/>
      </c>
      <c r="G167" s="177" t="str">
        <f>IFERROR(VLOOKUP(E167,Lulu!E:F,2,0),"")</f>
        <v/>
      </c>
      <c r="H167" s="143"/>
      <c r="I167" s="143"/>
      <c r="J167" s="143"/>
    </row>
    <row r="168" spans="1:10" ht="15.75" x14ac:dyDescent="0.25">
      <c r="A168"/>
      <c r="B168" s="25"/>
      <c r="C168" s="150"/>
      <c r="D168" s="144"/>
      <c r="E168"/>
      <c r="F168" s="162" t="str">
        <f>IFERROR(VLOOKUP(A168,Lulu!A:F,6,0),"")</f>
        <v/>
      </c>
      <c r="G168" s="177" t="str">
        <f>IFERROR(VLOOKUP(E168,Lulu!E:F,2,0),"")</f>
        <v/>
      </c>
      <c r="H168" s="143"/>
      <c r="I168" s="143"/>
      <c r="J168" s="143"/>
    </row>
    <row r="169" spans="1:10" ht="15.75" x14ac:dyDescent="0.25">
      <c r="A169"/>
      <c r="B169" s="25"/>
      <c r="C169" s="150"/>
      <c r="D169" s="144"/>
      <c r="E169"/>
      <c r="F169" s="162" t="str">
        <f>IFERROR(VLOOKUP(A169,Lulu!A:F,6,0),"")</f>
        <v/>
      </c>
      <c r="G169" s="177" t="str">
        <f>IFERROR(VLOOKUP(E169,Lulu!E:F,2,0),"")</f>
        <v/>
      </c>
      <c r="H169" s="143"/>
      <c r="I169" s="143"/>
      <c r="J169" s="143"/>
    </row>
    <row r="170" spans="1:10" ht="15.75" x14ac:dyDescent="0.25">
      <c r="A170"/>
      <c r="B170" s="25"/>
      <c r="C170" s="150"/>
      <c r="D170" s="144"/>
      <c r="E170"/>
      <c r="F170" s="162" t="str">
        <f>IFERROR(VLOOKUP(A170,Lulu!A:F,6,0),"")</f>
        <v/>
      </c>
      <c r="G170" s="177" t="str">
        <f>IFERROR(VLOOKUP(E170,Lulu!E:F,2,0),"")</f>
        <v/>
      </c>
      <c r="H170" s="143"/>
      <c r="I170" s="143"/>
      <c r="J170" s="143"/>
    </row>
    <row r="171" spans="1:10" ht="15.75" x14ac:dyDescent="0.25">
      <c r="A171"/>
      <c r="B171" s="25"/>
      <c r="C171" s="150"/>
      <c r="D171" s="144"/>
      <c r="E171"/>
      <c r="F171" s="162" t="str">
        <f>IFERROR(VLOOKUP(A171,Lulu!A:F,6,0),"")</f>
        <v/>
      </c>
      <c r="G171" s="177" t="str">
        <f>IFERROR(VLOOKUP(E171,Lulu!E:F,2,0),"")</f>
        <v/>
      </c>
      <c r="H171" s="143"/>
      <c r="I171" s="143"/>
      <c r="J171" s="143"/>
    </row>
    <row r="172" spans="1:10" ht="15.75" x14ac:dyDescent="0.25">
      <c r="A172"/>
      <c r="B172" s="25"/>
      <c r="C172" s="150"/>
      <c r="D172" s="144"/>
      <c r="E172"/>
      <c r="F172" s="162" t="str">
        <f>IFERROR(VLOOKUP(A172,Lulu!A:F,6,0),"")</f>
        <v/>
      </c>
      <c r="G172" s="177" t="str">
        <f>IFERROR(VLOOKUP(E172,Lulu!E:F,2,0),"")</f>
        <v/>
      </c>
      <c r="H172" s="143"/>
      <c r="I172" s="143"/>
      <c r="J172" s="143"/>
    </row>
    <row r="173" spans="1:10" ht="15.75" x14ac:dyDescent="0.25">
      <c r="A173"/>
      <c r="B173" s="25"/>
      <c r="C173" s="150"/>
      <c r="D173" s="144"/>
      <c r="E173"/>
      <c r="F173" s="162" t="str">
        <f>IFERROR(VLOOKUP(A173,Lulu!A:F,6,0),"")</f>
        <v/>
      </c>
      <c r="G173" s="177" t="str">
        <f>IFERROR(VLOOKUP(E173,Lulu!E:F,2,0),"")</f>
        <v/>
      </c>
      <c r="H173" s="143"/>
      <c r="I173" s="143"/>
      <c r="J173" s="143"/>
    </row>
    <row r="174" spans="1:10" ht="15.75" x14ac:dyDescent="0.25">
      <c r="A174"/>
      <c r="B174" s="149"/>
      <c r="C174" s="150"/>
      <c r="D174" s="144"/>
      <c r="E174"/>
      <c r="F174" s="162" t="str">
        <f>IFERROR(VLOOKUP(A174,Lulu!A:F,6,0),"")</f>
        <v/>
      </c>
      <c r="G174" s="177" t="str">
        <f>IFERROR(VLOOKUP(E174,Lulu!E:F,2,0),"")</f>
        <v/>
      </c>
      <c r="H174" s="143"/>
      <c r="I174" s="143"/>
      <c r="J174" s="143"/>
    </row>
    <row r="175" spans="1:10" ht="15.75" x14ac:dyDescent="0.25">
      <c r="A175"/>
      <c r="B175" s="149"/>
      <c r="C175" s="150"/>
      <c r="D175" s="144"/>
      <c r="E175"/>
      <c r="F175" s="162" t="str">
        <f>IFERROR(VLOOKUP(A175,Lulu!A:F,6,0),"")</f>
        <v/>
      </c>
      <c r="G175" s="177" t="str">
        <f>IFERROR(VLOOKUP(E175,Lulu!E:F,2,0),"")</f>
        <v/>
      </c>
      <c r="H175" s="143"/>
      <c r="I175" s="143"/>
      <c r="J175" s="143"/>
    </row>
    <row r="176" spans="1:10" ht="15.75" x14ac:dyDescent="0.25">
      <c r="A176"/>
      <c r="B176" s="149"/>
      <c r="C176" s="150"/>
      <c r="D176" s="144"/>
      <c r="E176"/>
      <c r="F176" s="162" t="str">
        <f>IFERROR(VLOOKUP(A176,Lulu!A:F,6,0),"")</f>
        <v/>
      </c>
      <c r="G176" s="177" t="str">
        <f>IFERROR(VLOOKUP(E176,Lulu!E:F,2,0),"")</f>
        <v/>
      </c>
      <c r="H176" s="143"/>
      <c r="I176" s="143"/>
      <c r="J176" s="143"/>
    </row>
    <row r="177" spans="1:10" ht="15.75" x14ac:dyDescent="0.25">
      <c r="A177"/>
      <c r="B177" s="149"/>
      <c r="C177" s="150"/>
      <c r="D177" s="144"/>
      <c r="E177"/>
      <c r="F177" s="162" t="str">
        <f>IFERROR(VLOOKUP(A177,Lulu!A:F,6,0),"")</f>
        <v/>
      </c>
      <c r="G177" s="177" t="str">
        <f>IFERROR(VLOOKUP(E177,Lulu!E:F,2,0),"")</f>
        <v/>
      </c>
      <c r="H177" s="143"/>
      <c r="I177" s="143"/>
      <c r="J177" s="143"/>
    </row>
    <row r="178" spans="1:10" ht="15.75" x14ac:dyDescent="0.25">
      <c r="A178"/>
      <c r="B178" s="149"/>
      <c r="C178" s="150"/>
      <c r="D178" s="144"/>
      <c r="E178"/>
      <c r="F178" s="162" t="str">
        <f>IFERROR(VLOOKUP(A178,Lulu!A:F,6,0),"")</f>
        <v/>
      </c>
      <c r="G178" s="177" t="str">
        <f>IFERROR(VLOOKUP(E178,Lulu!E:F,2,0),"")</f>
        <v/>
      </c>
      <c r="H178" s="143"/>
      <c r="I178" s="143"/>
      <c r="J178" s="143"/>
    </row>
    <row r="179" spans="1:10" ht="15.75" x14ac:dyDescent="0.25">
      <c r="A179"/>
      <c r="B179" s="149"/>
      <c r="C179" s="150"/>
      <c r="D179" s="144"/>
      <c r="E179"/>
      <c r="F179" s="162" t="str">
        <f>IFERROR(VLOOKUP(A179,Lulu!A:F,6,0),"")</f>
        <v/>
      </c>
      <c r="G179" s="177" t="str">
        <f>IFERROR(VLOOKUP(E179,Lulu!E:F,2,0),"")</f>
        <v/>
      </c>
      <c r="H179" s="143"/>
      <c r="I179" s="143"/>
      <c r="J179" s="143"/>
    </row>
    <row r="180" spans="1:10" ht="15.75" x14ac:dyDescent="0.25">
      <c r="A180"/>
      <c r="B180" s="149"/>
      <c r="C180" s="150"/>
      <c r="D180" s="144"/>
      <c r="E180"/>
      <c r="F180" s="162" t="str">
        <f>IFERROR(VLOOKUP(A180,Lulu!A:F,6,0),"")</f>
        <v/>
      </c>
      <c r="G180" s="177" t="str">
        <f>IFERROR(VLOOKUP(E180,Lulu!E:F,2,0),"")</f>
        <v/>
      </c>
      <c r="H180" s="143"/>
      <c r="I180" s="143"/>
      <c r="J180" s="143"/>
    </row>
    <row r="181" spans="1:10" ht="15.75" x14ac:dyDescent="0.25">
      <c r="A181"/>
      <c r="B181" s="149"/>
      <c r="C181" s="150"/>
      <c r="D181" s="144"/>
      <c r="E181"/>
      <c r="F181" s="162" t="str">
        <f>IFERROR(VLOOKUP(A181,Lulu!A:F,6,0),"")</f>
        <v/>
      </c>
      <c r="G181" s="177" t="str">
        <f>IFERROR(VLOOKUP(E181,Lulu!E:F,2,0),"")</f>
        <v/>
      </c>
      <c r="H181" s="143"/>
      <c r="I181" s="143"/>
      <c r="J181" s="143"/>
    </row>
    <row r="182" spans="1:10" ht="15.75" x14ac:dyDescent="0.25">
      <c r="A182"/>
      <c r="B182" s="149"/>
      <c r="C182" s="150"/>
      <c r="D182" s="144"/>
      <c r="E182"/>
      <c r="F182" s="162" t="str">
        <f>IFERROR(VLOOKUP(A182,Lulu!A:F,6,0),"")</f>
        <v/>
      </c>
      <c r="G182" s="177" t="str">
        <f>IFERROR(VLOOKUP(E182,Lulu!E:F,2,0),"")</f>
        <v/>
      </c>
      <c r="H182" s="143"/>
      <c r="I182" s="143"/>
      <c r="J182" s="143"/>
    </row>
    <row r="183" spans="1:10" ht="15.75" x14ac:dyDescent="0.25">
      <c r="A183"/>
      <c r="B183" s="149"/>
      <c r="C183" s="150"/>
      <c r="D183" s="144"/>
      <c r="E183"/>
      <c r="F183" s="162" t="str">
        <f>IFERROR(VLOOKUP(A183,Lulu!A:F,6,0),"")</f>
        <v/>
      </c>
      <c r="G183" s="177" t="str">
        <f>IFERROR(VLOOKUP(E183,Lulu!E:F,2,0),"")</f>
        <v/>
      </c>
      <c r="H183" s="143"/>
      <c r="I183" s="143"/>
      <c r="J183" s="143"/>
    </row>
    <row r="184" spans="1:10" ht="15.75" x14ac:dyDescent="0.25">
      <c r="A184"/>
      <c r="B184" s="149"/>
      <c r="C184" s="150"/>
      <c r="D184" s="144"/>
      <c r="E184"/>
      <c r="F184" s="162" t="str">
        <f>IFERROR(VLOOKUP(A184,Lulu!A:F,6,0),"")</f>
        <v/>
      </c>
      <c r="G184" s="177" t="str">
        <f>IFERROR(VLOOKUP(E184,Lulu!E:F,2,0),"")</f>
        <v/>
      </c>
      <c r="H184" s="143"/>
      <c r="I184" s="143"/>
      <c r="J184" s="143"/>
    </row>
    <row r="185" spans="1:10" ht="15.75" x14ac:dyDescent="0.25">
      <c r="A185"/>
      <c r="B185" s="149"/>
      <c r="C185" s="150"/>
      <c r="D185" s="144"/>
      <c r="E185"/>
      <c r="F185" s="162" t="str">
        <f>IFERROR(VLOOKUP(A185,Lulu!A:F,6,0),"")</f>
        <v/>
      </c>
      <c r="G185" s="177" t="str">
        <f>IFERROR(VLOOKUP(E185,Lulu!E:F,2,0),"")</f>
        <v/>
      </c>
      <c r="H185" s="143"/>
      <c r="I185" s="143"/>
      <c r="J185" s="143"/>
    </row>
    <row r="186" spans="1:10" ht="15.75" x14ac:dyDescent="0.25">
      <c r="A186"/>
      <c r="B186" s="149"/>
      <c r="C186" s="150"/>
      <c r="D186" s="144"/>
      <c r="E186"/>
      <c r="F186" s="162" t="str">
        <f>IFERROR(VLOOKUP(A186,Lulu!A:F,6,0),"")</f>
        <v/>
      </c>
      <c r="G186" s="177" t="str">
        <f>IFERROR(VLOOKUP(E186,Lulu!E:F,2,0),"")</f>
        <v/>
      </c>
      <c r="H186" s="143"/>
      <c r="I186" s="143"/>
      <c r="J186" s="143"/>
    </row>
    <row r="187" spans="1:10" ht="15.75" x14ac:dyDescent="0.25">
      <c r="A187"/>
      <c r="B187" s="149"/>
      <c r="C187" s="150"/>
      <c r="D187" s="144"/>
      <c r="E187"/>
      <c r="F187" s="162" t="str">
        <f>IFERROR(VLOOKUP(A187,Lulu!A:F,6,0),"")</f>
        <v/>
      </c>
      <c r="G187" s="177" t="str">
        <f>IFERROR(VLOOKUP(E187,Lulu!E:F,2,0),"")</f>
        <v/>
      </c>
      <c r="H187" s="143"/>
      <c r="I187" s="143"/>
      <c r="J187" s="143"/>
    </row>
    <row r="188" spans="1:10" ht="15.75" x14ac:dyDescent="0.25">
      <c r="A188"/>
      <c r="B188" s="149"/>
      <c r="C188" s="150"/>
      <c r="D188" s="144"/>
      <c r="E188"/>
      <c r="F188" s="162" t="str">
        <f>IFERROR(VLOOKUP(A188,Lulu!A:F,6,0),"")</f>
        <v/>
      </c>
      <c r="G188" s="177" t="str">
        <f>IFERROR(VLOOKUP(E188,Lulu!E:F,2,0),"")</f>
        <v/>
      </c>
      <c r="H188" s="143"/>
      <c r="I188" s="143"/>
      <c r="J188" s="143"/>
    </row>
    <row r="189" spans="1:10" ht="15.75" x14ac:dyDescent="0.25">
      <c r="A189"/>
      <c r="B189" s="149"/>
      <c r="C189" s="150"/>
      <c r="D189" s="144"/>
      <c r="E189"/>
      <c r="F189" s="162" t="str">
        <f>IFERROR(VLOOKUP(A189,Lulu!A:F,6,0),"")</f>
        <v/>
      </c>
      <c r="G189" s="177" t="str">
        <f>IFERROR(VLOOKUP(E189,Lulu!E:F,2,0),"")</f>
        <v/>
      </c>
      <c r="H189" s="143"/>
      <c r="I189" s="143"/>
      <c r="J189" s="143"/>
    </row>
    <row r="190" spans="1:10" ht="15.75" x14ac:dyDescent="0.25">
      <c r="A190"/>
      <c r="B190" s="149"/>
      <c r="C190" s="150"/>
      <c r="D190" s="144"/>
      <c r="E190"/>
      <c r="F190" s="162" t="str">
        <f>IFERROR(VLOOKUP(A190,Lulu!A:F,6,0),"")</f>
        <v/>
      </c>
      <c r="G190" s="177" t="str">
        <f>IFERROR(VLOOKUP(E190,Lulu!E:F,2,0),"")</f>
        <v/>
      </c>
      <c r="H190" s="143"/>
      <c r="I190" s="143"/>
      <c r="J190" s="143"/>
    </row>
    <row r="191" spans="1:10" ht="15.75" x14ac:dyDescent="0.25">
      <c r="A191"/>
      <c r="B191" s="149"/>
      <c r="C191" s="150"/>
      <c r="D191" s="144"/>
      <c r="E191"/>
      <c r="F191" s="162" t="str">
        <f>IFERROR(VLOOKUP(A191,Lulu!A:F,6,0),"")</f>
        <v/>
      </c>
      <c r="G191" s="177" t="str">
        <f>IFERROR(VLOOKUP(E191,Lulu!E:F,2,0),"")</f>
        <v/>
      </c>
      <c r="H191" s="143"/>
      <c r="I191" s="143"/>
      <c r="J191" s="143"/>
    </row>
    <row r="192" spans="1:10" ht="15.75" x14ac:dyDescent="0.25">
      <c r="A192"/>
      <c r="B192" s="149"/>
      <c r="C192" s="150"/>
      <c r="D192" s="144"/>
      <c r="E192"/>
      <c r="F192" s="162" t="str">
        <f>IFERROR(VLOOKUP(A192,Lulu!A:F,6,0),"")</f>
        <v/>
      </c>
      <c r="G192" s="177" t="str">
        <f>IFERROR(VLOOKUP(E192,Lulu!E:F,2,0),"")</f>
        <v/>
      </c>
      <c r="H192" s="143"/>
      <c r="I192" s="143"/>
      <c r="J192" s="143"/>
    </row>
    <row r="193" spans="1:10" ht="15.75" x14ac:dyDescent="0.25">
      <c r="A193"/>
      <c r="B193" s="149"/>
      <c r="C193" s="150"/>
      <c r="D193" s="144"/>
      <c r="E193"/>
      <c r="F193" s="162" t="str">
        <f>IFERROR(VLOOKUP(A193,Lulu!A:F,6,0),"")</f>
        <v/>
      </c>
      <c r="G193" s="177" t="str">
        <f>IFERROR(VLOOKUP(E193,Lulu!E:F,2,0),"")</f>
        <v/>
      </c>
      <c r="H193" s="143"/>
      <c r="I193" s="143"/>
      <c r="J193" s="143"/>
    </row>
    <row r="194" spans="1:10" ht="15.75" x14ac:dyDescent="0.25">
      <c r="A194"/>
      <c r="B194" s="149"/>
      <c r="C194" s="150"/>
      <c r="D194" s="144"/>
      <c r="E194"/>
      <c r="F194" s="162" t="str">
        <f>IFERROR(VLOOKUP(A194,Lulu!A:F,6,0),"")</f>
        <v/>
      </c>
      <c r="G194" s="177" t="str">
        <f>IFERROR(VLOOKUP(E194,Lulu!E:F,2,0),"")</f>
        <v/>
      </c>
      <c r="H194" s="143"/>
      <c r="I194" s="143"/>
      <c r="J194" s="143"/>
    </row>
    <row r="195" spans="1:10" ht="15.75" x14ac:dyDescent="0.25">
      <c r="A195"/>
      <c r="B195" s="149"/>
      <c r="C195" s="150"/>
      <c r="D195" s="144"/>
      <c r="E195"/>
      <c r="F195" s="162" t="str">
        <f>IFERROR(VLOOKUP(A195,Lulu!A:F,6,0),"")</f>
        <v/>
      </c>
      <c r="G195" s="177" t="str">
        <f>IFERROR(VLOOKUP(E195,Lulu!E:F,2,0),"")</f>
        <v/>
      </c>
      <c r="H195" s="143"/>
      <c r="I195" s="143"/>
      <c r="J195" s="143"/>
    </row>
    <row r="196" spans="1:10" ht="15.75" x14ac:dyDescent="0.25">
      <c r="A196"/>
      <c r="B196" s="149"/>
      <c r="C196" s="150"/>
      <c r="D196" s="144"/>
      <c r="E196"/>
      <c r="F196" s="162" t="str">
        <f>IFERROR(VLOOKUP(A196,Lulu!A:F,6,0),"")</f>
        <v/>
      </c>
      <c r="G196" s="177" t="str">
        <f>IFERROR(VLOOKUP(E196,Lulu!E:F,2,0),"")</f>
        <v/>
      </c>
      <c r="H196" s="143"/>
      <c r="I196" s="143"/>
      <c r="J196" s="143"/>
    </row>
    <row r="197" spans="1:10" ht="15.75" x14ac:dyDescent="0.25">
      <c r="A197"/>
      <c r="B197" s="149"/>
      <c r="C197" s="150"/>
      <c r="D197" s="144"/>
      <c r="E197"/>
      <c r="F197" s="162" t="str">
        <f>IFERROR(VLOOKUP(A197,Lulu!A:F,6,0),"")</f>
        <v/>
      </c>
      <c r="G197" s="177" t="str">
        <f>IFERROR(VLOOKUP(E197,Lulu!E:F,2,0),"")</f>
        <v/>
      </c>
      <c r="H197" s="143"/>
      <c r="I197" s="143"/>
      <c r="J197" s="143"/>
    </row>
    <row r="198" spans="1:10" ht="15.75" x14ac:dyDescent="0.25">
      <c r="A198"/>
      <c r="B198" s="149"/>
      <c r="C198" s="150"/>
      <c r="D198" s="144"/>
      <c r="E198"/>
      <c r="F198" s="162" t="str">
        <f>IFERROR(VLOOKUP(A198,Lulu!A:F,6,0),"")</f>
        <v/>
      </c>
      <c r="G198" s="177" t="str">
        <f>IFERROR(VLOOKUP(E198,Lulu!E:F,2,0),"")</f>
        <v/>
      </c>
      <c r="H198" s="143"/>
      <c r="I198" s="143"/>
      <c r="J198" s="143"/>
    </row>
    <row r="199" spans="1:10" ht="15.75" x14ac:dyDescent="0.25">
      <c r="A199"/>
      <c r="B199" s="149"/>
      <c r="C199" s="150"/>
      <c r="D199" s="144"/>
      <c r="E199"/>
      <c r="F199" s="162" t="str">
        <f>IFERROR(VLOOKUP(A199,Lulu!A:F,6,0),"")</f>
        <v/>
      </c>
      <c r="G199" s="177" t="str">
        <f>IFERROR(VLOOKUP(E199,Lulu!E:F,2,0),"")</f>
        <v/>
      </c>
      <c r="H199" s="143"/>
      <c r="I199" s="143"/>
      <c r="J199" s="143"/>
    </row>
    <row r="200" spans="1:10" ht="15.75" x14ac:dyDescent="0.25">
      <c r="A200"/>
      <c r="B200" s="149"/>
      <c r="C200" s="150"/>
      <c r="D200" s="144"/>
      <c r="E200"/>
      <c r="F200" s="162" t="str">
        <f>IFERROR(VLOOKUP(A200,Lulu!A:F,6,0),"")</f>
        <v/>
      </c>
      <c r="G200" s="177" t="str">
        <f>IFERROR(VLOOKUP(E200,Lulu!E:F,2,0),"")</f>
        <v/>
      </c>
      <c r="H200" s="143"/>
      <c r="I200" s="143"/>
      <c r="J200" s="143"/>
    </row>
    <row r="201" spans="1:10" ht="15.75" x14ac:dyDescent="0.25">
      <c r="A201"/>
      <c r="B201" s="149"/>
      <c r="C201" s="150"/>
      <c r="D201" s="144"/>
      <c r="E201"/>
      <c r="F201" s="162" t="str">
        <f>IFERROR(VLOOKUP(A201,Lulu!A:F,6,0),"")</f>
        <v/>
      </c>
      <c r="G201" s="177" t="str">
        <f>IFERROR(VLOOKUP(E201,Lulu!E:F,2,0),"")</f>
        <v/>
      </c>
      <c r="H201" s="143"/>
      <c r="I201" s="143"/>
      <c r="J201" s="143"/>
    </row>
    <row r="202" spans="1:10" ht="15.75" x14ac:dyDescent="0.25">
      <c r="A202"/>
      <c r="B202" s="149"/>
      <c r="C202" s="150"/>
      <c r="D202" s="144"/>
      <c r="E202"/>
      <c r="F202" s="162" t="str">
        <f>IFERROR(VLOOKUP(A202,Lulu!A:F,6,0),"")</f>
        <v/>
      </c>
      <c r="G202" s="177" t="str">
        <f>IFERROR(VLOOKUP(E202,Lulu!E:F,2,0),"")</f>
        <v/>
      </c>
      <c r="H202" s="143"/>
      <c r="I202" s="143"/>
      <c r="J202" s="143"/>
    </row>
    <row r="203" spans="1:10" ht="15.75" x14ac:dyDescent="0.25">
      <c r="A203"/>
      <c r="B203" s="149"/>
      <c r="C203" s="150"/>
      <c r="D203" s="144"/>
      <c r="E203"/>
      <c r="F203" s="162" t="str">
        <f>IFERROR(VLOOKUP(A203,Lulu!A:F,6,0),"")</f>
        <v/>
      </c>
      <c r="G203" s="177" t="str">
        <f>IFERROR(VLOOKUP(E203,Lulu!E:F,2,0),"")</f>
        <v/>
      </c>
      <c r="H203" s="143"/>
      <c r="I203" s="143"/>
      <c r="J203" s="143"/>
    </row>
    <row r="204" spans="1:10" ht="15.75" x14ac:dyDescent="0.25">
      <c r="A204"/>
      <c r="B204" s="149"/>
      <c r="C204" s="150"/>
      <c r="D204" s="144"/>
      <c r="E204"/>
      <c r="F204" s="162" t="str">
        <f>IFERROR(VLOOKUP(A204,Lulu!A:F,6,0),"")</f>
        <v/>
      </c>
      <c r="G204" s="177" t="str">
        <f>IFERROR(VLOOKUP(E204,Lulu!E:F,2,0),"")</f>
        <v/>
      </c>
      <c r="H204" s="143"/>
      <c r="I204" s="143"/>
      <c r="J204" s="143"/>
    </row>
    <row r="205" spans="1:10" ht="15.75" x14ac:dyDescent="0.25">
      <c r="A205"/>
      <c r="B205" s="149"/>
      <c r="C205" s="150"/>
      <c r="D205" s="144"/>
      <c r="E205"/>
      <c r="F205" s="162" t="str">
        <f>IFERROR(VLOOKUP(A205,Lulu!A:F,6,0),"")</f>
        <v/>
      </c>
      <c r="G205" s="177" t="str">
        <f>IFERROR(VLOOKUP(E205,Lulu!E:F,2,0),"")</f>
        <v/>
      </c>
      <c r="H205" s="143"/>
      <c r="I205" s="143"/>
      <c r="J205" s="143"/>
    </row>
    <row r="206" spans="1:10" ht="15.75" x14ac:dyDescent="0.25">
      <c r="A206"/>
      <c r="B206" s="149"/>
      <c r="C206" s="150"/>
      <c r="D206" s="144"/>
      <c r="E206"/>
      <c r="F206" s="162" t="str">
        <f>IFERROR(VLOOKUP(A206,Lulu!A:F,6,0),"")</f>
        <v/>
      </c>
      <c r="G206" s="177" t="str">
        <f>IFERROR(VLOOKUP(E206,Lulu!E:F,2,0),"")</f>
        <v/>
      </c>
      <c r="H206" s="143"/>
      <c r="I206" s="143"/>
      <c r="J206" s="143"/>
    </row>
    <row r="207" spans="1:10" ht="15.75" x14ac:dyDescent="0.25">
      <c r="A207"/>
      <c r="B207" s="149"/>
      <c r="C207" s="150"/>
      <c r="D207" s="144"/>
      <c r="E207"/>
      <c r="F207" s="162" t="str">
        <f>IFERROR(VLOOKUP(A207,Lulu!A:F,6,0),"")</f>
        <v/>
      </c>
      <c r="G207" s="177" t="str">
        <f>IFERROR(VLOOKUP(E207,Lulu!E:F,2,0),"")</f>
        <v/>
      </c>
      <c r="H207" s="143"/>
      <c r="I207" s="143"/>
      <c r="J207" s="143"/>
    </row>
    <row r="208" spans="1:10" ht="15.75" x14ac:dyDescent="0.25">
      <c r="A208"/>
      <c r="B208" s="149"/>
      <c r="C208" s="150"/>
      <c r="D208" s="144"/>
      <c r="E208"/>
      <c r="F208" s="162" t="str">
        <f>IFERROR(VLOOKUP(A208,Lulu!A:F,6,0),"")</f>
        <v/>
      </c>
      <c r="G208" s="177" t="str">
        <f>IFERROR(VLOOKUP(E208,Lulu!E:F,2,0),"")</f>
        <v/>
      </c>
      <c r="H208" s="143"/>
      <c r="I208" s="143"/>
      <c r="J208" s="143"/>
    </row>
    <row r="209" spans="1:10" ht="15.75" x14ac:dyDescent="0.25">
      <c r="A209"/>
      <c r="B209" s="149"/>
      <c r="C209" s="150"/>
      <c r="D209" s="144"/>
      <c r="E209"/>
      <c r="F209" s="162" t="str">
        <f>IFERROR(VLOOKUP(A209,Lulu!A:F,6,0),"")</f>
        <v/>
      </c>
      <c r="G209" s="177" t="str">
        <f>IFERROR(VLOOKUP(E209,Lulu!E:F,2,0),"")</f>
        <v/>
      </c>
      <c r="H209" s="143"/>
      <c r="I209" s="143"/>
      <c r="J209" s="143"/>
    </row>
    <row r="210" spans="1:10" ht="15.75" x14ac:dyDescent="0.25">
      <c r="A210"/>
      <c r="B210" s="149"/>
      <c r="C210" s="150"/>
      <c r="D210" s="144"/>
      <c r="E210"/>
      <c r="F210" s="162" t="str">
        <f>IFERROR(VLOOKUP(A210,Lulu!A:F,6,0),"")</f>
        <v/>
      </c>
      <c r="G210" s="177" t="str">
        <f>IFERROR(VLOOKUP(E210,Lulu!E:F,2,0),"")</f>
        <v/>
      </c>
      <c r="H210" s="143"/>
      <c r="I210" s="143"/>
      <c r="J210" s="143"/>
    </row>
    <row r="211" spans="1:10" ht="15.75" x14ac:dyDescent="0.25">
      <c r="A211"/>
      <c r="B211" s="149"/>
      <c r="C211" s="150"/>
      <c r="D211" s="144"/>
      <c r="E211"/>
      <c r="F211" s="162" t="str">
        <f>IFERROR(VLOOKUP(A211,Lulu!A:F,6,0),"")</f>
        <v/>
      </c>
      <c r="G211" s="177" t="str">
        <f>IFERROR(VLOOKUP(E211,Lulu!E:F,2,0),"")</f>
        <v/>
      </c>
      <c r="H211" s="143"/>
      <c r="I211" s="143"/>
      <c r="J211" s="143"/>
    </row>
    <row r="212" spans="1:10" ht="15.75" x14ac:dyDescent="0.25">
      <c r="A212"/>
      <c r="B212" s="149"/>
      <c r="C212" s="150"/>
      <c r="D212" s="144"/>
      <c r="E212"/>
      <c r="F212" s="162" t="str">
        <f>IFERROR(VLOOKUP(A212,Lulu!A:F,6,0),"")</f>
        <v/>
      </c>
      <c r="G212" s="177" t="str">
        <f>IFERROR(VLOOKUP(E212,Lulu!E:F,2,0),"")</f>
        <v/>
      </c>
      <c r="H212" s="143"/>
      <c r="I212" s="143"/>
      <c r="J212" s="143"/>
    </row>
    <row r="213" spans="1:10" ht="15.75" x14ac:dyDescent="0.25">
      <c r="A213"/>
      <c r="B213" s="149"/>
      <c r="C213" s="150"/>
      <c r="D213" s="144"/>
      <c r="E213"/>
      <c r="F213" s="162" t="str">
        <f>IFERROR(VLOOKUP(A213,Lulu!A:F,6,0),"")</f>
        <v/>
      </c>
      <c r="G213" s="177" t="str">
        <f>IFERROR(VLOOKUP(E213,Lulu!E:F,2,0),"")</f>
        <v/>
      </c>
      <c r="H213" s="143"/>
      <c r="I213" s="143"/>
      <c r="J213" s="143"/>
    </row>
    <row r="214" spans="1:10" ht="15.75" x14ac:dyDescent="0.25">
      <c r="A214"/>
      <c r="B214" s="149"/>
      <c r="C214" s="150"/>
      <c r="D214" s="144"/>
      <c r="E214"/>
      <c r="F214" s="162" t="str">
        <f>IFERROR(VLOOKUP(A214,Lulu!A:F,6,0),"")</f>
        <v/>
      </c>
      <c r="G214" s="177" t="str">
        <f>IFERROR(VLOOKUP(E214,Lulu!E:F,2,0),"")</f>
        <v/>
      </c>
      <c r="H214" s="143"/>
      <c r="I214" s="143"/>
      <c r="J214" s="143"/>
    </row>
    <row r="215" spans="1:10" ht="15.75" x14ac:dyDescent="0.25">
      <c r="A215"/>
      <c r="B215" s="149"/>
      <c r="C215" s="150"/>
      <c r="D215" s="144"/>
      <c r="E215"/>
      <c r="F215" s="162" t="str">
        <f>IFERROR(VLOOKUP(A215,Lulu!A:F,6,0),"")</f>
        <v/>
      </c>
      <c r="G215" s="177" t="str">
        <f>IFERROR(VLOOKUP(E215,Lulu!E:F,2,0),"")</f>
        <v/>
      </c>
      <c r="H215" s="143"/>
      <c r="I215" s="143"/>
      <c r="J215" s="143"/>
    </row>
    <row r="216" spans="1:10" ht="15.75" x14ac:dyDescent="0.25">
      <c r="A216"/>
      <c r="B216" s="149"/>
      <c r="C216" s="150"/>
      <c r="D216" s="144"/>
      <c r="E216"/>
      <c r="F216" s="162" t="str">
        <f>IFERROR(VLOOKUP(A216,Lulu!A:F,6,0),"")</f>
        <v/>
      </c>
      <c r="G216" s="177" t="str">
        <f>IFERROR(VLOOKUP(E216,Lulu!E:F,2,0),"")</f>
        <v/>
      </c>
      <c r="H216" s="143"/>
      <c r="I216" s="143"/>
      <c r="J216" s="143"/>
    </row>
    <row r="217" spans="1:10" ht="15.75" x14ac:dyDescent="0.25">
      <c r="A217"/>
      <c r="B217" s="149"/>
      <c r="C217" s="150"/>
      <c r="D217" s="144"/>
      <c r="E217"/>
      <c r="F217" s="162" t="str">
        <f>IFERROR(VLOOKUP(A217,Lulu!A:F,6,0),"")</f>
        <v/>
      </c>
      <c r="G217" s="177" t="str">
        <f>IFERROR(VLOOKUP(E217,Lulu!E:F,2,0),"")</f>
        <v/>
      </c>
      <c r="H217" s="143"/>
      <c r="I217" s="143"/>
      <c r="J217" s="143"/>
    </row>
    <row r="218" spans="1:10" ht="15.75" x14ac:dyDescent="0.25">
      <c r="A218"/>
      <c r="B218" s="149"/>
      <c r="C218" s="150"/>
      <c r="D218" s="144"/>
      <c r="E218"/>
      <c r="F218" s="162" t="str">
        <f>IFERROR(VLOOKUP(A218,Lulu!A:F,6,0),"")</f>
        <v/>
      </c>
      <c r="G218" s="177" t="str">
        <f>IFERROR(VLOOKUP(E218,Lulu!E:F,2,0),"")</f>
        <v/>
      </c>
      <c r="H218" s="143"/>
      <c r="I218" s="143"/>
      <c r="J218" s="143"/>
    </row>
    <row r="219" spans="1:10" ht="15.75" x14ac:dyDescent="0.25">
      <c r="A219"/>
      <c r="B219" s="149"/>
      <c r="C219" s="150"/>
      <c r="D219" s="144"/>
      <c r="E219"/>
      <c r="F219" s="162" t="str">
        <f>IFERROR(VLOOKUP(A219,Lulu!A:F,6,0),"")</f>
        <v/>
      </c>
      <c r="G219" s="177" t="str">
        <f>IFERROR(VLOOKUP(E219,Lulu!E:F,2,0),"")</f>
        <v/>
      </c>
      <c r="H219" s="143"/>
      <c r="I219" s="143"/>
      <c r="J219" s="143"/>
    </row>
    <row r="220" spans="1:10" ht="15.75" x14ac:dyDescent="0.25">
      <c r="A220"/>
      <c r="B220" s="149"/>
      <c r="C220" s="150"/>
      <c r="D220" s="144"/>
      <c r="E220"/>
      <c r="F220" s="162" t="str">
        <f>IFERROR(VLOOKUP(A220,Lulu!A:F,6,0),"")</f>
        <v/>
      </c>
      <c r="G220" s="177" t="str">
        <f>IFERROR(VLOOKUP(E220,Lulu!E:F,2,0),"")</f>
        <v/>
      </c>
      <c r="H220" s="143"/>
      <c r="I220" s="143"/>
      <c r="J220" s="143"/>
    </row>
    <row r="221" spans="1:10" ht="15.75" x14ac:dyDescent="0.25">
      <c r="A221"/>
      <c r="B221" s="149"/>
      <c r="C221" s="150"/>
      <c r="D221" s="144"/>
      <c r="E221" s="142"/>
      <c r="F221" s="162" t="str">
        <f>IFERROR(VLOOKUP(A221,Lulu!A:F,6,0),"")</f>
        <v/>
      </c>
      <c r="G221" s="177" t="str">
        <f>IFERROR(VLOOKUP(E221,Lulu!E:F,2,0),"")</f>
        <v/>
      </c>
      <c r="H221" s="143"/>
      <c r="I221" s="143"/>
      <c r="J221" s="143"/>
    </row>
    <row r="222" spans="1:10" ht="15.75" x14ac:dyDescent="0.25">
      <c r="A222" s="25"/>
      <c r="B222" s="149"/>
      <c r="C222" s="150"/>
      <c r="D222" s="144"/>
      <c r="E222" s="142"/>
      <c r="F222" s="162" t="str">
        <f>IFERROR(VLOOKUP(A222,Lulu!A:F,6,0),"")</f>
        <v/>
      </c>
      <c r="G222" s="177" t="str">
        <f>IFERROR(VLOOKUP(E222,Lulu!E:F,2,0),"")</f>
        <v/>
      </c>
      <c r="H222" s="143"/>
      <c r="I222" s="143"/>
      <c r="J222" s="143"/>
    </row>
    <row r="223" spans="1:10" ht="15.75" x14ac:dyDescent="0.25">
      <c r="A223" s="25"/>
      <c r="B223" s="149"/>
      <c r="C223" s="150"/>
      <c r="D223" s="144"/>
      <c r="E223" s="142"/>
      <c r="F223" s="162" t="str">
        <f>IFERROR(VLOOKUP(A223,Lulu!A:F,6,0),"")</f>
        <v/>
      </c>
      <c r="G223" s="177" t="str">
        <f>IFERROR(VLOOKUP(E223,Lulu!E:F,2,0),"")</f>
        <v/>
      </c>
      <c r="H223" s="143"/>
      <c r="I223" s="143"/>
      <c r="J223" s="143"/>
    </row>
    <row r="224" spans="1:10" ht="15.75" x14ac:dyDescent="0.25">
      <c r="A224" s="25"/>
      <c r="B224" s="149"/>
      <c r="C224" s="150"/>
      <c r="D224" s="144"/>
      <c r="E224" s="142"/>
      <c r="F224" s="162" t="str">
        <f>IFERROR(VLOOKUP(A224,Lulu!A:F,6,0),"")</f>
        <v/>
      </c>
      <c r="G224" s="177" t="str">
        <f>IFERROR(VLOOKUP(E224,Lulu!E:F,2,0),"")</f>
        <v/>
      </c>
      <c r="H224" s="143"/>
      <c r="I224" s="143"/>
      <c r="J224" s="143"/>
    </row>
    <row r="225" spans="1:10" ht="15.75" x14ac:dyDescent="0.25">
      <c r="A225" s="25"/>
      <c r="B225" s="149"/>
      <c r="C225" s="150"/>
      <c r="D225" s="144"/>
      <c r="E225" s="142"/>
      <c r="F225" s="162" t="str">
        <f>IFERROR(VLOOKUP(A225,Lulu!A:F,6,0),"")</f>
        <v/>
      </c>
      <c r="G225" s="177" t="str">
        <f>IFERROR(VLOOKUP(E225,Lulu!E:F,2,0),"")</f>
        <v/>
      </c>
      <c r="H225" s="143"/>
      <c r="I225" s="143"/>
      <c r="J225" s="143"/>
    </row>
    <row r="226" spans="1:10" ht="15.75" x14ac:dyDescent="0.25">
      <c r="A226" s="25"/>
      <c r="B226" s="149"/>
      <c r="C226" s="150"/>
      <c r="D226" s="144"/>
      <c r="E226" s="142"/>
      <c r="F226" s="162" t="str">
        <f>IFERROR(VLOOKUP(A226,Lulu!A:F,6,0),"")</f>
        <v/>
      </c>
      <c r="G226" s="177" t="str">
        <f>IFERROR(VLOOKUP(E226,Lulu!E:F,2,0),"")</f>
        <v/>
      </c>
      <c r="H226" s="143"/>
      <c r="I226" s="143"/>
      <c r="J226" s="143"/>
    </row>
    <row r="227" spans="1:10" ht="15.75" x14ac:dyDescent="0.25">
      <c r="A227" s="25"/>
      <c r="B227" s="149"/>
      <c r="C227" s="150"/>
      <c r="D227" s="144"/>
      <c r="E227" s="142"/>
      <c r="F227" s="162" t="str">
        <f>IFERROR(VLOOKUP(A227,Lulu!A:F,6,0),"")</f>
        <v/>
      </c>
      <c r="G227" s="177" t="str">
        <f>IFERROR(VLOOKUP(E227,Lulu!E:F,2,0),"")</f>
        <v/>
      </c>
      <c r="H227" s="143"/>
      <c r="I227" s="143"/>
      <c r="J227" s="143"/>
    </row>
    <row r="228" spans="1:10" ht="15.75" x14ac:dyDescent="0.25">
      <c r="A228" s="25"/>
      <c r="B228" s="149"/>
      <c r="C228" s="150"/>
      <c r="D228" s="144"/>
      <c r="E228" s="142"/>
      <c r="F228" s="162" t="str">
        <f>IFERROR(VLOOKUP(A228,Lulu!A:F,6,0),"")</f>
        <v/>
      </c>
      <c r="G228" s="177" t="str">
        <f>IFERROR(VLOOKUP(E228,Lulu!E:F,2,0),"")</f>
        <v/>
      </c>
      <c r="H228" s="143"/>
      <c r="I228" s="143"/>
      <c r="J228" s="143"/>
    </row>
    <row r="229" spans="1:10" ht="15.75" x14ac:dyDescent="0.25">
      <c r="A229" s="25"/>
      <c r="B229" s="149"/>
      <c r="C229" s="150"/>
      <c r="D229" s="144"/>
      <c r="E229" s="142"/>
      <c r="F229" s="162" t="str">
        <f>IFERROR(VLOOKUP(A229,Lulu!A:F,6,0),"")</f>
        <v/>
      </c>
      <c r="G229" s="177" t="str">
        <f>IFERROR(VLOOKUP(E229,Lulu!E:F,2,0),"")</f>
        <v/>
      </c>
      <c r="H229" s="143"/>
      <c r="I229" s="143"/>
      <c r="J229" s="143"/>
    </row>
    <row r="230" spans="1:10" ht="15.75" x14ac:dyDescent="0.25">
      <c r="A230" s="25"/>
      <c r="B230" s="149"/>
      <c r="C230" s="150"/>
      <c r="D230" s="144"/>
      <c r="E230" s="142"/>
      <c r="F230" s="162" t="str">
        <f>IFERROR(VLOOKUP(A230,Lulu!A:F,6,0),"")</f>
        <v/>
      </c>
      <c r="G230" s="177" t="str">
        <f>IFERROR(VLOOKUP(E230,Lulu!E:F,2,0),"")</f>
        <v/>
      </c>
      <c r="H230" s="143"/>
      <c r="I230" s="143"/>
      <c r="J230" s="143"/>
    </row>
    <row r="231" spans="1:10" ht="15.75" x14ac:dyDescent="0.25">
      <c r="A231" s="25"/>
      <c r="B231" s="149"/>
      <c r="C231" s="150"/>
      <c r="D231" s="144"/>
      <c r="E231" s="142"/>
      <c r="F231" s="162" t="str">
        <f>IFERROR(VLOOKUP(A231,Lulu!A:F,6,0),"")</f>
        <v/>
      </c>
      <c r="G231" s="177" t="str">
        <f>IFERROR(VLOOKUP(E231,Lulu!E:F,2,0),"")</f>
        <v/>
      </c>
      <c r="H231" s="143"/>
      <c r="I231" s="143"/>
      <c r="J231" s="143"/>
    </row>
    <row r="232" spans="1:10" ht="15.75" x14ac:dyDescent="0.25">
      <c r="A232" s="25"/>
      <c r="B232" s="149"/>
      <c r="C232" s="150"/>
      <c r="D232" s="144"/>
      <c r="E232" s="142"/>
      <c r="F232" s="162" t="str">
        <f>IFERROR(VLOOKUP(A232,Lulu!A:F,6,0),"")</f>
        <v/>
      </c>
      <c r="G232" s="177" t="str">
        <f>IFERROR(VLOOKUP(E232,Lulu!E:F,2,0),"")</f>
        <v/>
      </c>
      <c r="H232" s="143"/>
      <c r="I232" s="143"/>
      <c r="J232" s="143"/>
    </row>
    <row r="233" spans="1:10" ht="15.75" x14ac:dyDescent="0.25">
      <c r="A233" s="25"/>
      <c r="B233" s="149"/>
      <c r="C233" s="150"/>
      <c r="D233" s="144"/>
      <c r="E233" s="142"/>
      <c r="F233" s="162" t="str">
        <f>IFERROR(VLOOKUP(A233,Lulu!A:F,6,0),"")</f>
        <v/>
      </c>
      <c r="G233" s="177" t="str">
        <f>IFERROR(VLOOKUP(E233,Lulu!E:F,2,0),"")</f>
        <v/>
      </c>
      <c r="H233" s="143"/>
      <c r="I233" s="143"/>
      <c r="J233" s="143"/>
    </row>
    <row r="234" spans="1:10" ht="15.75" x14ac:dyDescent="0.25">
      <c r="A234" s="25"/>
      <c r="B234" s="149"/>
      <c r="C234" s="150"/>
      <c r="D234" s="144"/>
      <c r="E234" s="142"/>
      <c r="F234" s="162" t="str">
        <f>IFERROR(VLOOKUP(A234,Lulu!A:F,6,0),"")</f>
        <v/>
      </c>
      <c r="G234" s="177" t="str">
        <f>IFERROR(VLOOKUP(E234,Lulu!E:F,2,0),"")</f>
        <v/>
      </c>
      <c r="H234" s="143"/>
      <c r="I234" s="143"/>
      <c r="J234" s="143"/>
    </row>
    <row r="235" spans="1:10" ht="15.75" x14ac:dyDescent="0.25">
      <c r="A235" s="25"/>
      <c r="B235" s="149"/>
      <c r="C235" s="150"/>
      <c r="D235" s="144"/>
      <c r="E235" s="142"/>
      <c r="F235" s="162" t="str">
        <f>IFERROR(VLOOKUP(A235,Lulu!A:F,6,0),"")</f>
        <v/>
      </c>
      <c r="G235" s="177" t="str">
        <f>IFERROR(VLOOKUP(E235,Lulu!E:F,2,0),"")</f>
        <v/>
      </c>
      <c r="H235" s="143"/>
      <c r="I235" s="143"/>
      <c r="J235" s="143"/>
    </row>
    <row r="236" spans="1:10" ht="15.75" x14ac:dyDescent="0.25">
      <c r="A236" s="25"/>
      <c r="B236" s="149"/>
      <c r="C236" s="150"/>
      <c r="D236" s="144"/>
      <c r="E236" s="142"/>
      <c r="F236" s="162" t="str">
        <f>IFERROR(VLOOKUP(A236,Lulu!A:F,6,0),"")</f>
        <v/>
      </c>
      <c r="G236" s="177" t="str">
        <f>IFERROR(VLOOKUP(E236,Lulu!E:F,2,0),"")</f>
        <v/>
      </c>
      <c r="H236" s="143"/>
      <c r="I236" s="143"/>
      <c r="J236" s="143"/>
    </row>
    <row r="237" spans="1:10" ht="15.75" x14ac:dyDescent="0.25">
      <c r="A237" s="25"/>
      <c r="B237" s="149"/>
      <c r="C237" s="150"/>
      <c r="D237" s="144"/>
      <c r="E237" s="142"/>
      <c r="F237" s="162" t="str">
        <f>IFERROR(VLOOKUP(A237,Lulu!A:F,6,0),"")</f>
        <v/>
      </c>
      <c r="G237" s="177" t="str">
        <f>IFERROR(VLOOKUP(E237,Lulu!E:F,2,0),"")</f>
        <v/>
      </c>
      <c r="H237" s="143"/>
      <c r="I237" s="143"/>
      <c r="J237" s="143"/>
    </row>
    <row r="238" spans="1:10" ht="15.75" x14ac:dyDescent="0.25">
      <c r="A238" s="25"/>
      <c r="B238" s="149"/>
      <c r="C238" s="150"/>
      <c r="D238" s="144"/>
      <c r="E238" s="142"/>
      <c r="F238" s="162" t="str">
        <f>IFERROR(VLOOKUP(A238,Lulu!A:F,6,0),"")</f>
        <v/>
      </c>
      <c r="G238" s="177" t="str">
        <f>IFERROR(VLOOKUP(E238,Lulu!E:F,2,0),"")</f>
        <v/>
      </c>
      <c r="H238" s="143"/>
      <c r="I238" s="143"/>
      <c r="J238" s="143"/>
    </row>
    <row r="239" spans="1:10" ht="15.75" x14ac:dyDescent="0.25">
      <c r="A239" s="25"/>
      <c r="B239" s="149"/>
      <c r="C239" s="150"/>
      <c r="D239" s="144"/>
      <c r="E239" s="142"/>
      <c r="F239" s="162" t="str">
        <f>IFERROR(VLOOKUP(A239,Lulu!A:F,6,0),"")</f>
        <v/>
      </c>
      <c r="G239" s="177" t="str">
        <f>IFERROR(VLOOKUP(E239,Lulu!E:F,2,0),"")</f>
        <v/>
      </c>
      <c r="H239" s="143"/>
      <c r="I239" s="143"/>
      <c r="J239" s="143"/>
    </row>
    <row r="240" spans="1:10" ht="15.75" x14ac:dyDescent="0.25">
      <c r="A240" s="25"/>
      <c r="B240" s="149"/>
      <c r="C240" s="150"/>
      <c r="D240" s="144"/>
      <c r="E240" s="142"/>
      <c r="F240" s="162" t="str">
        <f>IFERROR(VLOOKUP(A240,Lulu!A:F,6,0),"")</f>
        <v/>
      </c>
      <c r="G240" s="177" t="str">
        <f>IFERROR(VLOOKUP(E240,Lulu!E:F,2,0),"")</f>
        <v/>
      </c>
      <c r="H240" s="143"/>
      <c r="I240" s="143"/>
      <c r="J240" s="143"/>
    </row>
    <row r="241" spans="1:10" ht="15.75" x14ac:dyDescent="0.25">
      <c r="A241" s="25"/>
      <c r="B241" s="149"/>
      <c r="C241" s="150"/>
      <c r="D241" s="144"/>
      <c r="E241" s="142"/>
      <c r="F241" s="162" t="str">
        <f>IFERROR(VLOOKUP(A241,Lulu!A:F,6,0),"")</f>
        <v/>
      </c>
      <c r="G241" s="177" t="str">
        <f>IFERROR(VLOOKUP(E241,Lulu!E:F,2,0),"")</f>
        <v/>
      </c>
      <c r="H241" s="143"/>
      <c r="I241" s="143"/>
      <c r="J241" s="143"/>
    </row>
    <row r="242" spans="1:10" ht="15.75" x14ac:dyDescent="0.25">
      <c r="A242" s="25"/>
      <c r="B242" s="149"/>
      <c r="C242" s="150"/>
      <c r="D242" s="144"/>
      <c r="E242" s="142"/>
      <c r="F242" s="162" t="str">
        <f>IFERROR(VLOOKUP(A242,Lulu!A:F,6,0),"")</f>
        <v/>
      </c>
      <c r="G242" s="177" t="str">
        <f>IFERROR(VLOOKUP(E242,Lulu!E:F,2,0),"")</f>
        <v/>
      </c>
      <c r="H242" s="143"/>
      <c r="I242" s="143"/>
      <c r="J242" s="143"/>
    </row>
    <row r="243" spans="1:10" ht="15.75" x14ac:dyDescent="0.25">
      <c r="A243" s="25"/>
      <c r="B243" s="149"/>
      <c r="C243" s="150"/>
      <c r="D243" s="144"/>
      <c r="E243" s="142"/>
      <c r="F243" s="162" t="str">
        <f>IFERROR(VLOOKUP(A243,Lulu!A:F,6,0),"")</f>
        <v/>
      </c>
      <c r="G243" s="177" t="str">
        <f>IFERROR(VLOOKUP(E243,Lulu!E:F,2,0),"")</f>
        <v/>
      </c>
      <c r="H243" s="143"/>
      <c r="I243" s="143"/>
      <c r="J243" s="143"/>
    </row>
    <row r="244" spans="1:10" ht="15.75" x14ac:dyDescent="0.25">
      <c r="A244" s="25"/>
      <c r="B244" s="149"/>
      <c r="C244" s="150"/>
      <c r="D244" s="144"/>
      <c r="E244" s="142"/>
      <c r="F244" s="162" t="str">
        <f>IFERROR(VLOOKUP(A244,Lulu!A:F,6,0),"")</f>
        <v/>
      </c>
      <c r="G244" s="177" t="str">
        <f>IFERROR(VLOOKUP(E244,Lulu!E:F,2,0),"")</f>
        <v/>
      </c>
      <c r="H244" s="143"/>
      <c r="I244" s="143"/>
      <c r="J244" s="143"/>
    </row>
    <row r="245" spans="1:10" ht="15.75" x14ac:dyDescent="0.25">
      <c r="A245" s="25"/>
      <c r="B245" s="149"/>
      <c r="C245" s="150"/>
      <c r="D245" s="144"/>
      <c r="E245" s="142"/>
      <c r="F245" s="162" t="str">
        <f>IFERROR(VLOOKUP(A245,Lulu!A:F,6,0),"")</f>
        <v/>
      </c>
      <c r="G245" s="177" t="str">
        <f>IFERROR(VLOOKUP(E245,Lulu!E:F,2,0),"")</f>
        <v/>
      </c>
      <c r="H245" s="143"/>
      <c r="I245" s="143"/>
      <c r="J245" s="143"/>
    </row>
    <row r="246" spans="1:10" ht="15.75" x14ac:dyDescent="0.25">
      <c r="A246" s="25"/>
      <c r="B246" s="149"/>
      <c r="C246" s="150"/>
      <c r="D246" s="144"/>
      <c r="E246" s="142"/>
      <c r="F246" s="162" t="str">
        <f>IFERROR(VLOOKUP(A246,Lulu!A:F,6,0),"")</f>
        <v/>
      </c>
      <c r="G246" s="177" t="str">
        <f>IFERROR(VLOOKUP(E246,Lulu!E:F,2,0),"")</f>
        <v/>
      </c>
      <c r="H246" s="143"/>
      <c r="I246" s="143"/>
      <c r="J246" s="143"/>
    </row>
    <row r="247" spans="1:10" ht="15.75" x14ac:dyDescent="0.25">
      <c r="A247" s="25"/>
      <c r="B247" s="149"/>
      <c r="C247" s="150"/>
      <c r="D247" s="144"/>
      <c r="E247" s="142"/>
      <c r="F247" s="162" t="str">
        <f>IFERROR(VLOOKUP(A247,Lulu!A:F,6,0),"")</f>
        <v/>
      </c>
      <c r="G247" s="177" t="str">
        <f>IFERROR(VLOOKUP(E247,Lulu!E:F,2,0),"")</f>
        <v/>
      </c>
      <c r="H247" s="143"/>
      <c r="I247" s="143"/>
      <c r="J247" s="143"/>
    </row>
    <row r="248" spans="1:10" ht="15.75" x14ac:dyDescent="0.25">
      <c r="A248" s="25"/>
      <c r="B248" s="149"/>
      <c r="C248" s="150"/>
      <c r="D248" s="144"/>
      <c r="E248" s="142"/>
      <c r="F248" s="162" t="str">
        <f>IFERROR(VLOOKUP(A248,Lulu!A:F,6,0),"")</f>
        <v/>
      </c>
      <c r="G248" s="177" t="str">
        <f>IFERROR(VLOOKUP(E248,Lulu!E:F,2,0),"")</f>
        <v/>
      </c>
      <c r="H248" s="143"/>
      <c r="I248" s="143"/>
      <c r="J248" s="143"/>
    </row>
    <row r="249" spans="1:10" ht="15.75" x14ac:dyDescent="0.25">
      <c r="A249" s="25"/>
      <c r="B249" s="149"/>
      <c r="C249" s="150"/>
      <c r="D249" s="144"/>
      <c r="E249" s="142"/>
      <c r="F249" s="162" t="str">
        <f>IFERROR(VLOOKUP(A249,Lulu!A:F,6,0),"")</f>
        <v/>
      </c>
      <c r="G249" s="177" t="str">
        <f>IFERROR(VLOOKUP(E249,Lulu!E:F,2,0),"")</f>
        <v/>
      </c>
      <c r="H249" s="143"/>
      <c r="I249" s="143"/>
      <c r="J249" s="143"/>
    </row>
    <row r="250" spans="1:10" ht="15.75" x14ac:dyDescent="0.25">
      <c r="A250" s="25"/>
      <c r="B250" s="149"/>
      <c r="C250" s="150"/>
      <c r="D250" s="144"/>
      <c r="E250" s="142"/>
      <c r="F250" s="162" t="str">
        <f>IFERROR(VLOOKUP(A250,Lulu!A:F,6,0),"")</f>
        <v/>
      </c>
      <c r="G250" s="177" t="str">
        <f>IFERROR(VLOOKUP(E250,Lulu!E:F,2,0),"")</f>
        <v/>
      </c>
      <c r="H250" s="143"/>
      <c r="I250" s="143"/>
      <c r="J250" s="143"/>
    </row>
    <row r="251" spans="1:10" ht="15.75" x14ac:dyDescent="0.25">
      <c r="A251" s="25"/>
      <c r="B251" s="149"/>
      <c r="C251" s="150"/>
      <c r="D251" s="144"/>
      <c r="E251" s="142"/>
      <c r="F251" s="162" t="str">
        <f>IFERROR(VLOOKUP(A251,Lulu!A:F,6,0),"")</f>
        <v/>
      </c>
      <c r="G251" s="177" t="str">
        <f>IFERROR(VLOOKUP(E251,Lulu!E:F,2,0),"")</f>
        <v/>
      </c>
      <c r="H251" s="143"/>
      <c r="I251" s="143"/>
      <c r="J251" s="143"/>
    </row>
    <row r="252" spans="1:10" ht="15.75" x14ac:dyDescent="0.25">
      <c r="A252" s="25"/>
      <c r="B252" s="149"/>
      <c r="C252" s="150"/>
      <c r="D252" s="144"/>
      <c r="E252" s="142"/>
      <c r="F252" s="162" t="str">
        <f>IFERROR(VLOOKUP(A252,Lulu!A:F,6,0),"")</f>
        <v/>
      </c>
      <c r="G252" s="177" t="str">
        <f>IFERROR(VLOOKUP(E252,Lulu!E:F,2,0),"")</f>
        <v/>
      </c>
      <c r="H252" s="143"/>
      <c r="I252" s="143"/>
      <c r="J252" s="143"/>
    </row>
    <row r="253" spans="1:10" ht="15.75" x14ac:dyDescent="0.25">
      <c r="A253" s="25"/>
      <c r="B253" s="149"/>
      <c r="C253" s="150"/>
      <c r="D253" s="144"/>
      <c r="E253" s="142"/>
      <c r="F253" s="162" t="str">
        <f>IFERROR(VLOOKUP(A253,Lulu!A:F,6,0),"")</f>
        <v/>
      </c>
      <c r="G253" s="177" t="str">
        <f>IFERROR(VLOOKUP(E253,Lulu!E:F,2,0),"")</f>
        <v/>
      </c>
      <c r="H253" s="143"/>
      <c r="I253" s="143"/>
      <c r="J253" s="143"/>
    </row>
    <row r="254" spans="1:10" ht="15.75" x14ac:dyDescent="0.25">
      <c r="A254" s="25"/>
      <c r="B254" s="149"/>
      <c r="C254" s="150"/>
      <c r="D254" s="144"/>
      <c r="E254" s="142"/>
      <c r="F254" s="162" t="str">
        <f>IFERROR(VLOOKUP(A254,Lulu!A:F,6,0),"")</f>
        <v/>
      </c>
      <c r="G254" s="177" t="str">
        <f>IFERROR(VLOOKUP(E254,Lulu!E:F,2,0),"")</f>
        <v/>
      </c>
      <c r="H254" s="143"/>
      <c r="I254" s="143"/>
      <c r="J254" s="143"/>
    </row>
    <row r="255" spans="1:10" ht="15.75" x14ac:dyDescent="0.25">
      <c r="A255" s="25"/>
      <c r="B255" s="149"/>
      <c r="C255" s="150"/>
      <c r="D255" s="144"/>
      <c r="E255" s="142"/>
      <c r="F255" s="162" t="str">
        <f>IFERROR(VLOOKUP(A255,Lulu!A:F,6,0),"")</f>
        <v/>
      </c>
      <c r="G255" s="177" t="str">
        <f>IFERROR(VLOOKUP(E255,Lulu!E:F,2,0),"")</f>
        <v/>
      </c>
      <c r="H255" s="143"/>
      <c r="I255" s="143"/>
      <c r="J255" s="143"/>
    </row>
    <row r="256" spans="1:10" ht="15.75" x14ac:dyDescent="0.25">
      <c r="A256" s="25"/>
      <c r="B256" s="149"/>
      <c r="C256" s="150"/>
      <c r="D256" s="144"/>
      <c r="E256" s="142"/>
      <c r="F256" s="162" t="str">
        <f>IFERROR(VLOOKUP(A256,Lulu!A:F,6,0),"")</f>
        <v/>
      </c>
      <c r="G256" s="177" t="str">
        <f>IFERROR(VLOOKUP(E256,Lulu!E:F,2,0),"")</f>
        <v/>
      </c>
      <c r="H256" s="143"/>
      <c r="I256" s="143"/>
      <c r="J256" s="143"/>
    </row>
    <row r="257" spans="1:10" ht="15.75" x14ac:dyDescent="0.25">
      <c r="A257" s="25"/>
      <c r="B257" s="149"/>
      <c r="C257" s="150"/>
      <c r="D257" s="144"/>
      <c r="E257" s="142"/>
      <c r="F257" s="162" t="str">
        <f>IFERROR(VLOOKUP(A257,Lulu!A:F,6,0),"")</f>
        <v/>
      </c>
      <c r="G257" s="177" t="str">
        <f>IFERROR(VLOOKUP(E257,Lulu!E:F,2,0),"")</f>
        <v/>
      </c>
      <c r="H257" s="143"/>
      <c r="I257" s="143"/>
      <c r="J257" s="143"/>
    </row>
    <row r="258" spans="1:10" ht="15.75" x14ac:dyDescent="0.25">
      <c r="A258" s="25"/>
      <c r="B258" s="149"/>
      <c r="C258" s="150"/>
      <c r="D258" s="144"/>
      <c r="E258" s="142"/>
      <c r="F258" s="162" t="str">
        <f>IFERROR(VLOOKUP(A258,Lulu!A:F,6,0),"")</f>
        <v/>
      </c>
      <c r="G258" s="177" t="str">
        <f>IFERROR(VLOOKUP(E258,Lulu!E:F,2,0),"")</f>
        <v/>
      </c>
      <c r="H258" s="143"/>
      <c r="I258" s="143"/>
      <c r="J258" s="143"/>
    </row>
    <row r="259" spans="1:10" ht="15.75" x14ac:dyDescent="0.25">
      <c r="A259" s="25"/>
      <c r="B259" s="149"/>
      <c r="C259" s="150"/>
      <c r="D259" s="144"/>
      <c r="E259" s="142"/>
      <c r="F259" s="162" t="str">
        <f>IFERROR(VLOOKUP(A259,Lulu!A:F,6,0),"")</f>
        <v/>
      </c>
      <c r="G259" s="177" t="str">
        <f>IFERROR(VLOOKUP(E259,Lulu!E:F,2,0),"")</f>
        <v/>
      </c>
      <c r="H259" s="143"/>
      <c r="I259" s="143"/>
      <c r="J259" s="143"/>
    </row>
    <row r="260" spans="1:10" ht="15.75" x14ac:dyDescent="0.25">
      <c r="A260" s="25"/>
      <c r="B260" s="149"/>
      <c r="C260" s="150"/>
      <c r="D260" s="144"/>
      <c r="E260" s="142"/>
      <c r="F260" s="162" t="str">
        <f>IFERROR(VLOOKUP(A260,Lulu!A:F,6,0),"")</f>
        <v/>
      </c>
      <c r="G260" s="177" t="str">
        <f>IFERROR(VLOOKUP(E260,Lulu!E:F,2,0),"")</f>
        <v/>
      </c>
      <c r="H260" s="143"/>
      <c r="I260" s="143"/>
      <c r="J260" s="143"/>
    </row>
    <row r="261" spans="1:10" ht="15.75" x14ac:dyDescent="0.25">
      <c r="A261" s="25"/>
      <c r="B261" s="149"/>
      <c r="C261" s="150"/>
      <c r="D261" s="144"/>
      <c r="E261" s="142"/>
      <c r="F261" s="162" t="str">
        <f>IFERROR(VLOOKUP(A261,Lulu!A:F,6,0),"")</f>
        <v/>
      </c>
      <c r="G261" s="177" t="str">
        <f>IFERROR(VLOOKUP(E261,Lulu!E:F,2,0),"")</f>
        <v/>
      </c>
      <c r="H261" s="143"/>
      <c r="I261" s="143"/>
      <c r="J261" s="143"/>
    </row>
    <row r="262" spans="1:10" ht="15.75" x14ac:dyDescent="0.25">
      <c r="A262" s="25"/>
      <c r="B262" s="149"/>
      <c r="C262" s="150"/>
      <c r="D262" s="144"/>
      <c r="E262" s="142"/>
      <c r="F262" s="162" t="str">
        <f>IFERROR(VLOOKUP(A262,Lulu!A:F,6,0),"")</f>
        <v/>
      </c>
      <c r="G262" s="177" t="str">
        <f>IFERROR(VLOOKUP(E262,Lulu!E:F,2,0),"")</f>
        <v/>
      </c>
      <c r="H262" s="143"/>
      <c r="I262" s="143"/>
      <c r="J262" s="143"/>
    </row>
    <row r="263" spans="1:10" ht="15.75" x14ac:dyDescent="0.25">
      <c r="A263" s="25"/>
      <c r="B263" s="149"/>
      <c r="C263" s="150"/>
      <c r="D263" s="144"/>
      <c r="E263" s="142"/>
      <c r="F263" s="162" t="str">
        <f>IFERROR(VLOOKUP(A263,Lulu!A:F,6,0),"")</f>
        <v/>
      </c>
      <c r="G263" s="177" t="str">
        <f>IFERROR(VLOOKUP(E263,Lulu!E:F,2,0),"")</f>
        <v/>
      </c>
      <c r="H263" s="143"/>
      <c r="I263" s="143"/>
      <c r="J263" s="143"/>
    </row>
    <row r="264" spans="1:10" ht="15.75" x14ac:dyDescent="0.25">
      <c r="A264" s="25"/>
      <c r="B264" s="149"/>
      <c r="C264" s="150"/>
      <c r="D264" s="144"/>
      <c r="E264" s="142"/>
      <c r="F264" s="162" t="str">
        <f>IFERROR(VLOOKUP(A264,Lulu!A:F,6,0),"")</f>
        <v/>
      </c>
      <c r="G264" s="177" t="str">
        <f>IFERROR(VLOOKUP(E264,Lulu!E:F,2,0),"")</f>
        <v/>
      </c>
      <c r="H264" s="143"/>
      <c r="I264" s="143"/>
      <c r="J264" s="143"/>
    </row>
    <row r="265" spans="1:10" ht="15.75" x14ac:dyDescent="0.25">
      <c r="A265" s="25"/>
      <c r="B265" s="149"/>
      <c r="C265" s="150"/>
      <c r="D265" s="144"/>
      <c r="E265" s="142"/>
      <c r="F265" s="162" t="str">
        <f>IFERROR(VLOOKUP(A265,Lulu!A:F,6,0),"")</f>
        <v/>
      </c>
      <c r="G265" s="177" t="str">
        <f>IFERROR(VLOOKUP(E265,Lulu!E:F,2,0),"")</f>
        <v/>
      </c>
      <c r="H265" s="143"/>
      <c r="I265" s="143"/>
      <c r="J265" s="143"/>
    </row>
    <row r="266" spans="1:10" ht="15.75" x14ac:dyDescent="0.25">
      <c r="A266" s="25"/>
      <c r="B266" s="149"/>
      <c r="C266" s="150"/>
      <c r="D266" s="144"/>
      <c r="E266" s="142"/>
      <c r="F266" s="162" t="str">
        <f>IFERROR(VLOOKUP(A266,Lulu!A:F,6,0),"")</f>
        <v/>
      </c>
      <c r="G266" s="177" t="str">
        <f>IFERROR(VLOOKUP(E266,Lulu!E:F,2,0),"")</f>
        <v/>
      </c>
      <c r="H266" s="143"/>
      <c r="I266" s="143"/>
      <c r="J266" s="143"/>
    </row>
    <row r="267" spans="1:10" ht="15.75" x14ac:dyDescent="0.25">
      <c r="A267" s="25"/>
      <c r="B267" s="149"/>
      <c r="C267" s="150"/>
      <c r="D267" s="144"/>
      <c r="E267" s="142"/>
      <c r="F267" s="162" t="str">
        <f>IFERROR(VLOOKUP(A267,Lulu!A:F,6,0),"")</f>
        <v/>
      </c>
      <c r="G267" s="177" t="str">
        <f>IFERROR(VLOOKUP(E267,Lulu!E:F,2,0),"")</f>
        <v/>
      </c>
      <c r="H267" s="143"/>
      <c r="I267" s="143"/>
      <c r="J267" s="143"/>
    </row>
    <row r="268" spans="1:10" ht="15.75" x14ac:dyDescent="0.25">
      <c r="A268" s="25"/>
      <c r="B268" s="149"/>
      <c r="C268" s="150"/>
      <c r="D268" s="144"/>
      <c r="E268" s="142"/>
      <c r="F268" s="162" t="str">
        <f>IFERROR(VLOOKUP(A268,Lulu!A:F,6,0),"")</f>
        <v/>
      </c>
      <c r="G268" s="177" t="str">
        <f>IFERROR(VLOOKUP(E268,Lulu!E:F,2,0),"")</f>
        <v/>
      </c>
      <c r="H268" s="143"/>
      <c r="I268" s="143"/>
      <c r="J268" s="143"/>
    </row>
    <row r="269" spans="1:10" ht="15.75" x14ac:dyDescent="0.25">
      <c r="A269" s="25"/>
      <c r="B269" s="149"/>
      <c r="C269" s="150"/>
      <c r="D269" s="144"/>
      <c r="E269" s="142"/>
      <c r="F269" s="162" t="str">
        <f>IFERROR(VLOOKUP(A269,Lulu!A:F,6,0),"")</f>
        <v/>
      </c>
      <c r="G269" s="177" t="str">
        <f>IFERROR(VLOOKUP(E269,Lulu!E:F,2,0),"")</f>
        <v/>
      </c>
      <c r="H269" s="143"/>
      <c r="I269" s="143"/>
      <c r="J269" s="143"/>
    </row>
    <row r="270" spans="1:10" ht="15.75" x14ac:dyDescent="0.25">
      <c r="A270" s="25"/>
      <c r="B270" s="149"/>
      <c r="C270" s="150"/>
      <c r="D270" s="144"/>
      <c r="E270" s="142"/>
      <c r="F270" s="162" t="str">
        <f>IFERROR(VLOOKUP(A270,Lulu!A:F,6,0),"")</f>
        <v/>
      </c>
      <c r="G270" s="177" t="str">
        <f>IFERROR(VLOOKUP(E270,Lulu!E:F,2,0),"")</f>
        <v/>
      </c>
      <c r="H270" s="143"/>
      <c r="I270" s="143"/>
      <c r="J270" s="143"/>
    </row>
    <row r="271" spans="1:10" ht="15.75" x14ac:dyDescent="0.25">
      <c r="A271" s="25"/>
      <c r="B271" s="149"/>
      <c r="C271" s="150"/>
      <c r="D271" s="144"/>
      <c r="E271" s="142"/>
      <c r="F271" s="162" t="str">
        <f>IFERROR(VLOOKUP(A271,Lulu!A:F,6,0),"")</f>
        <v/>
      </c>
      <c r="G271" s="177" t="str">
        <f>IFERROR(VLOOKUP(E271,Lulu!E:F,2,0),"")</f>
        <v/>
      </c>
      <c r="H271" s="143"/>
      <c r="I271" s="143"/>
      <c r="J271" s="143"/>
    </row>
    <row r="272" spans="1:10" ht="15.75" x14ac:dyDescent="0.25">
      <c r="A272" s="25"/>
      <c r="B272" s="149"/>
      <c r="C272" s="150"/>
      <c r="D272" s="144"/>
      <c r="E272" s="142"/>
      <c r="F272" s="162" t="str">
        <f>IFERROR(VLOOKUP(A272,Lulu!A:F,6,0),"")</f>
        <v/>
      </c>
      <c r="G272" s="177" t="str">
        <f>IFERROR(VLOOKUP(E272,Lulu!E:F,2,0),"")</f>
        <v/>
      </c>
      <c r="H272" s="143"/>
      <c r="I272" s="143"/>
      <c r="J272" s="143"/>
    </row>
    <row r="273" spans="1:10" ht="15.75" x14ac:dyDescent="0.25">
      <c r="A273" s="25"/>
      <c r="B273" s="149"/>
      <c r="C273" s="150"/>
      <c r="D273" s="144"/>
      <c r="E273" s="142"/>
      <c r="F273" s="162" t="str">
        <f>IFERROR(VLOOKUP(A273,Lulu!A:F,6,0),"")</f>
        <v/>
      </c>
      <c r="G273" s="177" t="str">
        <f>IFERROR(VLOOKUP(E273,Lulu!E:F,2,0),"")</f>
        <v/>
      </c>
      <c r="H273" s="143"/>
      <c r="I273" s="143"/>
      <c r="J273" s="143"/>
    </row>
    <row r="274" spans="1:10" ht="15.75" x14ac:dyDescent="0.25">
      <c r="A274" s="25"/>
      <c r="B274" s="149"/>
      <c r="C274" s="150"/>
      <c r="D274" s="144"/>
      <c r="E274" s="142"/>
      <c r="F274" s="162" t="str">
        <f>IFERROR(VLOOKUP(A274,Lulu!A:F,6,0),"")</f>
        <v/>
      </c>
      <c r="G274" s="177" t="str">
        <f>IFERROR(VLOOKUP(E274,Lulu!E:F,2,0),"")</f>
        <v/>
      </c>
      <c r="H274" s="143"/>
      <c r="I274" s="143"/>
      <c r="J274" s="143"/>
    </row>
    <row r="275" spans="1:10" ht="15.75" x14ac:dyDescent="0.25">
      <c r="A275" s="25"/>
      <c r="B275" s="149"/>
      <c r="C275" s="150"/>
      <c r="D275" s="144"/>
      <c r="E275" s="142"/>
      <c r="F275" s="162" t="str">
        <f>IFERROR(VLOOKUP(A275,Lulu!A:F,6,0),"")</f>
        <v/>
      </c>
      <c r="G275" s="177" t="str">
        <f>IFERROR(VLOOKUP(E275,Lulu!E:F,2,0),"")</f>
        <v/>
      </c>
      <c r="H275" s="143"/>
      <c r="I275" s="143"/>
      <c r="J275" s="143"/>
    </row>
    <row r="276" spans="1:10" ht="15.75" x14ac:dyDescent="0.25">
      <c r="A276" s="25"/>
      <c r="B276" s="149"/>
      <c r="C276" s="150"/>
      <c r="D276" s="144"/>
      <c r="E276" s="142"/>
      <c r="F276" s="162" t="str">
        <f>IFERROR(VLOOKUP(A276,Lulu!A:F,6,0),"")</f>
        <v/>
      </c>
      <c r="G276" s="177" t="str">
        <f>IFERROR(VLOOKUP(E276,Lulu!E:F,2,0),"")</f>
        <v/>
      </c>
      <c r="H276" s="143"/>
      <c r="I276" s="143"/>
      <c r="J276" s="143"/>
    </row>
    <row r="277" spans="1:10" ht="15.75" x14ac:dyDescent="0.25">
      <c r="A277" s="25"/>
      <c r="B277" s="149"/>
      <c r="C277" s="150"/>
      <c r="D277" s="144"/>
      <c r="E277" s="142"/>
      <c r="F277" s="162" t="str">
        <f>IFERROR(VLOOKUP(A277,Lulu!A:F,6,0),"")</f>
        <v/>
      </c>
      <c r="G277" s="177" t="str">
        <f>IFERROR(VLOOKUP(E277,Lulu!E:F,2,0),"")</f>
        <v/>
      </c>
      <c r="H277" s="143"/>
      <c r="I277" s="143"/>
      <c r="J277" s="143"/>
    </row>
    <row r="278" spans="1:10" ht="15.75" x14ac:dyDescent="0.25">
      <c r="A278" s="25"/>
      <c r="B278" s="149"/>
      <c r="C278" s="150"/>
      <c r="D278" s="144"/>
      <c r="E278" s="142"/>
      <c r="F278" s="162" t="str">
        <f>IFERROR(VLOOKUP(A278,Lulu!A:F,6,0),"")</f>
        <v/>
      </c>
      <c r="G278" s="177" t="str">
        <f>IFERROR(VLOOKUP(E278,Lulu!E:F,2,0),"")</f>
        <v/>
      </c>
      <c r="H278" s="143"/>
      <c r="I278" s="143"/>
      <c r="J278" s="143"/>
    </row>
    <row r="279" spans="1:10" ht="15.75" x14ac:dyDescent="0.25">
      <c r="A279" s="25"/>
      <c r="B279" s="149"/>
      <c r="C279" s="150"/>
      <c r="D279" s="144"/>
      <c r="E279" s="142"/>
      <c r="F279" s="162" t="str">
        <f>IFERROR(VLOOKUP(A279,Lulu!A:F,6,0),"")</f>
        <v/>
      </c>
      <c r="G279" s="177" t="str">
        <f>IFERROR(VLOOKUP(E279,Lulu!E:F,2,0),"")</f>
        <v/>
      </c>
      <c r="H279" s="143"/>
      <c r="I279" s="143"/>
      <c r="J279" s="143"/>
    </row>
    <row r="280" spans="1:10" ht="15.75" x14ac:dyDescent="0.25">
      <c r="A280" s="25"/>
      <c r="B280" s="149"/>
      <c r="C280" s="150"/>
      <c r="D280" s="144"/>
      <c r="E280" s="142"/>
      <c r="F280" s="162" t="str">
        <f>IFERROR(VLOOKUP(A280,Lulu!A:F,6,0),"")</f>
        <v/>
      </c>
      <c r="G280" s="177" t="str">
        <f>IFERROR(VLOOKUP(E280,Lulu!E:F,2,0),"")</f>
        <v/>
      </c>
      <c r="H280" s="143"/>
      <c r="I280" s="143"/>
      <c r="J280" s="143"/>
    </row>
    <row r="281" spans="1:10" ht="15.75" x14ac:dyDescent="0.25">
      <c r="A281" s="25"/>
      <c r="B281" s="149"/>
      <c r="C281" s="150"/>
      <c r="D281" s="144"/>
      <c r="E281" s="142"/>
      <c r="F281" s="162" t="str">
        <f>IFERROR(VLOOKUP(A281,Lulu!A:F,6,0),"")</f>
        <v/>
      </c>
      <c r="G281" s="177" t="str">
        <f>IFERROR(VLOOKUP(E281,Lulu!E:F,2,0),"")</f>
        <v/>
      </c>
      <c r="H281" s="143"/>
      <c r="I281" s="143"/>
      <c r="J281" s="143"/>
    </row>
    <row r="282" spans="1:10" ht="15.75" x14ac:dyDescent="0.25">
      <c r="A282" s="25"/>
      <c r="B282" s="149"/>
      <c r="C282" s="150"/>
      <c r="D282" s="144"/>
      <c r="E282" s="142"/>
      <c r="F282" s="162" t="str">
        <f>IFERROR(VLOOKUP(A282,Lulu!A:F,6,0),"")</f>
        <v/>
      </c>
      <c r="G282" s="177" t="str">
        <f>IFERROR(VLOOKUP(E282,Lulu!E:F,2,0),"")</f>
        <v/>
      </c>
      <c r="H282" s="143"/>
      <c r="I282" s="143"/>
      <c r="J282" s="143"/>
    </row>
    <row r="283" spans="1:10" ht="15.75" x14ac:dyDescent="0.25">
      <c r="A283" s="25"/>
      <c r="B283" s="149"/>
      <c r="C283" s="150"/>
      <c r="D283" s="144"/>
      <c r="E283" s="142"/>
      <c r="F283" s="162" t="str">
        <f>IFERROR(VLOOKUP(A283,Lulu!A:F,6,0),"")</f>
        <v/>
      </c>
      <c r="G283" s="177" t="str">
        <f>IFERROR(VLOOKUP(E283,Lulu!E:F,2,0),"")</f>
        <v/>
      </c>
      <c r="H283" s="143"/>
      <c r="I283" s="143"/>
      <c r="J283" s="143"/>
    </row>
    <row r="284" spans="1:10" ht="15.75" x14ac:dyDescent="0.25">
      <c r="A284" s="25"/>
      <c r="B284" s="149"/>
      <c r="C284" s="150"/>
      <c r="D284" s="144"/>
      <c r="E284" s="142"/>
      <c r="F284" s="162" t="str">
        <f>IFERROR(VLOOKUP(A284,Lulu!A:F,6,0),"")</f>
        <v/>
      </c>
      <c r="G284" s="177" t="str">
        <f>IFERROR(VLOOKUP(E284,Lulu!E:F,2,0),"")</f>
        <v/>
      </c>
      <c r="H284" s="143"/>
      <c r="I284" s="143"/>
      <c r="J284" s="143"/>
    </row>
    <row r="285" spans="1:10" ht="15.75" x14ac:dyDescent="0.25">
      <c r="A285" s="25"/>
      <c r="B285" s="149"/>
      <c r="C285" s="150"/>
      <c r="D285" s="144"/>
      <c r="E285" s="142"/>
      <c r="F285" s="162" t="str">
        <f>IFERROR(VLOOKUP(A285,Lulu!A:F,6,0),"")</f>
        <v/>
      </c>
      <c r="G285" s="177" t="str">
        <f>IFERROR(VLOOKUP(E285,Lulu!E:F,2,0),"")</f>
        <v/>
      </c>
      <c r="H285" s="143"/>
      <c r="I285" s="143"/>
      <c r="J285" s="143"/>
    </row>
    <row r="286" spans="1:10" ht="15.75" x14ac:dyDescent="0.25">
      <c r="A286" s="25"/>
      <c r="B286" s="149"/>
      <c r="C286" s="150"/>
      <c r="D286" s="144"/>
      <c r="E286" s="142"/>
      <c r="F286" s="162" t="str">
        <f>IFERROR(VLOOKUP(A286,Lulu!A:F,6,0),"")</f>
        <v/>
      </c>
      <c r="G286" s="177" t="str">
        <f>IFERROR(VLOOKUP(E286,Lulu!E:F,2,0),"")</f>
        <v/>
      </c>
      <c r="H286" s="143"/>
      <c r="I286" s="143"/>
      <c r="J286" s="143"/>
    </row>
    <row r="287" spans="1:10" ht="15.75" x14ac:dyDescent="0.25">
      <c r="A287" s="25"/>
      <c r="B287" s="149"/>
      <c r="C287" s="150"/>
      <c r="D287" s="144"/>
      <c r="E287" s="142"/>
      <c r="F287" s="162" t="str">
        <f>IFERROR(VLOOKUP(A287,Lulu!A:F,6,0),"")</f>
        <v/>
      </c>
      <c r="G287" s="177" t="str">
        <f>IFERROR(VLOOKUP(E287,Lulu!E:F,2,0),"")</f>
        <v/>
      </c>
      <c r="H287" s="143"/>
      <c r="I287" s="143"/>
      <c r="J287" s="143"/>
    </row>
    <row r="288" spans="1:10" ht="15.75" x14ac:dyDescent="0.25">
      <c r="A288" s="25"/>
      <c r="B288" s="149"/>
      <c r="C288" s="150"/>
      <c r="D288" s="144"/>
      <c r="E288" s="142"/>
      <c r="F288" s="162" t="str">
        <f>IFERROR(VLOOKUP(A288,Lulu!A:F,6,0),"")</f>
        <v/>
      </c>
      <c r="G288" s="177" t="str">
        <f>IFERROR(VLOOKUP(E288,Lulu!E:F,2,0),"")</f>
        <v/>
      </c>
      <c r="H288" s="143"/>
      <c r="I288" s="143"/>
      <c r="J288" s="143"/>
    </row>
    <row r="289" spans="1:10" ht="15.75" x14ac:dyDescent="0.25">
      <c r="A289" s="25"/>
      <c r="B289" s="149"/>
      <c r="C289" s="150"/>
      <c r="D289" s="144"/>
      <c r="E289" s="142"/>
      <c r="F289" s="162" t="str">
        <f>IFERROR(VLOOKUP(A289,Lulu!A:F,6,0),"")</f>
        <v/>
      </c>
      <c r="G289" s="177" t="str">
        <f>IFERROR(VLOOKUP(E289,Lulu!E:F,2,0),"")</f>
        <v/>
      </c>
      <c r="H289" s="143"/>
      <c r="I289" s="143"/>
      <c r="J289" s="143"/>
    </row>
    <row r="290" spans="1:10" ht="15.75" x14ac:dyDescent="0.25">
      <c r="A290" s="25"/>
      <c r="B290" s="149"/>
      <c r="C290" s="150"/>
      <c r="D290" s="144"/>
      <c r="E290" s="142"/>
      <c r="F290" s="162" t="str">
        <f>IFERROR(VLOOKUP(A290,Lulu!A:F,6,0),"")</f>
        <v/>
      </c>
      <c r="G290" s="177" t="str">
        <f>IFERROR(VLOOKUP(E290,Lulu!E:F,2,0),"")</f>
        <v/>
      </c>
      <c r="H290" s="143"/>
      <c r="I290" s="143"/>
      <c r="J290" s="143"/>
    </row>
    <row r="291" spans="1:10" ht="15.75" x14ac:dyDescent="0.25">
      <c r="A291" s="25"/>
      <c r="B291" s="149"/>
      <c r="C291" s="150"/>
      <c r="D291" s="144"/>
      <c r="E291" s="142"/>
      <c r="F291" s="162" t="str">
        <f>IFERROR(VLOOKUP(A291,Lulu!A:F,6,0),"")</f>
        <v/>
      </c>
      <c r="G291" s="177" t="str">
        <f>IFERROR(VLOOKUP(E291,Lulu!E:F,2,0),"")</f>
        <v/>
      </c>
      <c r="H291" s="143"/>
      <c r="I291" s="143"/>
      <c r="J291" s="143"/>
    </row>
    <row r="292" spans="1:10" ht="15.75" x14ac:dyDescent="0.25">
      <c r="A292" s="25"/>
      <c r="B292" s="149"/>
      <c r="C292" s="150"/>
      <c r="D292" s="144"/>
      <c r="E292" s="142"/>
      <c r="F292" s="162" t="str">
        <f>IFERROR(VLOOKUP(A292,Lulu!A:F,6,0),"")</f>
        <v/>
      </c>
      <c r="G292" s="177" t="str">
        <f>IFERROR(VLOOKUP(E292,Lulu!E:F,2,0),"")</f>
        <v/>
      </c>
      <c r="H292" s="143"/>
      <c r="I292" s="143"/>
      <c r="J292" s="143"/>
    </row>
    <row r="293" spans="1:10" ht="15.75" x14ac:dyDescent="0.25">
      <c r="A293" s="25"/>
      <c r="B293" s="149"/>
      <c r="C293" s="150"/>
      <c r="D293" s="144"/>
      <c r="E293" s="142"/>
      <c r="F293" s="162" t="str">
        <f>IFERROR(VLOOKUP(A293,Lulu!A:F,6,0),"")</f>
        <v/>
      </c>
      <c r="G293" s="177" t="str">
        <f>IFERROR(VLOOKUP(E293,Lulu!E:F,2,0),"")</f>
        <v/>
      </c>
      <c r="H293" s="143"/>
      <c r="I293" s="143"/>
      <c r="J293" s="143"/>
    </row>
    <row r="294" spans="1:10" ht="15.75" x14ac:dyDescent="0.25">
      <c r="A294" s="25"/>
      <c r="B294" s="149"/>
      <c r="C294" s="150"/>
      <c r="D294" s="144"/>
      <c r="E294" s="142"/>
      <c r="F294" s="162" t="str">
        <f>IFERROR(VLOOKUP(A294,Lulu!A:F,6,0),"")</f>
        <v/>
      </c>
      <c r="G294" s="177" t="str">
        <f>IFERROR(VLOOKUP(E294,Lulu!E:F,2,0),"")</f>
        <v/>
      </c>
      <c r="H294" s="143"/>
      <c r="I294" s="143"/>
      <c r="J294" s="143"/>
    </row>
    <row r="295" spans="1:10" ht="15.75" x14ac:dyDescent="0.25">
      <c r="A295" s="25"/>
      <c r="B295" s="149"/>
      <c r="C295" s="150"/>
      <c r="D295" s="144"/>
      <c r="E295" s="142"/>
      <c r="F295" s="162" t="str">
        <f>IFERROR(VLOOKUP(A295,Lulu!A:F,6,0),"")</f>
        <v/>
      </c>
      <c r="G295" s="177" t="str">
        <f>IFERROR(VLOOKUP(E295,Lulu!E:F,2,0),"")</f>
        <v/>
      </c>
      <c r="H295" s="143"/>
      <c r="I295" s="143"/>
      <c r="J295" s="143"/>
    </row>
    <row r="296" spans="1:10" ht="15.75" x14ac:dyDescent="0.25">
      <c r="A296" s="25"/>
      <c r="B296" s="149"/>
      <c r="C296" s="150"/>
      <c r="D296" s="144"/>
      <c r="E296" s="142"/>
      <c r="F296" s="162" t="str">
        <f>IFERROR(VLOOKUP(A296,Lulu!A:F,6,0),"")</f>
        <v/>
      </c>
      <c r="G296" s="177" t="str">
        <f>IFERROR(VLOOKUP(E296,Lulu!E:F,2,0),"")</f>
        <v/>
      </c>
      <c r="H296" s="143"/>
      <c r="I296" s="143"/>
      <c r="J296" s="143"/>
    </row>
    <row r="297" spans="1:10" ht="15.75" x14ac:dyDescent="0.25">
      <c r="A297" s="25"/>
      <c r="B297" s="149"/>
      <c r="C297" s="150"/>
      <c r="D297" s="144"/>
      <c r="E297" s="142"/>
      <c r="F297" s="162" t="str">
        <f>IFERROR(VLOOKUP(A297,Lulu!A:F,6,0),"")</f>
        <v/>
      </c>
      <c r="G297" s="177" t="str">
        <f>IFERROR(VLOOKUP(E297,Lulu!E:F,2,0),"")</f>
        <v/>
      </c>
      <c r="H297" s="143"/>
      <c r="I297" s="143"/>
      <c r="J297" s="143"/>
    </row>
    <row r="298" spans="1:10" ht="15.75" x14ac:dyDescent="0.25">
      <c r="A298" s="25"/>
      <c r="B298" s="149"/>
      <c r="C298" s="150"/>
      <c r="D298" s="144"/>
      <c r="E298" s="142"/>
      <c r="F298" s="162" t="str">
        <f>IFERROR(VLOOKUP(A298,Lulu!A:F,6,0),"")</f>
        <v/>
      </c>
      <c r="G298" s="177" t="str">
        <f>IFERROR(VLOOKUP(E298,Lulu!E:F,2,0),"")</f>
        <v/>
      </c>
      <c r="H298" s="143"/>
      <c r="I298" s="143"/>
      <c r="J298" s="143"/>
    </row>
    <row r="299" spans="1:10" ht="15.75" x14ac:dyDescent="0.25">
      <c r="A299" s="25"/>
      <c r="B299" s="149"/>
      <c r="C299" s="150"/>
      <c r="D299" s="144"/>
      <c r="E299" s="142"/>
      <c r="F299" s="162" t="str">
        <f>IFERROR(VLOOKUP(A299,Lulu!A:F,6,0),"")</f>
        <v/>
      </c>
      <c r="G299" s="177" t="str">
        <f>IFERROR(VLOOKUP(E299,Lulu!E:F,2,0),"")</f>
        <v/>
      </c>
      <c r="H299" s="143"/>
      <c r="I299" s="143"/>
      <c r="J299" s="143"/>
    </row>
    <row r="300" spans="1:10" ht="15.75" x14ac:dyDescent="0.25">
      <c r="A300" s="25"/>
      <c r="B300" s="149"/>
      <c r="C300" s="150"/>
      <c r="D300" s="144"/>
      <c r="E300" s="142"/>
      <c r="F300" s="162" t="str">
        <f>IFERROR(VLOOKUP(A300,Lulu!A:F,6,0),"")</f>
        <v/>
      </c>
      <c r="G300" s="177" t="str">
        <f>IFERROR(VLOOKUP(E300,Lulu!E:F,2,0),"")</f>
        <v/>
      </c>
      <c r="H300" s="143"/>
      <c r="I300" s="143"/>
      <c r="J300" s="143"/>
    </row>
    <row r="301" spans="1:10" ht="15.75" x14ac:dyDescent="0.25">
      <c r="A301" s="25"/>
      <c r="B301" s="149"/>
      <c r="C301" s="150"/>
      <c r="D301" s="144"/>
      <c r="E301" s="142"/>
      <c r="F301" s="162" t="str">
        <f>IFERROR(VLOOKUP(A301,Lulu!A:F,6,0),"")</f>
        <v/>
      </c>
      <c r="G301" s="177" t="str">
        <f>IFERROR(VLOOKUP(E301,Lulu!E:F,2,0),"")</f>
        <v/>
      </c>
      <c r="H301" s="143"/>
      <c r="I301" s="143"/>
      <c r="J301" s="143"/>
    </row>
    <row r="302" spans="1:10" ht="15.75" x14ac:dyDescent="0.25">
      <c r="A302" s="25"/>
      <c r="B302" s="149"/>
      <c r="C302" s="150"/>
      <c r="D302" s="144"/>
      <c r="E302" s="142"/>
      <c r="F302" s="162" t="str">
        <f>IFERROR(VLOOKUP(A302,Lulu!A:F,6,0),"")</f>
        <v/>
      </c>
      <c r="G302" s="177" t="str">
        <f>IFERROR(VLOOKUP(E302,Lulu!E:F,2,0),"")</f>
        <v/>
      </c>
      <c r="H302" s="143"/>
      <c r="I302" s="143"/>
      <c r="J302" s="143"/>
    </row>
    <row r="303" spans="1:10" ht="15.75" x14ac:dyDescent="0.25">
      <c r="A303" s="25"/>
      <c r="B303" s="149"/>
      <c r="C303" s="150"/>
      <c r="D303" s="144"/>
      <c r="E303" s="142"/>
      <c r="F303" s="162" t="str">
        <f>IFERROR(VLOOKUP(A303,Lulu!A:F,6,0),"")</f>
        <v/>
      </c>
      <c r="G303" s="177" t="str">
        <f>IFERROR(VLOOKUP(E303,Lulu!E:F,2,0),"")</f>
        <v/>
      </c>
      <c r="H303" s="143"/>
      <c r="I303" s="143"/>
      <c r="J303" s="143"/>
    </row>
    <row r="304" spans="1:10" ht="15.75" x14ac:dyDescent="0.25">
      <c r="A304" s="25"/>
      <c r="B304" s="149"/>
      <c r="C304" s="150"/>
      <c r="D304" s="144"/>
      <c r="E304" s="142"/>
      <c r="F304" s="162" t="str">
        <f>IFERROR(VLOOKUP(A304,Lulu!A:F,6,0),"")</f>
        <v/>
      </c>
      <c r="G304" s="177" t="str">
        <f>IFERROR(VLOOKUP(E304,Lulu!E:F,2,0),"")</f>
        <v/>
      </c>
      <c r="H304" s="143"/>
      <c r="I304" s="143"/>
      <c r="J304" s="143"/>
    </row>
    <row r="305" spans="1:10" ht="15.75" x14ac:dyDescent="0.25">
      <c r="A305" s="25"/>
      <c r="B305" s="149"/>
      <c r="C305" s="150"/>
      <c r="D305" s="144"/>
      <c r="E305" s="142"/>
      <c r="F305" s="162" t="str">
        <f>IFERROR(VLOOKUP(A305,Lulu!A:F,6,0),"")</f>
        <v/>
      </c>
      <c r="G305" s="177" t="str">
        <f>IFERROR(VLOOKUP(E305,Lulu!E:F,2,0),"")</f>
        <v/>
      </c>
      <c r="H305" s="143"/>
      <c r="I305" s="143"/>
      <c r="J305" s="143"/>
    </row>
    <row r="306" spans="1:10" ht="15.75" x14ac:dyDescent="0.25">
      <c r="A306" s="25"/>
      <c r="B306" s="149"/>
      <c r="C306" s="150"/>
      <c r="D306" s="144"/>
      <c r="E306" s="142"/>
      <c r="F306" s="162" t="str">
        <f>IFERROR(VLOOKUP(A306,Lulu!A:F,6,0),"")</f>
        <v/>
      </c>
      <c r="G306" s="177" t="str">
        <f>IFERROR(VLOOKUP(E306,Lulu!E:F,2,0),"")</f>
        <v/>
      </c>
      <c r="H306" s="143"/>
      <c r="I306" s="143"/>
      <c r="J306" s="143"/>
    </row>
    <row r="307" spans="1:10" ht="15.75" x14ac:dyDescent="0.25">
      <c r="A307" s="25"/>
      <c r="B307" s="149"/>
      <c r="C307" s="150"/>
      <c r="D307" s="144"/>
      <c r="E307" s="142"/>
      <c r="F307" s="162" t="str">
        <f>IFERROR(VLOOKUP(A307,Lulu!A:F,6,0),"")</f>
        <v/>
      </c>
      <c r="G307" s="177" t="str">
        <f>IFERROR(VLOOKUP(E307,Lulu!E:F,2,0),"")</f>
        <v/>
      </c>
      <c r="H307" s="143"/>
      <c r="I307" s="143"/>
      <c r="J307" s="143"/>
    </row>
    <row r="308" spans="1:10" ht="15.75" x14ac:dyDescent="0.25">
      <c r="A308" s="25"/>
      <c r="B308" s="149"/>
      <c r="C308" s="150"/>
      <c r="D308" s="144"/>
      <c r="E308" s="142"/>
      <c r="F308" s="162" t="str">
        <f>IFERROR(VLOOKUP(A308,Lulu!A:F,6,0),"")</f>
        <v/>
      </c>
      <c r="G308" s="177" t="str">
        <f>IFERROR(VLOOKUP(E308,Lulu!E:F,2,0),"")</f>
        <v/>
      </c>
      <c r="H308" s="143"/>
      <c r="I308" s="143"/>
      <c r="J308" s="143"/>
    </row>
    <row r="309" spans="1:10" ht="15.75" x14ac:dyDescent="0.25">
      <c r="A309" s="25"/>
      <c r="B309" s="149"/>
      <c r="C309" s="150"/>
      <c r="D309" s="144"/>
      <c r="E309" s="142"/>
      <c r="F309" s="162" t="str">
        <f>IFERROR(VLOOKUP(A309,Lulu!A:F,6,0),"")</f>
        <v/>
      </c>
      <c r="G309" s="177" t="str">
        <f>IFERROR(VLOOKUP(E309,Lulu!E:F,2,0),"")</f>
        <v/>
      </c>
      <c r="H309" s="143"/>
      <c r="I309" s="143"/>
      <c r="J309" s="143"/>
    </row>
    <row r="310" spans="1:10" ht="15.75" x14ac:dyDescent="0.25">
      <c r="A310" s="25"/>
      <c r="B310" s="149"/>
      <c r="C310" s="150"/>
      <c r="D310" s="144"/>
      <c r="E310" s="142"/>
      <c r="F310" s="162" t="str">
        <f>IFERROR(VLOOKUP(A310,Lulu!A:F,6,0),"")</f>
        <v/>
      </c>
      <c r="G310" s="177" t="str">
        <f>IFERROR(VLOOKUP(E310,Lulu!E:F,2,0),"")</f>
        <v/>
      </c>
      <c r="H310" s="143"/>
      <c r="I310" s="143"/>
      <c r="J310" s="143"/>
    </row>
    <row r="311" spans="1:10" ht="15.75" x14ac:dyDescent="0.25">
      <c r="A311" s="25"/>
      <c r="B311" s="149"/>
      <c r="C311" s="150"/>
      <c r="D311" s="144"/>
      <c r="E311" s="142"/>
      <c r="F311" s="162" t="str">
        <f>IFERROR(VLOOKUP(A311,Lulu!A:F,6,0),"")</f>
        <v/>
      </c>
      <c r="G311" s="177" t="str">
        <f>IFERROR(VLOOKUP(E311,Lulu!E:F,2,0),"")</f>
        <v/>
      </c>
      <c r="H311" s="143"/>
      <c r="I311" s="143"/>
      <c r="J311" s="143"/>
    </row>
    <row r="312" spans="1:10" ht="15.75" x14ac:dyDescent="0.25">
      <c r="A312" s="25"/>
      <c r="B312" s="149"/>
      <c r="C312" s="150"/>
      <c r="D312" s="144"/>
      <c r="E312" s="142"/>
      <c r="F312" s="162" t="str">
        <f>IFERROR(VLOOKUP(A312,Lulu!A:F,6,0),"")</f>
        <v/>
      </c>
      <c r="G312" s="177" t="str">
        <f>IFERROR(VLOOKUP(E312,Lulu!E:F,2,0),"")</f>
        <v/>
      </c>
      <c r="H312" s="143"/>
      <c r="I312" s="143"/>
      <c r="J312" s="143"/>
    </row>
    <row r="313" spans="1:10" ht="15.75" x14ac:dyDescent="0.25">
      <c r="A313" s="25"/>
      <c r="B313" s="149"/>
      <c r="C313" s="150"/>
      <c r="D313" s="144"/>
      <c r="E313" s="142"/>
      <c r="F313" s="162" t="str">
        <f>IFERROR(VLOOKUP(A313,Lulu!A:F,6,0),"")</f>
        <v/>
      </c>
      <c r="G313" s="177" t="str">
        <f>IFERROR(VLOOKUP(E313,Lulu!E:F,2,0),"")</f>
        <v/>
      </c>
      <c r="H313" s="143"/>
      <c r="I313" s="143"/>
      <c r="J313" s="143"/>
    </row>
    <row r="314" spans="1:10" ht="15.75" x14ac:dyDescent="0.25">
      <c r="A314" s="25"/>
      <c r="B314" s="149"/>
      <c r="C314" s="150"/>
      <c r="D314" s="144"/>
      <c r="E314" s="142"/>
      <c r="F314" s="162" t="str">
        <f>IFERROR(VLOOKUP(A314,Lulu!A:F,6,0),"")</f>
        <v/>
      </c>
      <c r="G314" s="177" t="str">
        <f>IFERROR(VLOOKUP(E314,Lulu!E:F,2,0),"")</f>
        <v/>
      </c>
      <c r="H314" s="143"/>
      <c r="I314" s="143"/>
      <c r="J314" s="143"/>
    </row>
    <row r="315" spans="1:10" ht="15.75" x14ac:dyDescent="0.25">
      <c r="A315" s="25"/>
      <c r="B315" s="149"/>
      <c r="C315" s="150"/>
      <c r="D315" s="144"/>
      <c r="E315" s="142"/>
      <c r="F315" s="162" t="str">
        <f>IFERROR(VLOOKUP(A315,Lulu!A:F,6,0),"")</f>
        <v/>
      </c>
      <c r="G315" s="177" t="str">
        <f>IFERROR(VLOOKUP(E315,Lulu!E:F,2,0),"")</f>
        <v/>
      </c>
      <c r="H315" s="143"/>
      <c r="I315" s="143"/>
      <c r="J315" s="143"/>
    </row>
    <row r="316" spans="1:10" ht="15.75" x14ac:dyDescent="0.25">
      <c r="A316" s="25"/>
      <c r="B316" s="149"/>
      <c r="C316" s="150"/>
      <c r="D316" s="144"/>
      <c r="E316" s="142"/>
      <c r="F316" s="162" t="str">
        <f>IFERROR(VLOOKUP(A316,Lulu!A:F,6,0),"")</f>
        <v/>
      </c>
      <c r="G316" s="177" t="str">
        <f>IFERROR(VLOOKUP(E316,Lulu!E:F,2,0),"")</f>
        <v/>
      </c>
      <c r="H316" s="143"/>
      <c r="I316" s="143"/>
      <c r="J316" s="143"/>
    </row>
    <row r="317" spans="1:10" ht="15.75" x14ac:dyDescent="0.25">
      <c r="A317" s="25"/>
      <c r="B317" s="149"/>
      <c r="C317" s="150"/>
      <c r="D317" s="144"/>
      <c r="E317" s="142"/>
      <c r="F317" s="162" t="str">
        <f>IFERROR(VLOOKUP(A317,Lulu!A:F,6,0),"")</f>
        <v/>
      </c>
      <c r="G317" s="177" t="str">
        <f>IFERROR(VLOOKUP(E317,Lulu!E:F,2,0),"")</f>
        <v/>
      </c>
      <c r="H317" s="143"/>
      <c r="I317" s="143"/>
      <c r="J317" s="143"/>
    </row>
    <row r="318" spans="1:10" ht="15.75" x14ac:dyDescent="0.25">
      <c r="A318" s="25"/>
      <c r="B318" s="149"/>
      <c r="C318" s="150"/>
      <c r="D318" s="144"/>
      <c r="E318" s="142"/>
      <c r="F318" s="162" t="str">
        <f>IFERROR(VLOOKUP(A318,Lulu!A:F,6,0),"")</f>
        <v/>
      </c>
      <c r="G318" s="177" t="str">
        <f>IFERROR(VLOOKUP(E318,Lulu!E:F,2,0),"")</f>
        <v/>
      </c>
      <c r="H318" s="143"/>
      <c r="I318" s="143"/>
      <c r="J318" s="143"/>
    </row>
    <row r="319" spans="1:10" ht="15.75" x14ac:dyDescent="0.25">
      <c r="A319" s="25"/>
      <c r="B319" s="149"/>
      <c r="C319" s="150"/>
      <c r="D319" s="144"/>
      <c r="E319" s="142"/>
      <c r="F319" s="162" t="str">
        <f>IFERROR(VLOOKUP(A319,Lulu!A:F,6,0),"")</f>
        <v/>
      </c>
      <c r="G319" s="177" t="str">
        <f>IFERROR(VLOOKUP(E319,Lulu!E:F,2,0),"")</f>
        <v/>
      </c>
      <c r="H319" s="143"/>
      <c r="I319" s="143"/>
      <c r="J319" s="143"/>
    </row>
    <row r="320" spans="1:10" ht="15.75" x14ac:dyDescent="0.25">
      <c r="A320" s="25"/>
      <c r="B320" s="149"/>
      <c r="C320" s="150"/>
      <c r="D320" s="144"/>
      <c r="E320" s="142"/>
      <c r="F320" s="162" t="str">
        <f>IFERROR(VLOOKUP(A320,Lulu!A:F,6,0),"")</f>
        <v/>
      </c>
      <c r="G320" s="177" t="str">
        <f>IFERROR(VLOOKUP(E320,Lulu!E:F,2,0),"")</f>
        <v/>
      </c>
      <c r="H320" s="143"/>
      <c r="I320" s="143"/>
      <c r="J320" s="143"/>
    </row>
    <row r="321" spans="1:10" ht="15.75" x14ac:dyDescent="0.25">
      <c r="A321" s="25"/>
      <c r="B321" s="149"/>
      <c r="C321" s="150"/>
      <c r="D321" s="144"/>
      <c r="E321" s="142"/>
      <c r="F321" s="162" t="str">
        <f>IFERROR(VLOOKUP(A321,Lulu!A:F,6,0),"")</f>
        <v/>
      </c>
      <c r="G321" s="177" t="str">
        <f>IFERROR(VLOOKUP(E321,Lulu!E:F,2,0),"")</f>
        <v/>
      </c>
      <c r="H321" s="143"/>
      <c r="I321" s="143"/>
      <c r="J321" s="143"/>
    </row>
    <row r="322" spans="1:10" ht="15.75" x14ac:dyDescent="0.25">
      <c r="A322" s="25"/>
      <c r="B322" s="149"/>
      <c r="C322" s="150"/>
      <c r="D322" s="144"/>
      <c r="E322" s="142"/>
      <c r="F322" s="162" t="str">
        <f>IFERROR(VLOOKUP(A322,Lulu!A:F,6,0),"")</f>
        <v/>
      </c>
      <c r="G322" s="177" t="str">
        <f>IFERROR(VLOOKUP(E322,Lulu!E:F,2,0),"")</f>
        <v/>
      </c>
      <c r="H322" s="143"/>
      <c r="I322" s="143"/>
      <c r="J322" s="143"/>
    </row>
    <row r="323" spans="1:10" ht="15.75" x14ac:dyDescent="0.25">
      <c r="A323" s="25"/>
      <c r="B323" s="149"/>
      <c r="C323" s="150"/>
      <c r="D323" s="144"/>
      <c r="E323" s="142"/>
      <c r="F323" s="162" t="str">
        <f>IFERROR(VLOOKUP(A323,Lulu!A:F,6,0),"")</f>
        <v/>
      </c>
      <c r="G323" s="177" t="str">
        <f>IFERROR(VLOOKUP(E323,Lulu!E:F,2,0),"")</f>
        <v/>
      </c>
      <c r="H323" s="143"/>
      <c r="I323" s="143"/>
      <c r="J323" s="143"/>
    </row>
    <row r="324" spans="1:10" ht="15.75" x14ac:dyDescent="0.25">
      <c r="A324" s="25"/>
      <c r="B324" s="149"/>
      <c r="C324" s="150"/>
      <c r="D324" s="144"/>
      <c r="E324" s="142"/>
      <c r="F324" s="162" t="str">
        <f>IFERROR(VLOOKUP(A324,Lulu!A:F,6,0),"")</f>
        <v/>
      </c>
      <c r="G324" s="177" t="str">
        <f>IFERROR(VLOOKUP(E324,Lulu!E:F,2,0),"")</f>
        <v/>
      </c>
      <c r="H324" s="143"/>
      <c r="I324" s="143"/>
      <c r="J324" s="143"/>
    </row>
    <row r="325" spans="1:10" ht="15.75" x14ac:dyDescent="0.25">
      <c r="A325" s="25"/>
      <c r="B325" s="149"/>
      <c r="C325" s="150"/>
      <c r="D325" s="144"/>
      <c r="E325" s="142"/>
      <c r="F325" s="162" t="str">
        <f>IFERROR(VLOOKUP(A325,Lulu!A:F,6,0),"")</f>
        <v/>
      </c>
      <c r="G325" s="177" t="str">
        <f>IFERROR(VLOOKUP(E325,Lulu!E:F,2,0),"")</f>
        <v/>
      </c>
      <c r="H325" s="143"/>
      <c r="I325" s="143"/>
      <c r="J325" s="143"/>
    </row>
    <row r="326" spans="1:10" ht="15.75" x14ac:dyDescent="0.25">
      <c r="A326" s="25"/>
      <c r="B326" s="149"/>
      <c r="C326" s="150"/>
      <c r="D326" s="144"/>
      <c r="E326" s="142"/>
      <c r="F326" s="162" t="str">
        <f>IFERROR(VLOOKUP(A326,Lulu!A:F,6,0),"")</f>
        <v/>
      </c>
      <c r="G326" s="177" t="str">
        <f>IFERROR(VLOOKUP(E326,Lulu!E:F,2,0),"")</f>
        <v/>
      </c>
      <c r="H326" s="143"/>
      <c r="I326" s="143"/>
      <c r="J326" s="143"/>
    </row>
    <row r="327" spans="1:10" ht="15.75" x14ac:dyDescent="0.25">
      <c r="A327" s="25"/>
      <c r="B327" s="149"/>
      <c r="C327" s="150"/>
      <c r="D327" s="144"/>
      <c r="E327" s="142"/>
      <c r="F327" s="162" t="str">
        <f>IFERROR(VLOOKUP(A327,Lulu!A:F,6,0),"")</f>
        <v/>
      </c>
      <c r="G327" s="177" t="str">
        <f>IFERROR(VLOOKUP(E327,Lulu!E:F,2,0),"")</f>
        <v/>
      </c>
      <c r="H327" s="143"/>
      <c r="I327" s="143"/>
      <c r="J327" s="143"/>
    </row>
    <row r="328" spans="1:10" ht="15.75" x14ac:dyDescent="0.25">
      <c r="A328" s="25"/>
      <c r="B328" s="149"/>
      <c r="C328" s="150"/>
      <c r="D328" s="144"/>
      <c r="E328" s="142"/>
      <c r="F328" s="162" t="str">
        <f>IFERROR(VLOOKUP(A328,Lulu!A:F,6,0),"")</f>
        <v/>
      </c>
      <c r="G328" s="177" t="str">
        <f>IFERROR(VLOOKUP(E328,Lulu!E:F,2,0),"")</f>
        <v/>
      </c>
      <c r="H328" s="143"/>
      <c r="I328" s="143"/>
      <c r="J328" s="143"/>
    </row>
    <row r="329" spans="1:10" ht="15.75" x14ac:dyDescent="0.25">
      <c r="A329" s="25"/>
      <c r="B329" s="149"/>
      <c r="C329" s="150"/>
      <c r="D329" s="144"/>
      <c r="E329" s="142"/>
      <c r="F329" s="162" t="str">
        <f>IFERROR(VLOOKUP(A329,Lulu!A:F,6,0),"")</f>
        <v/>
      </c>
      <c r="G329" s="177" t="str">
        <f>IFERROR(VLOOKUP(E329,Lulu!E:F,2,0),"")</f>
        <v/>
      </c>
      <c r="H329" s="143"/>
      <c r="I329" s="143"/>
      <c r="J329" s="143"/>
    </row>
    <row r="330" spans="1:10" ht="15.75" x14ac:dyDescent="0.25">
      <c r="A330" s="25"/>
      <c r="B330" s="149"/>
      <c r="C330" s="150"/>
      <c r="D330" s="144"/>
      <c r="E330" s="142"/>
      <c r="F330" s="162" t="str">
        <f>IFERROR(VLOOKUP(A330,Lulu!A:F,6,0),"")</f>
        <v/>
      </c>
      <c r="G330" s="177" t="str">
        <f>IFERROR(VLOOKUP(E330,Lulu!E:F,2,0),"")</f>
        <v/>
      </c>
      <c r="H330" s="143"/>
      <c r="I330" s="143"/>
      <c r="J330" s="143"/>
    </row>
    <row r="331" spans="1:10" ht="15.75" x14ac:dyDescent="0.25">
      <c r="A331" s="25"/>
      <c r="B331" s="149"/>
      <c r="C331" s="150"/>
      <c r="D331" s="144"/>
      <c r="E331" s="142"/>
      <c r="F331" s="162" t="str">
        <f>IFERROR(VLOOKUP(A331,Lulu!A:F,6,0),"")</f>
        <v/>
      </c>
      <c r="G331" s="177" t="str">
        <f>IFERROR(VLOOKUP(E331,Lulu!E:F,2,0),"")</f>
        <v/>
      </c>
      <c r="H331" s="143"/>
      <c r="I331" s="143"/>
      <c r="J331" s="143"/>
    </row>
    <row r="332" spans="1:10" ht="15.75" x14ac:dyDescent="0.25">
      <c r="A332" s="25"/>
      <c r="B332" s="149"/>
      <c r="C332" s="150"/>
      <c r="D332" s="144"/>
      <c r="E332" s="142"/>
      <c r="F332" s="162" t="str">
        <f>IFERROR(VLOOKUP(A332,Lulu!A:F,6,0),"")</f>
        <v/>
      </c>
      <c r="G332" s="177" t="str">
        <f>IFERROR(VLOOKUP(E332,Lulu!E:F,2,0),"")</f>
        <v/>
      </c>
      <c r="H332" s="143"/>
      <c r="I332" s="143"/>
      <c r="J332" s="143"/>
    </row>
    <row r="333" spans="1:10" ht="15.75" x14ac:dyDescent="0.25">
      <c r="A333" s="25"/>
      <c r="B333" s="149"/>
      <c r="C333" s="150"/>
      <c r="D333" s="144"/>
      <c r="E333" s="142"/>
      <c r="F333" s="162" t="str">
        <f>IFERROR(VLOOKUP(A333,Lulu!A:F,6,0),"")</f>
        <v/>
      </c>
      <c r="G333" s="177" t="str">
        <f>IFERROR(VLOOKUP(E333,Lulu!E:F,2,0),"")</f>
        <v/>
      </c>
      <c r="H333" s="143"/>
      <c r="I333" s="143"/>
      <c r="J333" s="143"/>
    </row>
    <row r="334" spans="1:10" ht="15.75" x14ac:dyDescent="0.25">
      <c r="A334" s="25"/>
      <c r="B334" s="149"/>
      <c r="C334" s="150"/>
      <c r="D334" s="144"/>
      <c r="E334" s="142"/>
      <c r="F334" s="162" t="str">
        <f>IFERROR(VLOOKUP(A334,Lulu!A:F,6,0),"")</f>
        <v/>
      </c>
      <c r="G334" s="177" t="str">
        <f>IFERROR(VLOOKUP(E334,Lulu!E:F,2,0),"")</f>
        <v/>
      </c>
      <c r="H334" s="143"/>
      <c r="I334" s="143"/>
      <c r="J334" s="143"/>
    </row>
    <row r="335" spans="1:10" ht="15.75" x14ac:dyDescent="0.25">
      <c r="A335" s="25"/>
      <c r="B335" s="149"/>
      <c r="C335" s="150"/>
      <c r="D335" s="144"/>
      <c r="E335" s="142"/>
      <c r="F335" s="162" t="str">
        <f>IFERROR(VLOOKUP(A335,Lulu!A:F,6,0),"")</f>
        <v/>
      </c>
      <c r="G335" s="177" t="str">
        <f>IFERROR(VLOOKUP(E335,Lulu!E:F,2,0),"")</f>
        <v/>
      </c>
      <c r="H335" s="143"/>
      <c r="I335" s="143"/>
      <c r="J335" s="143"/>
    </row>
    <row r="336" spans="1:10" ht="15.75" x14ac:dyDescent="0.25">
      <c r="A336" s="25"/>
      <c r="B336" s="149"/>
      <c r="C336" s="150"/>
      <c r="D336" s="144"/>
      <c r="E336" s="142"/>
      <c r="F336" s="162" t="str">
        <f>IFERROR(VLOOKUP(A336,Lulu!A:F,6,0),"")</f>
        <v/>
      </c>
      <c r="G336" s="177" t="str">
        <f>IFERROR(VLOOKUP(E336,Lulu!E:F,2,0),"")</f>
        <v/>
      </c>
      <c r="H336" s="143"/>
      <c r="I336" s="143"/>
      <c r="J336" s="143"/>
    </row>
    <row r="337" spans="1:10" ht="15.75" x14ac:dyDescent="0.25">
      <c r="A337" s="25"/>
      <c r="B337" s="149"/>
      <c r="C337" s="150"/>
      <c r="D337" s="144"/>
      <c r="E337" s="142"/>
      <c r="F337" s="162" t="str">
        <f>IFERROR(VLOOKUP(A337,Lulu!A:F,6,0),"")</f>
        <v/>
      </c>
      <c r="G337" s="177" t="str">
        <f>IFERROR(VLOOKUP(E337,Lulu!E:F,2,0),"")</f>
        <v/>
      </c>
      <c r="H337" s="143"/>
      <c r="I337" s="143"/>
      <c r="J337" s="143"/>
    </row>
    <row r="338" spans="1:10" ht="15.75" x14ac:dyDescent="0.25">
      <c r="A338" s="25"/>
      <c r="B338" s="149"/>
      <c r="C338" s="150"/>
      <c r="D338" s="144"/>
      <c r="E338" s="142"/>
      <c r="F338" s="162" t="str">
        <f>IFERROR(VLOOKUP(A338,Lulu!A:F,6,0),"")</f>
        <v/>
      </c>
      <c r="G338" s="177" t="str">
        <f>IFERROR(VLOOKUP(E338,Lulu!E:F,2,0),"")</f>
        <v/>
      </c>
      <c r="H338" s="143"/>
      <c r="I338" s="143"/>
      <c r="J338" s="143"/>
    </row>
    <row r="339" spans="1:10" ht="15.75" x14ac:dyDescent="0.25">
      <c r="A339" s="25"/>
      <c r="B339" s="149"/>
      <c r="C339" s="150"/>
      <c r="D339" s="144"/>
      <c r="E339" s="142"/>
      <c r="F339" s="162" t="str">
        <f>IFERROR(VLOOKUP(A339,Lulu!A:F,6,0),"")</f>
        <v/>
      </c>
      <c r="G339" s="177" t="str">
        <f>IFERROR(VLOOKUP(E339,Lulu!E:F,2,0),"")</f>
        <v/>
      </c>
      <c r="H339" s="143"/>
      <c r="I339" s="143"/>
      <c r="J339" s="143"/>
    </row>
    <row r="340" spans="1:10" ht="15.75" x14ac:dyDescent="0.25">
      <c r="A340" s="25"/>
      <c r="B340" s="149"/>
      <c r="C340" s="150"/>
      <c r="D340" s="144"/>
      <c r="E340" s="142"/>
      <c r="F340" s="162" t="str">
        <f>IFERROR(VLOOKUP(A340,Lulu!A:F,6,0),"")</f>
        <v/>
      </c>
      <c r="G340" s="177" t="str">
        <f>IFERROR(VLOOKUP(E340,Lulu!E:F,2,0),"")</f>
        <v/>
      </c>
      <c r="H340" s="143"/>
      <c r="I340" s="143"/>
      <c r="J340" s="143"/>
    </row>
    <row r="341" spans="1:10" ht="15.75" x14ac:dyDescent="0.25">
      <c r="A341" s="25"/>
      <c r="B341" s="149"/>
      <c r="C341" s="150"/>
      <c r="D341" s="144"/>
      <c r="E341" s="142"/>
      <c r="F341" s="162" t="str">
        <f>IFERROR(VLOOKUP(A341,Lulu!A:F,6,0),"")</f>
        <v/>
      </c>
      <c r="G341" s="177" t="str">
        <f>IFERROR(VLOOKUP(E341,Lulu!E:F,2,0),"")</f>
        <v/>
      </c>
      <c r="H341" s="143"/>
      <c r="I341" s="143"/>
      <c r="J341" s="143"/>
    </row>
    <row r="342" spans="1:10" ht="15.75" x14ac:dyDescent="0.25">
      <c r="A342" s="25"/>
      <c r="B342" s="149"/>
      <c r="C342" s="150"/>
      <c r="D342" s="144"/>
      <c r="E342" s="142"/>
      <c r="F342" s="162" t="str">
        <f>IFERROR(VLOOKUP(A342,Lulu!A:F,6,0),"")</f>
        <v/>
      </c>
      <c r="G342" s="177" t="str">
        <f>IFERROR(VLOOKUP(E342,Lulu!E:F,2,0),"")</f>
        <v/>
      </c>
      <c r="H342" s="143"/>
      <c r="I342" s="143"/>
      <c r="J342" s="143"/>
    </row>
    <row r="343" spans="1:10" ht="15.75" x14ac:dyDescent="0.25">
      <c r="A343" s="25"/>
      <c r="B343" s="149"/>
      <c r="C343" s="150"/>
      <c r="D343" s="144"/>
      <c r="E343" s="142"/>
      <c r="F343" s="162" t="str">
        <f>IFERROR(VLOOKUP(A343,Lulu!A:F,6,0),"")</f>
        <v/>
      </c>
      <c r="G343" s="177" t="str">
        <f>IFERROR(VLOOKUP(E343,Lulu!E:F,2,0),"")</f>
        <v/>
      </c>
      <c r="H343" s="143"/>
      <c r="I343" s="143"/>
      <c r="J343" s="143"/>
    </row>
    <row r="344" spans="1:10" ht="15.75" x14ac:dyDescent="0.25">
      <c r="A344" s="25"/>
      <c r="B344" s="149"/>
      <c r="C344" s="150"/>
      <c r="D344" s="144"/>
      <c r="E344" s="142"/>
      <c r="F344" s="162" t="str">
        <f>IFERROR(VLOOKUP(A344,Lulu!A:F,6,0),"")</f>
        <v/>
      </c>
      <c r="G344" s="177" t="str">
        <f>IFERROR(VLOOKUP(E344,Lulu!E:F,2,0),"")</f>
        <v/>
      </c>
      <c r="H344" s="143"/>
      <c r="I344" s="143"/>
      <c r="J344" s="143"/>
    </row>
    <row r="345" spans="1:10" ht="15.75" x14ac:dyDescent="0.25">
      <c r="A345" s="25"/>
      <c r="B345" s="149"/>
      <c r="C345" s="150"/>
      <c r="D345" s="144"/>
      <c r="E345" s="142"/>
      <c r="F345" s="162" t="str">
        <f>IFERROR(VLOOKUP(A345,Lulu!A:F,6,0),"")</f>
        <v/>
      </c>
      <c r="G345" s="177" t="str">
        <f>IFERROR(VLOOKUP(E345,Lulu!E:F,2,0),"")</f>
        <v/>
      </c>
      <c r="H345" s="143"/>
      <c r="I345" s="143"/>
      <c r="J345" s="143"/>
    </row>
    <row r="346" spans="1:10" ht="15.75" x14ac:dyDescent="0.25">
      <c r="A346" s="25"/>
      <c r="B346" s="149"/>
      <c r="C346" s="150"/>
      <c r="D346" s="144"/>
      <c r="E346" s="142"/>
      <c r="F346" s="162" t="str">
        <f>IFERROR(VLOOKUP(A346,Lulu!A:F,6,0),"")</f>
        <v/>
      </c>
      <c r="G346" s="177" t="str">
        <f>IFERROR(VLOOKUP(E346,Lulu!E:F,2,0),"")</f>
        <v/>
      </c>
      <c r="H346" s="143"/>
      <c r="I346" s="143"/>
      <c r="J346" s="143"/>
    </row>
    <row r="347" spans="1:10" ht="15.75" x14ac:dyDescent="0.25">
      <c r="A347" s="25"/>
      <c r="B347" s="149"/>
      <c r="C347" s="150"/>
      <c r="D347" s="144"/>
      <c r="E347" s="142"/>
      <c r="F347" s="162" t="str">
        <f>IFERROR(VLOOKUP(A347,Lulu!A:F,6,0),"")</f>
        <v/>
      </c>
      <c r="G347" s="177" t="str">
        <f>IFERROR(VLOOKUP(E347,Lulu!E:F,2,0),"")</f>
        <v/>
      </c>
      <c r="H347" s="143"/>
      <c r="I347" s="143"/>
      <c r="J347" s="143"/>
    </row>
    <row r="348" spans="1:10" ht="15.75" x14ac:dyDescent="0.25">
      <c r="A348" s="25"/>
      <c r="B348" s="149"/>
      <c r="C348" s="150"/>
      <c r="D348" s="144"/>
      <c r="E348" s="142"/>
      <c r="F348" s="162" t="str">
        <f>IFERROR(VLOOKUP(A348,Lulu!A:F,6,0),"")</f>
        <v/>
      </c>
      <c r="G348" s="177" t="str">
        <f>IFERROR(VLOOKUP(E348,Lulu!E:F,2,0),"")</f>
        <v/>
      </c>
      <c r="H348" s="143"/>
      <c r="I348" s="143"/>
      <c r="J348" s="143"/>
    </row>
    <row r="349" spans="1:10" ht="15.75" x14ac:dyDescent="0.25">
      <c r="A349" s="25"/>
      <c r="B349" s="149"/>
      <c r="C349" s="150"/>
      <c r="D349" s="144"/>
      <c r="E349" s="142"/>
      <c r="F349" s="162" t="str">
        <f>IFERROR(VLOOKUP(A349,Lulu!A:F,6,0),"")</f>
        <v/>
      </c>
      <c r="G349" s="177" t="str">
        <f>IFERROR(VLOOKUP(E349,Lulu!E:F,2,0),"")</f>
        <v/>
      </c>
      <c r="H349" s="143"/>
      <c r="I349" s="143"/>
      <c r="J349" s="143"/>
    </row>
    <row r="350" spans="1:10" ht="15.75" x14ac:dyDescent="0.25">
      <c r="A350" s="25"/>
      <c r="B350" s="149"/>
      <c r="C350" s="150"/>
      <c r="D350" s="144"/>
      <c r="E350" s="142"/>
      <c r="F350" s="162" t="str">
        <f>IFERROR(VLOOKUP(A350,Lulu!A:F,6,0),"")</f>
        <v/>
      </c>
      <c r="G350" s="177" t="str">
        <f>IFERROR(VLOOKUP(E350,Lulu!E:F,2,0),"")</f>
        <v/>
      </c>
      <c r="H350" s="143"/>
      <c r="I350" s="143"/>
      <c r="J350" s="143"/>
    </row>
    <row r="351" spans="1:10" ht="15.75" x14ac:dyDescent="0.25">
      <c r="A351" s="25"/>
      <c r="B351" s="149"/>
      <c r="C351" s="150"/>
      <c r="D351" s="144"/>
      <c r="E351" s="142"/>
      <c r="F351" s="162" t="str">
        <f>IFERROR(VLOOKUP(A351,Lulu!A:F,6,0),"")</f>
        <v/>
      </c>
      <c r="G351" s="177" t="str">
        <f>IFERROR(VLOOKUP(E351,Lulu!E:F,2,0),"")</f>
        <v/>
      </c>
      <c r="H351" s="143"/>
      <c r="I351" s="143"/>
      <c r="J351" s="143"/>
    </row>
    <row r="352" spans="1:10" ht="15.75" x14ac:dyDescent="0.25">
      <c r="A352" s="25"/>
      <c r="B352" s="149"/>
      <c r="C352" s="150"/>
      <c r="D352" s="144"/>
      <c r="E352" s="142"/>
      <c r="F352" s="162" t="str">
        <f>IFERROR(VLOOKUP(A352,Lulu!A:F,6,0),"")</f>
        <v/>
      </c>
      <c r="G352" s="177" t="str">
        <f>IFERROR(VLOOKUP(E352,Lulu!E:F,2,0),"")</f>
        <v/>
      </c>
      <c r="H352" s="143"/>
      <c r="I352" s="143"/>
      <c r="J352" s="143"/>
    </row>
    <row r="353" spans="1:10" ht="15.75" x14ac:dyDescent="0.25">
      <c r="A353" s="25"/>
      <c r="B353" s="149"/>
      <c r="C353" s="150"/>
      <c r="D353" s="144"/>
      <c r="E353" s="142"/>
      <c r="F353" s="162" t="str">
        <f>IFERROR(VLOOKUP(A353,Lulu!A:F,6,0),"")</f>
        <v/>
      </c>
      <c r="G353" s="177" t="str">
        <f>IFERROR(VLOOKUP(E353,Lulu!E:F,2,0),"")</f>
        <v/>
      </c>
      <c r="H353" s="143"/>
      <c r="I353" s="143"/>
      <c r="J353" s="143"/>
    </row>
    <row r="354" spans="1:10" ht="15.75" x14ac:dyDescent="0.25">
      <c r="A354" s="25"/>
      <c r="B354" s="149"/>
      <c r="C354" s="150"/>
      <c r="D354" s="144"/>
      <c r="E354" s="142"/>
      <c r="F354" s="162" t="str">
        <f>IFERROR(VLOOKUP(A354,Lulu!A:F,6,0),"")</f>
        <v/>
      </c>
      <c r="G354" s="177" t="str">
        <f>IFERROR(VLOOKUP(E354,Lulu!E:F,2,0),"")</f>
        <v/>
      </c>
      <c r="H354" s="143"/>
      <c r="I354" s="143"/>
      <c r="J354" s="143"/>
    </row>
    <row r="355" spans="1:10" ht="15.75" x14ac:dyDescent="0.25">
      <c r="A355" s="25"/>
      <c r="B355" s="149"/>
      <c r="C355" s="150"/>
      <c r="D355" s="144"/>
      <c r="E355" s="142"/>
      <c r="F355" s="162" t="str">
        <f>IFERROR(VLOOKUP(A355,Lulu!A:F,6,0),"")</f>
        <v/>
      </c>
      <c r="G355" s="177" t="str">
        <f>IFERROR(VLOOKUP(E355,Lulu!E:F,2,0),"")</f>
        <v/>
      </c>
      <c r="H355" s="143"/>
      <c r="I355" s="143"/>
      <c r="J355" s="143"/>
    </row>
    <row r="356" spans="1:10" ht="15.75" x14ac:dyDescent="0.25">
      <c r="A356" s="25"/>
      <c r="B356" s="149"/>
      <c r="C356" s="150"/>
      <c r="D356" s="144"/>
      <c r="E356" s="142"/>
      <c r="F356" s="162" t="str">
        <f>IFERROR(VLOOKUP(A356,Lulu!A:F,6,0),"")</f>
        <v/>
      </c>
      <c r="G356" s="177" t="str">
        <f>IFERROR(VLOOKUP(E356,Lulu!E:F,2,0),"")</f>
        <v/>
      </c>
      <c r="H356" s="143"/>
      <c r="I356" s="143"/>
      <c r="J356" s="143"/>
    </row>
    <row r="357" spans="1:10" ht="15.75" x14ac:dyDescent="0.25">
      <c r="A357" s="25"/>
      <c r="B357" s="149"/>
      <c r="C357" s="150"/>
      <c r="D357" s="144"/>
      <c r="E357" s="142"/>
      <c r="F357" s="162" t="str">
        <f>IFERROR(VLOOKUP(A357,Lulu!A:F,6,0),"")</f>
        <v/>
      </c>
      <c r="G357" s="177" t="str">
        <f>IFERROR(VLOOKUP(E357,Lulu!E:F,2,0),"")</f>
        <v/>
      </c>
      <c r="H357" s="143"/>
      <c r="I357" s="143"/>
      <c r="J357" s="143"/>
    </row>
    <row r="358" spans="1:10" ht="15.75" x14ac:dyDescent="0.25">
      <c r="A358" s="25"/>
      <c r="B358" s="149"/>
      <c r="C358" s="150"/>
      <c r="D358" s="144"/>
      <c r="E358" s="142"/>
      <c r="F358" s="162" t="str">
        <f>IFERROR(VLOOKUP(A358,Lulu!A:F,6,0),"")</f>
        <v/>
      </c>
      <c r="G358" s="177" t="str">
        <f>IFERROR(VLOOKUP(E358,Lulu!E:F,2,0),"")</f>
        <v/>
      </c>
      <c r="H358" s="143"/>
      <c r="I358" s="143"/>
      <c r="J358" s="143"/>
    </row>
    <row r="359" spans="1:10" ht="15.75" x14ac:dyDescent="0.25">
      <c r="A359" s="25"/>
      <c r="B359" s="149"/>
      <c r="C359" s="150"/>
      <c r="D359" s="144"/>
      <c r="E359" s="142"/>
      <c r="F359" s="162" t="str">
        <f>IFERROR(VLOOKUP(A359,Lulu!A:F,6,0),"")</f>
        <v/>
      </c>
      <c r="G359" s="177" t="str">
        <f>IFERROR(VLOOKUP(E359,Lulu!E:F,2,0),"")</f>
        <v/>
      </c>
      <c r="H359" s="143"/>
      <c r="I359" s="143"/>
      <c r="J359" s="143"/>
    </row>
    <row r="360" spans="1:10" ht="15.75" x14ac:dyDescent="0.25">
      <c r="A360" s="25"/>
      <c r="B360" s="149"/>
      <c r="C360" s="150"/>
      <c r="D360" s="144"/>
      <c r="E360" s="142"/>
      <c r="F360" s="162" t="str">
        <f>IFERROR(VLOOKUP(A360,Lulu!A:F,6,0),"")</f>
        <v/>
      </c>
      <c r="G360" s="177" t="str">
        <f>IFERROR(VLOOKUP(E360,Lulu!E:F,2,0),"")</f>
        <v/>
      </c>
      <c r="H360" s="143"/>
      <c r="I360" s="143"/>
      <c r="J360" s="143"/>
    </row>
    <row r="361" spans="1:10" ht="15.75" x14ac:dyDescent="0.25">
      <c r="A361" s="25"/>
      <c r="B361" s="149"/>
      <c r="C361" s="150"/>
      <c r="D361" s="144"/>
      <c r="E361" s="142"/>
      <c r="F361" s="162" t="str">
        <f>IFERROR(VLOOKUP(A361,Lulu!A:F,6,0),"")</f>
        <v/>
      </c>
      <c r="G361" s="177" t="str">
        <f>IFERROR(VLOOKUP(E361,Lulu!E:F,2,0),"")</f>
        <v/>
      </c>
      <c r="H361" s="143"/>
      <c r="I361" s="143"/>
      <c r="J361" s="143"/>
    </row>
    <row r="362" spans="1:10" ht="15.75" x14ac:dyDescent="0.25">
      <c r="A362" s="25"/>
      <c r="B362" s="149"/>
      <c r="C362" s="150"/>
      <c r="D362" s="144"/>
      <c r="E362" s="142"/>
      <c r="F362" s="162" t="str">
        <f>IFERROR(VLOOKUP(A362,Lulu!A:F,6,0),"")</f>
        <v/>
      </c>
      <c r="G362" s="177" t="str">
        <f>IFERROR(VLOOKUP(E362,Lulu!E:F,2,0),"")</f>
        <v/>
      </c>
      <c r="H362" s="143"/>
      <c r="I362" s="143"/>
      <c r="J362" s="143"/>
    </row>
    <row r="363" spans="1:10" ht="15.75" x14ac:dyDescent="0.25">
      <c r="A363" s="25"/>
      <c r="B363" s="149"/>
      <c r="C363" s="150"/>
      <c r="D363" s="144"/>
      <c r="E363" s="142"/>
      <c r="F363" s="162" t="str">
        <f>IFERROR(VLOOKUP(A363,Lulu!A:F,6,0),"")</f>
        <v/>
      </c>
      <c r="G363" s="177" t="str">
        <f>IFERROR(VLOOKUP(E363,Lulu!E:F,2,0),"")</f>
        <v/>
      </c>
      <c r="H363" s="143"/>
      <c r="I363" s="143"/>
      <c r="J363" s="143"/>
    </row>
    <row r="364" spans="1:10" ht="15.75" x14ac:dyDescent="0.25">
      <c r="A364" s="25"/>
      <c r="B364" s="149"/>
      <c r="C364" s="150"/>
      <c r="D364" s="144"/>
      <c r="E364" s="142"/>
      <c r="F364" s="162" t="str">
        <f>IFERROR(VLOOKUP(A364,Lulu!A:F,6,0),"")</f>
        <v/>
      </c>
      <c r="G364" s="177" t="str">
        <f>IFERROR(VLOOKUP(E364,Lulu!E:F,2,0),"")</f>
        <v/>
      </c>
      <c r="H364" s="143"/>
      <c r="I364" s="143"/>
      <c r="J364" s="143"/>
    </row>
    <row r="365" spans="1:10" ht="15.75" x14ac:dyDescent="0.25">
      <c r="A365" s="25"/>
      <c r="B365" s="149"/>
      <c r="C365" s="150"/>
      <c r="D365" s="144"/>
      <c r="E365" s="142"/>
      <c r="F365" s="162" t="str">
        <f>IFERROR(VLOOKUP(A365,Lulu!A:F,6,0),"")</f>
        <v/>
      </c>
      <c r="G365" s="177" t="str">
        <f>IFERROR(VLOOKUP(E365,Lulu!E:F,2,0),"")</f>
        <v/>
      </c>
      <c r="H365" s="143"/>
      <c r="I365" s="143"/>
      <c r="J365" s="143"/>
    </row>
    <row r="366" spans="1:10" ht="15.75" x14ac:dyDescent="0.25">
      <c r="A366" s="25"/>
      <c r="B366" s="149"/>
      <c r="C366" s="150"/>
      <c r="D366" s="144"/>
      <c r="E366" s="142"/>
      <c r="F366" s="162" t="str">
        <f>IFERROR(VLOOKUP(A366,Lulu!A:F,6,0),"")</f>
        <v/>
      </c>
      <c r="G366" s="177" t="str">
        <f>IFERROR(VLOOKUP(E366,Lulu!E:F,2,0),"")</f>
        <v/>
      </c>
      <c r="H366" s="143"/>
      <c r="I366" s="143"/>
      <c r="J366" s="143"/>
    </row>
    <row r="367" spans="1:10" ht="15.75" x14ac:dyDescent="0.25">
      <c r="A367" s="25"/>
      <c r="B367" s="149"/>
      <c r="C367" s="150"/>
      <c r="D367" s="144"/>
      <c r="E367" s="142"/>
      <c r="F367" s="162" t="str">
        <f>IFERROR(VLOOKUP(A367,Lulu!A:F,6,0),"")</f>
        <v/>
      </c>
      <c r="G367" s="177" t="str">
        <f>IFERROR(VLOOKUP(E367,Lulu!E:F,2,0),"")</f>
        <v/>
      </c>
      <c r="H367" s="143"/>
      <c r="I367" s="143"/>
      <c r="J367" s="143"/>
    </row>
    <row r="368" spans="1:10" ht="15.75" x14ac:dyDescent="0.25">
      <c r="A368" s="25"/>
      <c r="B368" s="149"/>
      <c r="C368" s="150"/>
      <c r="D368" s="144"/>
      <c r="E368" s="142"/>
      <c r="F368" s="162" t="str">
        <f>IFERROR(VLOOKUP(A368,Lulu!A:F,6,0),"")</f>
        <v/>
      </c>
      <c r="G368" s="177" t="str">
        <f>IFERROR(VLOOKUP(E368,Lulu!E:F,2,0),"")</f>
        <v/>
      </c>
      <c r="H368" s="143"/>
      <c r="I368" s="143"/>
      <c r="J368" s="143"/>
    </row>
    <row r="369" spans="1:10" ht="15.75" x14ac:dyDescent="0.25">
      <c r="A369" s="25"/>
      <c r="B369" s="149"/>
      <c r="C369" s="150"/>
      <c r="D369" s="144"/>
      <c r="E369" s="142"/>
      <c r="F369" s="162" t="str">
        <f>IFERROR(VLOOKUP(A369,Lulu!A:F,6,0),"")</f>
        <v/>
      </c>
      <c r="G369" s="177" t="str">
        <f>IFERROR(VLOOKUP(E369,Lulu!E:F,2,0),"")</f>
        <v/>
      </c>
      <c r="H369" s="143"/>
      <c r="I369" s="143"/>
      <c r="J369" s="143"/>
    </row>
    <row r="370" spans="1:10" ht="15.75" x14ac:dyDescent="0.25">
      <c r="A370" s="25"/>
      <c r="B370" s="149"/>
      <c r="C370" s="150"/>
      <c r="D370" s="144"/>
      <c r="E370" s="142"/>
      <c r="F370" s="162" t="str">
        <f>IFERROR(VLOOKUP(A370,Lulu!A:F,6,0),"")</f>
        <v/>
      </c>
      <c r="G370" s="177" t="str">
        <f>IFERROR(VLOOKUP(E370,Lulu!E:F,2,0),"")</f>
        <v/>
      </c>
      <c r="H370" s="143"/>
      <c r="I370" s="143"/>
      <c r="J370" s="143"/>
    </row>
    <row r="371" spans="1:10" ht="15.75" x14ac:dyDescent="0.25">
      <c r="A371" s="25"/>
      <c r="B371" s="149"/>
      <c r="C371" s="150"/>
      <c r="D371" s="144"/>
      <c r="E371" s="142"/>
      <c r="F371" s="162" t="str">
        <f>IFERROR(VLOOKUP(A371,Lulu!A:F,6,0),"")</f>
        <v/>
      </c>
      <c r="G371" s="177" t="str">
        <f>IFERROR(VLOOKUP(E371,Lulu!E:F,2,0),"")</f>
        <v/>
      </c>
      <c r="H371" s="143"/>
      <c r="I371" s="143"/>
      <c r="J371" s="143"/>
    </row>
    <row r="372" spans="1:10" ht="15.75" x14ac:dyDescent="0.25">
      <c r="A372" s="25"/>
      <c r="B372" s="149"/>
      <c r="C372" s="150"/>
      <c r="D372" s="144"/>
      <c r="E372" s="142"/>
      <c r="F372" s="162" t="str">
        <f>IFERROR(VLOOKUP(A372,Lulu!A:F,6,0),"")</f>
        <v/>
      </c>
      <c r="G372" s="177" t="str">
        <f>IFERROR(VLOOKUP(E372,Lulu!E:F,2,0),"")</f>
        <v/>
      </c>
      <c r="H372" s="143"/>
      <c r="I372" s="143"/>
      <c r="J372" s="143"/>
    </row>
    <row r="373" spans="1:10" ht="15.75" x14ac:dyDescent="0.25">
      <c r="A373" s="25"/>
      <c r="B373" s="149"/>
      <c r="C373" s="150"/>
      <c r="D373" s="144"/>
      <c r="E373" s="142"/>
      <c r="F373" s="162" t="str">
        <f>IFERROR(VLOOKUP(A373,Lulu!A:F,6,0),"")</f>
        <v/>
      </c>
      <c r="G373" s="177" t="str">
        <f>IFERROR(VLOOKUP(E373,Lulu!E:F,2,0),"")</f>
        <v/>
      </c>
      <c r="H373" s="143"/>
      <c r="I373" s="143"/>
      <c r="J373" s="143"/>
    </row>
    <row r="374" spans="1:10" ht="15.75" x14ac:dyDescent="0.25">
      <c r="A374" s="25"/>
      <c r="B374" s="149"/>
      <c r="C374" s="150"/>
      <c r="D374" s="144"/>
      <c r="E374" s="142"/>
      <c r="F374" s="162" t="str">
        <f>IFERROR(VLOOKUP(A374,Lulu!A:F,6,0),"")</f>
        <v/>
      </c>
      <c r="G374" s="177" t="str">
        <f>IFERROR(VLOOKUP(E374,Lulu!E:F,2,0),"")</f>
        <v/>
      </c>
      <c r="H374" s="143"/>
      <c r="I374" s="143"/>
      <c r="J374" s="143"/>
    </row>
    <row r="375" spans="1:10" ht="15.75" x14ac:dyDescent="0.25">
      <c r="A375" s="25"/>
      <c r="B375" s="149"/>
      <c r="C375" s="150"/>
      <c r="D375" s="144"/>
      <c r="E375" s="142"/>
      <c r="F375" s="162" t="str">
        <f>IFERROR(VLOOKUP(A375,Lulu!A:F,6,0),"")</f>
        <v/>
      </c>
      <c r="G375" s="177" t="str">
        <f>IFERROR(VLOOKUP(E375,Lulu!E:F,2,0),"")</f>
        <v/>
      </c>
      <c r="H375" s="143"/>
      <c r="I375" s="143"/>
      <c r="J375" s="143"/>
    </row>
    <row r="376" spans="1:10" ht="15.75" x14ac:dyDescent="0.25">
      <c r="A376" s="25"/>
      <c r="B376" s="149"/>
      <c r="C376" s="150"/>
      <c r="D376" s="144"/>
      <c r="E376" s="142"/>
      <c r="F376" s="162" t="str">
        <f>IFERROR(VLOOKUP(A376,Lulu!A:F,6,0),"")</f>
        <v/>
      </c>
      <c r="G376" s="177" t="str">
        <f>IFERROR(VLOOKUP(E376,Lulu!E:F,2,0),"")</f>
        <v/>
      </c>
      <c r="H376" s="143"/>
      <c r="I376" s="143"/>
      <c r="J376" s="143"/>
    </row>
    <row r="377" spans="1:10" ht="15.75" x14ac:dyDescent="0.25">
      <c r="A377" s="25"/>
      <c r="B377" s="149"/>
      <c r="C377" s="150"/>
      <c r="D377" s="144"/>
      <c r="E377" s="142"/>
      <c r="F377" s="162" t="str">
        <f>IFERROR(VLOOKUP(A377,Lulu!A:F,6,0),"")</f>
        <v/>
      </c>
      <c r="G377" s="177" t="str">
        <f>IFERROR(VLOOKUP(E377,Lulu!E:F,2,0),"")</f>
        <v/>
      </c>
      <c r="H377" s="143"/>
      <c r="I377" s="143"/>
      <c r="J377" s="143"/>
    </row>
    <row r="378" spans="1:10" ht="15.75" x14ac:dyDescent="0.25">
      <c r="A378" s="25"/>
      <c r="B378" s="149"/>
      <c r="C378" s="150"/>
      <c r="D378" s="144"/>
      <c r="E378" s="142"/>
      <c r="F378" s="162" t="str">
        <f>IFERROR(VLOOKUP(A378,Lulu!A:F,6,0),"")</f>
        <v/>
      </c>
      <c r="G378" s="177" t="str">
        <f>IFERROR(VLOOKUP(E378,Lulu!E:F,2,0),"")</f>
        <v/>
      </c>
      <c r="H378" s="143"/>
      <c r="I378" s="143"/>
      <c r="J378" s="143"/>
    </row>
    <row r="379" spans="1:10" ht="15.75" x14ac:dyDescent="0.25">
      <c r="A379" s="25"/>
      <c r="B379" s="149"/>
      <c r="C379" s="150"/>
      <c r="D379" s="144"/>
      <c r="E379" s="142"/>
      <c r="F379" s="162" t="str">
        <f>IFERROR(VLOOKUP(A379,Lulu!A:F,6,0),"")</f>
        <v/>
      </c>
      <c r="G379" s="177" t="str">
        <f>IFERROR(VLOOKUP(E379,Lulu!E:F,2,0),"")</f>
        <v/>
      </c>
      <c r="H379" s="143"/>
      <c r="I379" s="143"/>
      <c r="J379" s="143"/>
    </row>
    <row r="380" spans="1:10" ht="15.75" x14ac:dyDescent="0.25">
      <c r="A380" s="25"/>
      <c r="B380" s="149"/>
      <c r="C380" s="150"/>
      <c r="D380" s="144"/>
      <c r="E380" s="142"/>
      <c r="F380" s="162" t="str">
        <f>IFERROR(VLOOKUP(A380,Lulu!A:F,6,0),"")</f>
        <v/>
      </c>
      <c r="G380" s="177" t="str">
        <f>IFERROR(VLOOKUP(E380,Lulu!E:F,2,0),"")</f>
        <v/>
      </c>
      <c r="H380" s="143"/>
      <c r="I380" s="143"/>
      <c r="J380" s="143"/>
    </row>
    <row r="381" spans="1:10" ht="15.75" x14ac:dyDescent="0.25">
      <c r="A381" s="25"/>
      <c r="B381" s="149"/>
      <c r="C381" s="150"/>
      <c r="D381" s="144"/>
      <c r="E381" s="142"/>
      <c r="F381" s="162" t="str">
        <f>IFERROR(VLOOKUP(A381,Lulu!A:F,6,0),"")</f>
        <v/>
      </c>
      <c r="G381" s="177" t="str">
        <f>IFERROR(VLOOKUP(E381,Lulu!E:F,2,0),"")</f>
        <v/>
      </c>
      <c r="H381" s="143"/>
      <c r="I381" s="143"/>
      <c r="J381" s="143"/>
    </row>
    <row r="382" spans="1:10" ht="15.75" x14ac:dyDescent="0.25">
      <c r="A382" s="25"/>
      <c r="B382" s="149"/>
      <c r="C382" s="150"/>
      <c r="D382" s="144"/>
      <c r="E382" s="142"/>
      <c r="F382" s="162" t="str">
        <f>IFERROR(VLOOKUP(A382,Lulu!A:F,6,0),"")</f>
        <v/>
      </c>
      <c r="G382" s="177" t="str">
        <f>IFERROR(VLOOKUP(E382,Lulu!E:F,2,0),"")</f>
        <v/>
      </c>
      <c r="H382" s="143"/>
      <c r="I382" s="143"/>
      <c r="J382" s="143"/>
    </row>
    <row r="383" spans="1:10" ht="15.75" x14ac:dyDescent="0.25">
      <c r="A383" s="25"/>
      <c r="B383" s="149"/>
      <c r="C383" s="150"/>
      <c r="D383" s="144"/>
      <c r="E383" s="142"/>
      <c r="F383" s="162" t="str">
        <f>IFERROR(VLOOKUP(A383,Lulu!A:F,6,0),"")</f>
        <v/>
      </c>
      <c r="G383" s="177" t="str">
        <f>IFERROR(VLOOKUP(E383,Lulu!E:F,2,0),"")</f>
        <v/>
      </c>
      <c r="H383" s="143"/>
      <c r="I383" s="143"/>
      <c r="J383" s="143"/>
    </row>
    <row r="384" spans="1:10" ht="15.75" x14ac:dyDescent="0.25">
      <c r="A384" s="25"/>
      <c r="B384" s="149"/>
      <c r="C384" s="150"/>
      <c r="D384" s="144"/>
      <c r="E384" s="142"/>
      <c r="F384" s="162" t="str">
        <f>IFERROR(VLOOKUP(A384,Lulu!A:F,6,0),"")</f>
        <v/>
      </c>
      <c r="G384" s="177" t="str">
        <f>IFERROR(VLOOKUP(E384,Lulu!E:F,2,0),"")</f>
        <v/>
      </c>
      <c r="H384" s="143"/>
      <c r="I384" s="143"/>
      <c r="J384" s="143"/>
    </row>
    <row r="385" spans="1:10" ht="15.75" x14ac:dyDescent="0.25">
      <c r="A385" s="25"/>
      <c r="B385" s="149"/>
      <c r="C385" s="150"/>
      <c r="D385" s="144"/>
      <c r="E385" s="142"/>
      <c r="F385" s="162" t="str">
        <f>IFERROR(VLOOKUP(A385,Lulu!A:F,6,0),"")</f>
        <v/>
      </c>
      <c r="G385" s="177" t="str">
        <f>IFERROR(VLOOKUP(E385,Lulu!E:F,2,0),"")</f>
        <v/>
      </c>
      <c r="H385" s="143"/>
      <c r="I385" s="143"/>
      <c r="J385" s="143"/>
    </row>
    <row r="386" spans="1:10" ht="15.75" x14ac:dyDescent="0.25">
      <c r="A386" s="25"/>
      <c r="B386" s="149"/>
      <c r="C386" s="150"/>
      <c r="D386" s="144"/>
      <c r="E386" s="142"/>
      <c r="F386" s="162" t="str">
        <f>IFERROR(VLOOKUP(A386,Lulu!A:F,6,0),"")</f>
        <v/>
      </c>
      <c r="G386" s="177" t="str">
        <f>IFERROR(VLOOKUP(E386,Lulu!E:F,2,0),"")</f>
        <v/>
      </c>
      <c r="H386" s="143"/>
      <c r="I386" s="143"/>
      <c r="J386" s="143"/>
    </row>
    <row r="387" spans="1:10" ht="15.75" x14ac:dyDescent="0.25">
      <c r="A387" s="25"/>
      <c r="B387" s="149"/>
      <c r="C387" s="150"/>
      <c r="D387" s="144"/>
      <c r="E387" s="142"/>
      <c r="F387" s="162" t="str">
        <f>IFERROR(VLOOKUP(A387,Lulu!A:F,6,0),"")</f>
        <v/>
      </c>
      <c r="G387" s="177" t="str">
        <f>IFERROR(VLOOKUP(E387,Lulu!E:F,2,0),"")</f>
        <v/>
      </c>
      <c r="H387" s="143"/>
      <c r="I387" s="143"/>
      <c r="J387" s="143"/>
    </row>
    <row r="388" spans="1:10" ht="15.75" x14ac:dyDescent="0.25">
      <c r="A388" s="25"/>
      <c r="B388" s="149"/>
      <c r="C388" s="150"/>
      <c r="D388" s="144"/>
      <c r="E388" s="142"/>
      <c r="F388" s="162" t="str">
        <f>IFERROR(VLOOKUP(A388,Lulu!A:F,6,0),"")</f>
        <v/>
      </c>
      <c r="G388" s="177" t="str">
        <f>IFERROR(VLOOKUP(E388,Lulu!E:F,2,0),"")</f>
        <v/>
      </c>
      <c r="H388" s="143"/>
      <c r="I388" s="143"/>
      <c r="J388" s="143"/>
    </row>
    <row r="389" spans="1:10" ht="15.75" x14ac:dyDescent="0.25">
      <c r="A389" s="25"/>
      <c r="B389" s="149"/>
      <c r="C389" s="150"/>
      <c r="D389" s="144"/>
      <c r="E389" s="142"/>
      <c r="F389" s="162" t="str">
        <f>IFERROR(VLOOKUP(A389,Lulu!A:F,6,0),"")</f>
        <v/>
      </c>
      <c r="G389" s="177" t="str">
        <f>IFERROR(VLOOKUP(E389,Lulu!E:F,2,0),"")</f>
        <v/>
      </c>
      <c r="H389" s="143"/>
      <c r="I389" s="143"/>
      <c r="J389" s="143"/>
    </row>
    <row r="390" spans="1:10" ht="15.75" x14ac:dyDescent="0.25">
      <c r="A390" s="25"/>
      <c r="B390" s="149"/>
      <c r="C390" s="150"/>
      <c r="D390" s="144"/>
      <c r="E390" s="142"/>
      <c r="F390" s="162" t="str">
        <f>IFERROR(VLOOKUP(A390,Lulu!A:F,6,0),"")</f>
        <v/>
      </c>
      <c r="G390" s="177" t="str">
        <f>IFERROR(VLOOKUP(E390,Lulu!E:F,2,0),"")</f>
        <v/>
      </c>
      <c r="H390" s="143"/>
      <c r="I390" s="143"/>
      <c r="J390" s="143"/>
    </row>
    <row r="391" spans="1:10" ht="15.75" x14ac:dyDescent="0.25">
      <c r="A391" s="25"/>
      <c r="B391" s="149"/>
      <c r="C391" s="150"/>
      <c r="D391" s="144"/>
      <c r="E391" s="142"/>
      <c r="F391" s="162" t="str">
        <f>IFERROR(VLOOKUP(A391,Lulu!A:F,6,0),"")</f>
        <v/>
      </c>
      <c r="G391" s="177" t="str">
        <f>IFERROR(VLOOKUP(E391,Lulu!E:F,2,0),"")</f>
        <v/>
      </c>
      <c r="H391" s="143"/>
      <c r="I391" s="143"/>
      <c r="J391" s="143"/>
    </row>
    <row r="392" spans="1:10" ht="15.75" x14ac:dyDescent="0.25">
      <c r="A392" s="25"/>
      <c r="B392" s="149"/>
      <c r="C392" s="150"/>
      <c r="D392" s="144"/>
      <c r="E392" s="142"/>
      <c r="F392" s="162" t="str">
        <f>IFERROR(VLOOKUP(A392,Lulu!A:F,6,0),"")</f>
        <v/>
      </c>
      <c r="G392" s="177" t="str">
        <f>IFERROR(VLOOKUP(E392,Lulu!E:F,2,0),"")</f>
        <v/>
      </c>
      <c r="H392" s="143"/>
      <c r="I392" s="143"/>
      <c r="J392" s="143"/>
    </row>
    <row r="393" spans="1:10" ht="15.75" x14ac:dyDescent="0.25">
      <c r="A393" s="25"/>
      <c r="B393" s="149"/>
      <c r="C393" s="150"/>
      <c r="D393" s="144"/>
      <c r="E393" s="142"/>
      <c r="F393" s="162" t="str">
        <f>IFERROR(VLOOKUP(A393,Lulu!A:F,6,0),"")</f>
        <v/>
      </c>
      <c r="G393" s="177" t="str">
        <f>IFERROR(VLOOKUP(E393,Lulu!E:F,2,0),"")</f>
        <v/>
      </c>
      <c r="H393" s="143"/>
      <c r="I393" s="143"/>
      <c r="J393" s="143"/>
    </row>
    <row r="394" spans="1:10" ht="15.75" x14ac:dyDescent="0.25">
      <c r="A394" s="25"/>
      <c r="B394" s="149"/>
      <c r="C394" s="150"/>
      <c r="D394" s="144"/>
      <c r="E394" s="142"/>
      <c r="F394" s="162" t="str">
        <f>IFERROR(VLOOKUP(A394,Lulu!A:F,6,0),"")</f>
        <v/>
      </c>
      <c r="G394" s="177" t="str">
        <f>IFERROR(VLOOKUP(E394,Lulu!E:F,2,0),"")</f>
        <v/>
      </c>
      <c r="H394" s="143"/>
      <c r="I394" s="143"/>
      <c r="J394" s="143"/>
    </row>
    <row r="395" spans="1:10" ht="15.75" x14ac:dyDescent="0.25">
      <c r="A395" s="25"/>
      <c r="B395" s="149"/>
      <c r="C395" s="150"/>
      <c r="D395" s="144"/>
      <c r="E395" s="142"/>
      <c r="F395" s="162" t="str">
        <f>IFERROR(VLOOKUP(A395,Lulu!A:F,6,0),"")</f>
        <v/>
      </c>
      <c r="G395" s="177" t="str">
        <f>IFERROR(VLOOKUP(E395,Lulu!E:F,2,0),"")</f>
        <v/>
      </c>
      <c r="H395" s="143"/>
      <c r="I395" s="143"/>
      <c r="J395" s="143"/>
    </row>
    <row r="396" spans="1:10" ht="15.75" x14ac:dyDescent="0.25">
      <c r="A396" s="25"/>
      <c r="B396" s="149"/>
      <c r="C396" s="150"/>
      <c r="D396" s="144"/>
      <c r="E396" s="142"/>
      <c r="F396" s="162" t="str">
        <f>IFERROR(VLOOKUP(A396,Lulu!A:F,6,0),"")</f>
        <v/>
      </c>
      <c r="G396" s="177" t="str">
        <f>IFERROR(VLOOKUP(E396,Lulu!E:F,2,0),"")</f>
        <v/>
      </c>
      <c r="H396" s="143"/>
      <c r="I396" s="143"/>
      <c r="J396" s="143"/>
    </row>
    <row r="397" spans="1:10" ht="15.75" x14ac:dyDescent="0.25">
      <c r="A397" s="25"/>
      <c r="B397" s="149"/>
      <c r="C397" s="150"/>
      <c r="D397" s="144"/>
      <c r="E397" s="142"/>
      <c r="F397" s="162" t="str">
        <f>IFERROR(VLOOKUP(A397,Lulu!A:F,6,0),"")</f>
        <v/>
      </c>
      <c r="G397" s="177" t="str">
        <f>IFERROR(VLOOKUP(E397,Lulu!E:F,2,0),"")</f>
        <v/>
      </c>
      <c r="H397" s="143"/>
      <c r="I397" s="143"/>
      <c r="J397" s="143"/>
    </row>
    <row r="398" spans="1:10" ht="15.75" x14ac:dyDescent="0.25">
      <c r="A398" s="25"/>
      <c r="B398" s="149"/>
      <c r="C398" s="150"/>
      <c r="D398" s="144"/>
      <c r="E398" s="142"/>
      <c r="F398" s="162" t="str">
        <f>IFERROR(VLOOKUP(A398,Lulu!A:F,6,0),"")</f>
        <v/>
      </c>
      <c r="G398" s="177" t="str">
        <f>IFERROR(VLOOKUP(E398,Lulu!E:F,2,0),"")</f>
        <v/>
      </c>
      <c r="H398" s="143"/>
      <c r="I398" s="143"/>
      <c r="J398" s="143"/>
    </row>
    <row r="399" spans="1:10" ht="15.75" x14ac:dyDescent="0.25">
      <c r="A399" s="25"/>
      <c r="B399" s="149"/>
      <c r="C399" s="150"/>
      <c r="D399" s="144"/>
      <c r="E399" s="142"/>
      <c r="F399" s="162" t="str">
        <f>IFERROR(VLOOKUP(A399,Lulu!A:F,6,0),"")</f>
        <v/>
      </c>
      <c r="G399" s="177" t="str">
        <f>IFERROR(VLOOKUP(E399,Lulu!E:F,2,0),"")</f>
        <v/>
      </c>
      <c r="H399" s="143"/>
      <c r="I399" s="143"/>
      <c r="J399" s="143"/>
    </row>
    <row r="400" spans="1:10" ht="15.75" x14ac:dyDescent="0.25">
      <c r="A400" s="42"/>
      <c r="B400" s="149"/>
      <c r="C400" s="150"/>
      <c r="D400" s="144"/>
      <c r="E400" s="157"/>
      <c r="F400" s="162" t="str">
        <f>IFERROR(VLOOKUP(A400,Lulu!A:F,6,0),"")</f>
        <v/>
      </c>
      <c r="G400" s="177" t="str">
        <f>IFERROR(VLOOKUP(E400,Lulu!E:F,2,0),"")</f>
        <v/>
      </c>
      <c r="H400" s="143"/>
    </row>
    <row r="401" spans="1:8" ht="15.75" x14ac:dyDescent="0.25">
      <c r="A401" s="42"/>
      <c r="B401" s="173"/>
      <c r="C401" s="174"/>
      <c r="D401" s="175"/>
      <c r="E401" s="172"/>
      <c r="F401" s="176" t="str">
        <f>IFERROR(VLOOKUP(A401,Lulu!A:F,6,0),"")</f>
        <v/>
      </c>
      <c r="G401" s="177" t="str">
        <f>IFERROR(VLOOKUP(E401,Lulu!E:F,2,0),"")</f>
        <v/>
      </c>
      <c r="H401" s="143"/>
    </row>
    <row r="402" spans="1:8" ht="15.75" x14ac:dyDescent="0.25">
      <c r="A402" s="42"/>
      <c r="B402" s="173"/>
      <c r="C402" s="174"/>
      <c r="D402" s="175"/>
      <c r="E402" s="172"/>
      <c r="F402" s="176" t="str">
        <f>IFERROR(VLOOKUP(A402,Lulu!A:F,6,0),"")</f>
        <v/>
      </c>
      <c r="G402" s="177" t="str">
        <f>IFERROR(VLOOKUP(E402,Lulu!E:F,2,0),"")</f>
        <v/>
      </c>
      <c r="H402" s="143"/>
    </row>
    <row r="403" spans="1:8" ht="15.75" x14ac:dyDescent="0.25">
      <c r="A403" s="42"/>
      <c r="B403" s="173"/>
      <c r="C403" s="174"/>
      <c r="D403" s="175"/>
      <c r="E403" s="172"/>
      <c r="F403" s="176" t="str">
        <f>IFERROR(VLOOKUP(A403,Lulu!A:F,6,0),"")</f>
        <v/>
      </c>
      <c r="G403" s="177" t="str">
        <f>IFERROR(VLOOKUP(E403,Lulu!E:F,2,0),"")</f>
        <v/>
      </c>
      <c r="H403" s="143"/>
    </row>
    <row r="404" spans="1:8" ht="15.75" x14ac:dyDescent="0.25">
      <c r="A404" s="42"/>
      <c r="B404" s="173"/>
      <c r="C404" s="174"/>
      <c r="D404" s="175"/>
      <c r="E404" s="172"/>
      <c r="F404" s="176" t="str">
        <f>IFERROR(VLOOKUP(A404,Lulu!A:F,6,0),"")</f>
        <v/>
      </c>
      <c r="G404" s="177" t="str">
        <f>IFERROR(VLOOKUP(E404,Lulu!E:F,2,0),"")</f>
        <v/>
      </c>
      <c r="H404" s="143"/>
    </row>
    <row r="405" spans="1:8" ht="15.75" x14ac:dyDescent="0.25">
      <c r="A405" s="42"/>
      <c r="B405" s="173"/>
      <c r="C405" s="174"/>
      <c r="D405" s="175"/>
      <c r="E405" s="172"/>
      <c r="F405" s="176" t="str">
        <f>IFERROR(VLOOKUP(A405,Lulu!A:F,6,0),"")</f>
        <v/>
      </c>
      <c r="G405" s="177" t="str">
        <f>IFERROR(VLOOKUP(E405,Lulu!E:F,2,0),"")</f>
        <v/>
      </c>
      <c r="H405" s="143"/>
    </row>
    <row r="406" spans="1:8" ht="15.75" x14ac:dyDescent="0.25">
      <c r="A406" s="42"/>
      <c r="B406" s="173"/>
      <c r="C406" s="174"/>
      <c r="D406" s="175"/>
      <c r="E406" s="172"/>
      <c r="F406" s="176" t="str">
        <f>IFERROR(VLOOKUP(A406,Lulu!A:F,6,0),"")</f>
        <v/>
      </c>
      <c r="G406" s="177" t="str">
        <f>IFERROR(VLOOKUP(E406,Lulu!E:F,2,0),"")</f>
        <v/>
      </c>
      <c r="H406" s="143"/>
    </row>
    <row r="407" spans="1:8" ht="15.75" x14ac:dyDescent="0.25">
      <c r="A407" s="42"/>
      <c r="B407" s="173"/>
      <c r="C407" s="174"/>
      <c r="D407" s="175"/>
      <c r="E407" s="172"/>
      <c r="F407" s="176" t="str">
        <f>IFERROR(VLOOKUP(A407,Lulu!A:F,6,0),"")</f>
        <v/>
      </c>
      <c r="G407" s="177" t="str">
        <f>IFERROR(VLOOKUP(E407,Lulu!E:F,2,0),"")</f>
        <v/>
      </c>
      <c r="H407" s="143"/>
    </row>
    <row r="408" spans="1:8" ht="15.75" x14ac:dyDescent="0.25">
      <c r="A408" s="42"/>
      <c r="B408" s="173"/>
      <c r="C408" s="174"/>
      <c r="D408" s="175"/>
      <c r="E408" s="172"/>
      <c r="F408" s="176" t="str">
        <f>IFERROR(VLOOKUP(A408,Lulu!A:F,6,0),"")</f>
        <v/>
      </c>
      <c r="G408" s="177" t="str">
        <f>IFERROR(VLOOKUP(E408,Lulu!E:F,2,0),"")</f>
        <v/>
      </c>
      <c r="H408" s="143"/>
    </row>
    <row r="409" spans="1:8" ht="15.75" x14ac:dyDescent="0.25">
      <c r="A409" s="42"/>
      <c r="B409" s="173"/>
      <c r="C409" s="174"/>
      <c r="D409" s="175"/>
      <c r="E409" s="172"/>
      <c r="F409" s="176" t="str">
        <f>IFERROR(VLOOKUP(A409,Lulu!A:F,6,0),"")</f>
        <v/>
      </c>
      <c r="G409" s="177" t="str">
        <f>IFERROR(VLOOKUP(E409,Lulu!E:F,2,0),"")</f>
        <v/>
      </c>
      <c r="H409" s="14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9D69-B397-4DA2-9B61-AAAE55D8BC74}">
  <dimension ref="A1:P108"/>
  <sheetViews>
    <sheetView topLeftCell="A89" workbookViewId="0">
      <selection activeCell="A103" sqref="A103:H108"/>
    </sheetView>
  </sheetViews>
  <sheetFormatPr defaultRowHeight="15" x14ac:dyDescent="0.25"/>
  <cols>
    <col min="1" max="1" width="19" bestFit="1" customWidth="1"/>
    <col min="3" max="3" width="32.7109375" customWidth="1"/>
    <col min="4" max="4" width="30" bestFit="1" customWidth="1"/>
    <col min="5" max="5" width="16.28515625" customWidth="1"/>
    <col min="6" max="6" width="14.140625" bestFit="1" customWidth="1"/>
  </cols>
  <sheetData>
    <row r="1" spans="1:10" ht="15.75" x14ac:dyDescent="0.25">
      <c r="A1" s="178" t="s">
        <v>467</v>
      </c>
    </row>
    <row r="2" spans="1:10" ht="15.75" thickBot="1" x14ac:dyDescent="0.3">
      <c r="A2" s="195" t="s">
        <v>468</v>
      </c>
      <c r="B2" s="196"/>
      <c r="C2" s="196"/>
      <c r="D2" s="196"/>
      <c r="E2" s="196"/>
      <c r="F2" s="196"/>
      <c r="G2" s="196"/>
    </row>
    <row r="3" spans="1:10" ht="48" thickBot="1" x14ac:dyDescent="0.3">
      <c r="A3" s="179" t="s">
        <v>469</v>
      </c>
      <c r="B3" s="180" t="s">
        <v>470</v>
      </c>
      <c r="C3" s="180" t="s">
        <v>471</v>
      </c>
      <c r="D3" s="180" t="s">
        <v>472</v>
      </c>
      <c r="E3" s="181" t="s">
        <v>473</v>
      </c>
      <c r="F3" s="180" t="s">
        <v>474</v>
      </c>
      <c r="G3" s="182" t="s">
        <v>475</v>
      </c>
    </row>
    <row r="4" spans="1:10" ht="15.75" x14ac:dyDescent="0.25">
      <c r="A4" s="197">
        <v>3073780959704</v>
      </c>
      <c r="B4" s="183">
        <v>155146</v>
      </c>
      <c r="C4" s="184" t="s">
        <v>476</v>
      </c>
      <c r="D4" s="185" t="s">
        <v>477</v>
      </c>
      <c r="E4" s="185">
        <v>160</v>
      </c>
      <c r="F4" s="186">
        <v>1.5669999999999999</v>
      </c>
      <c r="G4" s="187">
        <v>1.39</v>
      </c>
    </row>
    <row r="5" spans="1:10" ht="15.75" x14ac:dyDescent="0.25">
      <c r="A5" s="198">
        <v>3073781053586</v>
      </c>
      <c r="B5" s="188">
        <v>94715</v>
      </c>
      <c r="C5" s="189" t="s">
        <v>478</v>
      </c>
      <c r="D5" s="190" t="s">
        <v>479</v>
      </c>
      <c r="E5" s="190">
        <v>120</v>
      </c>
      <c r="F5" s="191">
        <v>3.41</v>
      </c>
      <c r="G5" s="192">
        <v>2.9750000000000001</v>
      </c>
    </row>
    <row r="6" spans="1:10" ht="31.5" x14ac:dyDescent="0.25">
      <c r="A6" s="198">
        <v>3073781134193</v>
      </c>
      <c r="B6" s="193">
        <v>293732</v>
      </c>
      <c r="C6" s="189" t="s">
        <v>480</v>
      </c>
      <c r="D6" s="194" t="s">
        <v>481</v>
      </c>
      <c r="E6" s="194">
        <v>60</v>
      </c>
      <c r="F6" s="191">
        <v>4.7050000000000001</v>
      </c>
      <c r="G6" s="192">
        <v>3.99</v>
      </c>
    </row>
    <row r="7" spans="1:10" ht="45" customHeight="1" x14ac:dyDescent="0.25">
      <c r="A7" s="306" t="s">
        <v>482</v>
      </c>
      <c r="B7" s="306"/>
    </row>
    <row r="8" spans="1:10" ht="56.25" customHeight="1" x14ac:dyDescent="0.25">
      <c r="A8" s="305" t="s">
        <v>483</v>
      </c>
      <c r="B8" s="305"/>
      <c r="C8" s="305"/>
      <c r="D8" s="305"/>
      <c r="E8" s="305"/>
      <c r="F8" s="305"/>
      <c r="G8" s="305"/>
    </row>
    <row r="10" spans="1:10" x14ac:dyDescent="0.25">
      <c r="A10" t="s">
        <v>492</v>
      </c>
    </row>
    <row r="11" spans="1:10" x14ac:dyDescent="0.25">
      <c r="A11" t="s">
        <v>491</v>
      </c>
    </row>
    <row r="12" spans="1:10" x14ac:dyDescent="0.25">
      <c r="A12" t="s">
        <v>492</v>
      </c>
    </row>
    <row r="15" spans="1:10" ht="30" customHeight="1" x14ac:dyDescent="0.25">
      <c r="A15" s="199">
        <v>70</v>
      </c>
      <c r="B15" s="199">
        <v>1126973</v>
      </c>
      <c r="C15" s="200">
        <v>404560</v>
      </c>
      <c r="D15" s="200" t="s">
        <v>494</v>
      </c>
      <c r="E15" s="303" t="s">
        <v>495</v>
      </c>
      <c r="F15" s="303"/>
      <c r="G15" s="199">
        <v>635673975043</v>
      </c>
      <c r="H15" s="199">
        <v>6</v>
      </c>
      <c r="I15" s="200" t="s">
        <v>496</v>
      </c>
      <c r="J15" s="201">
        <v>6.8579999999999997</v>
      </c>
    </row>
    <row r="17" spans="1:5" x14ac:dyDescent="0.25">
      <c r="A17">
        <v>195536</v>
      </c>
      <c r="B17" t="s">
        <v>497</v>
      </c>
    </row>
    <row r="19" spans="1:5" x14ac:dyDescent="0.25">
      <c r="A19" t="s">
        <v>498</v>
      </c>
    </row>
    <row r="20" spans="1:5" x14ac:dyDescent="0.25">
      <c r="A20">
        <v>370080</v>
      </c>
    </row>
    <row r="27" spans="1:5" ht="60" x14ac:dyDescent="0.25">
      <c r="A27" s="243">
        <v>375701</v>
      </c>
      <c r="B27" s="244" t="s">
        <v>737</v>
      </c>
      <c r="C27" s="245">
        <v>6291007902211</v>
      </c>
      <c r="D27" s="245">
        <v>0.13100000000000001</v>
      </c>
      <c r="E27" s="245">
        <v>3.1440000000000001</v>
      </c>
    </row>
    <row r="28" spans="1:5" ht="60" x14ac:dyDescent="0.25">
      <c r="A28" s="243">
        <v>375703</v>
      </c>
      <c r="B28" s="244" t="s">
        <v>738</v>
      </c>
      <c r="C28" s="245">
        <v>6291007902204</v>
      </c>
      <c r="D28" s="245">
        <v>0.23400000000000001</v>
      </c>
      <c r="E28" s="245">
        <v>5.6159999999999997</v>
      </c>
    </row>
    <row r="29" spans="1:5" ht="75" x14ac:dyDescent="0.25">
      <c r="A29" s="246">
        <v>378939</v>
      </c>
      <c r="B29" s="247" t="s">
        <v>739</v>
      </c>
      <c r="C29" s="245">
        <v>8901063151055</v>
      </c>
      <c r="D29" s="245">
        <v>0.57499999999999996</v>
      </c>
      <c r="E29" s="245">
        <v>6.9</v>
      </c>
    </row>
    <row r="33" spans="1:9" x14ac:dyDescent="0.25">
      <c r="A33" t="s">
        <v>745</v>
      </c>
    </row>
    <row r="34" spans="1:9" x14ac:dyDescent="0.25">
      <c r="A34" t="s">
        <v>746</v>
      </c>
    </row>
    <row r="35" spans="1:9" x14ac:dyDescent="0.25">
      <c r="A35" t="s">
        <v>743</v>
      </c>
    </row>
    <row r="36" spans="1:9" x14ac:dyDescent="0.25">
      <c r="A36" t="s">
        <v>744</v>
      </c>
    </row>
    <row r="39" spans="1:9" x14ac:dyDescent="0.25">
      <c r="A39" s="284">
        <v>678428</v>
      </c>
      <c r="B39" s="284">
        <v>138940</v>
      </c>
      <c r="C39" s="289" t="s">
        <v>839</v>
      </c>
      <c r="D39" s="284">
        <v>80733294</v>
      </c>
      <c r="E39" s="284">
        <v>12</v>
      </c>
      <c r="F39" s="289" t="s">
        <v>827</v>
      </c>
      <c r="G39" s="290">
        <v>5.3289999999999997</v>
      </c>
      <c r="H39" t="s">
        <v>840</v>
      </c>
    </row>
    <row r="40" spans="1:9" ht="30" x14ac:dyDescent="0.25">
      <c r="A40">
        <v>404577</v>
      </c>
      <c r="B40" s="292">
        <v>40087</v>
      </c>
      <c r="C40" s="293" t="s">
        <v>846</v>
      </c>
      <c r="D40" s="292">
        <v>1800000024803</v>
      </c>
      <c r="E40" s="292">
        <v>12</v>
      </c>
      <c r="F40" s="294">
        <v>1.35</v>
      </c>
    </row>
    <row r="45" spans="1:9" ht="75" x14ac:dyDescent="0.25">
      <c r="A45" s="255" t="s">
        <v>774</v>
      </c>
      <c r="C45" s="262" t="s">
        <v>776</v>
      </c>
    </row>
    <row r="46" spans="1:9" x14ac:dyDescent="0.25">
      <c r="A46" s="255" t="s">
        <v>775</v>
      </c>
    </row>
    <row r="47" spans="1:9" x14ac:dyDescent="0.25">
      <c r="A47" s="203">
        <v>13847</v>
      </c>
      <c r="B47" s="204" t="s">
        <v>629</v>
      </c>
      <c r="C47" s="205" t="s">
        <v>630</v>
      </c>
      <c r="D47" s="205">
        <v>6291007701043</v>
      </c>
      <c r="E47" s="205">
        <v>6291007700084</v>
      </c>
      <c r="F47" s="229">
        <v>95819</v>
      </c>
      <c r="G47">
        <v>401105</v>
      </c>
      <c r="H47">
        <v>401105</v>
      </c>
      <c r="I47">
        <v>401105</v>
      </c>
    </row>
    <row r="49" spans="1:16" ht="15.75" thickBot="1" x14ac:dyDescent="0.3">
      <c r="B49" s="265">
        <v>6291007901047</v>
      </c>
      <c r="C49" s="265" t="s">
        <v>779</v>
      </c>
      <c r="D49" s="265" t="s">
        <v>780</v>
      </c>
      <c r="E49" s="264"/>
    </row>
    <row r="50" spans="1:16" ht="15.75" thickBot="1" x14ac:dyDescent="0.3">
      <c r="B50" s="266">
        <v>1003010025</v>
      </c>
      <c r="C50" s="265">
        <v>6291007901061</v>
      </c>
      <c r="D50" s="265" t="s">
        <v>781</v>
      </c>
      <c r="E50" s="265" t="s">
        <v>780</v>
      </c>
    </row>
    <row r="51" spans="1:16" ht="15.75" thickBot="1" x14ac:dyDescent="0.3">
      <c r="B51" s="266">
        <v>1003010027</v>
      </c>
      <c r="C51" s="265">
        <v>6291007901085</v>
      </c>
      <c r="D51" s="265" t="s">
        <v>782</v>
      </c>
      <c r="E51" s="265" t="s">
        <v>780</v>
      </c>
    </row>
    <row r="52" spans="1:16" ht="15.75" thickBot="1" x14ac:dyDescent="0.3">
      <c r="B52" s="266">
        <v>1003010028</v>
      </c>
      <c r="C52" s="265">
        <v>6291007901092</v>
      </c>
      <c r="D52" s="265" t="s">
        <v>783</v>
      </c>
      <c r="E52" s="265" t="s">
        <v>784</v>
      </c>
    </row>
    <row r="53" spans="1:16" ht="15.75" thickBot="1" x14ac:dyDescent="0.3">
      <c r="B53" s="266">
        <v>1003010059</v>
      </c>
      <c r="C53" s="265">
        <v>8901063136779</v>
      </c>
      <c r="D53" s="265" t="s">
        <v>785</v>
      </c>
      <c r="E53" s="265" t="s">
        <v>780</v>
      </c>
    </row>
    <row r="54" spans="1:16" ht="15.75" thickBot="1" x14ac:dyDescent="0.3">
      <c r="B54" s="266">
        <v>1003010061</v>
      </c>
      <c r="C54" s="265">
        <v>8901063151017</v>
      </c>
      <c r="D54" s="265" t="s">
        <v>786</v>
      </c>
      <c r="E54" s="265" t="s">
        <v>787</v>
      </c>
    </row>
    <row r="55" spans="1:16" ht="15.75" thickBot="1" x14ac:dyDescent="0.3">
      <c r="B55" s="266">
        <v>1003010143</v>
      </c>
      <c r="C55" s="265">
        <v>6291007905311</v>
      </c>
      <c r="D55" s="265" t="s">
        <v>788</v>
      </c>
      <c r="E55" s="265" t="s">
        <v>780</v>
      </c>
    </row>
    <row r="56" spans="1:16" ht="15.75" thickBot="1" x14ac:dyDescent="0.3">
      <c r="B56" s="266">
        <v>1003010168</v>
      </c>
      <c r="C56" s="265">
        <v>6291007902204</v>
      </c>
      <c r="D56" s="265" t="s">
        <v>789</v>
      </c>
      <c r="E56" s="265" t="s">
        <v>780</v>
      </c>
    </row>
    <row r="57" spans="1:16" ht="15.75" thickBot="1" x14ac:dyDescent="0.3">
      <c r="B57" s="266">
        <v>1003010171</v>
      </c>
      <c r="C57" s="265">
        <v>8901063165793</v>
      </c>
      <c r="D57" s="265" t="s">
        <v>790</v>
      </c>
      <c r="E57" s="265" t="s">
        <v>780</v>
      </c>
    </row>
    <row r="58" spans="1:16" x14ac:dyDescent="0.25">
      <c r="B58" s="267"/>
    </row>
    <row r="59" spans="1:16" ht="25.5" x14ac:dyDescent="0.25">
      <c r="A59" s="276">
        <v>14</v>
      </c>
      <c r="B59" s="277" t="s">
        <v>795</v>
      </c>
      <c r="C59" s="276">
        <v>301873366</v>
      </c>
      <c r="D59" s="277" t="s">
        <v>796</v>
      </c>
      <c r="E59" s="307" t="s">
        <v>797</v>
      </c>
      <c r="F59" s="307"/>
      <c r="G59" s="307"/>
      <c r="H59" s="307"/>
      <c r="I59" s="277">
        <v>16</v>
      </c>
      <c r="J59" s="277">
        <v>64</v>
      </c>
      <c r="K59" s="276">
        <v>4</v>
      </c>
      <c r="L59" s="276">
        <v>5</v>
      </c>
      <c r="M59" s="278" t="s">
        <v>798</v>
      </c>
      <c r="N59" s="278" t="s">
        <v>799</v>
      </c>
      <c r="O59" s="278" t="s">
        <v>800</v>
      </c>
      <c r="P59" s="278" t="s">
        <v>801</v>
      </c>
    </row>
    <row r="60" spans="1:16" x14ac:dyDescent="0.25">
      <c r="A60">
        <v>410295</v>
      </c>
    </row>
    <row r="64" spans="1:16" ht="15.75" x14ac:dyDescent="0.25">
      <c r="A64" s="178">
        <v>379780</v>
      </c>
    </row>
    <row r="65" spans="1:9" ht="15.75" x14ac:dyDescent="0.25">
      <c r="A65" s="291" t="s">
        <v>842</v>
      </c>
      <c r="B65" s="178">
        <v>379780</v>
      </c>
      <c r="C65" t="s">
        <v>841</v>
      </c>
      <c r="D65" t="s">
        <v>843</v>
      </c>
      <c r="E65" t="s">
        <v>844</v>
      </c>
      <c r="F65">
        <v>1.3680000000000001</v>
      </c>
    </row>
    <row r="69" spans="1:9" ht="30" x14ac:dyDescent="0.25">
      <c r="A69" s="279">
        <v>779750</v>
      </c>
      <c r="B69" s="279">
        <v>411274</v>
      </c>
      <c r="C69" s="280" t="s">
        <v>802</v>
      </c>
      <c r="D69" s="308" t="s">
        <v>803</v>
      </c>
      <c r="E69" s="308"/>
      <c r="F69" s="279">
        <v>24000145066</v>
      </c>
      <c r="G69" s="279">
        <v>24</v>
      </c>
      <c r="H69" s="280" t="s">
        <v>804</v>
      </c>
      <c r="I69" s="281">
        <v>12.84</v>
      </c>
    </row>
    <row r="70" spans="1:9" ht="30" x14ac:dyDescent="0.25">
      <c r="A70" s="279">
        <v>779751</v>
      </c>
      <c r="B70" s="279">
        <v>411276</v>
      </c>
      <c r="C70" s="280" t="s">
        <v>802</v>
      </c>
      <c r="D70" s="308" t="s">
        <v>805</v>
      </c>
      <c r="E70" s="308"/>
      <c r="F70" s="279">
        <v>24000145080</v>
      </c>
      <c r="G70" s="279">
        <v>24</v>
      </c>
      <c r="H70" s="280" t="s">
        <v>804</v>
      </c>
      <c r="I70" s="282">
        <v>7.56</v>
      </c>
    </row>
    <row r="71" spans="1:9" ht="30" x14ac:dyDescent="0.25">
      <c r="A71" s="279">
        <v>779752</v>
      </c>
      <c r="B71" s="279">
        <v>411273</v>
      </c>
      <c r="C71" s="280" t="s">
        <v>802</v>
      </c>
      <c r="D71" s="308" t="s">
        <v>806</v>
      </c>
      <c r="E71" s="308"/>
      <c r="F71" s="279">
        <v>24000145059</v>
      </c>
      <c r="G71" s="279">
        <v>24</v>
      </c>
      <c r="H71" s="280" t="s">
        <v>804</v>
      </c>
      <c r="I71" s="283">
        <v>15.071999999999999</v>
      </c>
    </row>
    <row r="72" spans="1:9" ht="30" x14ac:dyDescent="0.25">
      <c r="A72" s="279">
        <v>1660422</v>
      </c>
      <c r="B72" s="279">
        <v>165100</v>
      </c>
      <c r="C72" s="280" t="s">
        <v>802</v>
      </c>
      <c r="D72" s="308" t="s">
        <v>807</v>
      </c>
      <c r="E72" s="308"/>
      <c r="F72" s="279">
        <v>24000238188</v>
      </c>
      <c r="G72" s="279">
        <v>24</v>
      </c>
      <c r="H72" s="280" t="s">
        <v>804</v>
      </c>
      <c r="I72" s="283">
        <v>10.872</v>
      </c>
    </row>
    <row r="73" spans="1:9" ht="30" x14ac:dyDescent="0.25">
      <c r="A73" s="279">
        <v>457165</v>
      </c>
      <c r="B73" s="279">
        <v>91599</v>
      </c>
      <c r="C73" s="280" t="s">
        <v>802</v>
      </c>
      <c r="D73" s="308" t="s">
        <v>808</v>
      </c>
      <c r="E73" s="308"/>
      <c r="F73" s="279">
        <v>24000104582</v>
      </c>
      <c r="G73" s="279">
        <v>24</v>
      </c>
      <c r="H73" s="280" t="s">
        <v>804</v>
      </c>
      <c r="I73" s="283">
        <v>9.8879999999999999</v>
      </c>
    </row>
    <row r="74" spans="1:9" ht="30" x14ac:dyDescent="0.25">
      <c r="A74" s="279">
        <v>779750</v>
      </c>
      <c r="B74" s="279">
        <v>411274</v>
      </c>
      <c r="C74" s="280" t="s">
        <v>802</v>
      </c>
      <c r="D74" s="308" t="s">
        <v>803</v>
      </c>
      <c r="E74" s="308"/>
      <c r="F74" s="279">
        <v>24000145066</v>
      </c>
      <c r="G74" s="282">
        <v>12</v>
      </c>
      <c r="H74" s="280" t="s">
        <v>804</v>
      </c>
      <c r="I74" s="281">
        <v>12.84</v>
      </c>
    </row>
    <row r="75" spans="1:9" ht="30" x14ac:dyDescent="0.25">
      <c r="A75" s="279">
        <v>779751</v>
      </c>
      <c r="B75" s="279">
        <v>411276</v>
      </c>
      <c r="C75" s="280" t="s">
        <v>802</v>
      </c>
      <c r="D75" s="308" t="s">
        <v>805</v>
      </c>
      <c r="E75" s="308"/>
      <c r="F75" s="279">
        <v>24000145080</v>
      </c>
      <c r="G75" s="282">
        <v>12</v>
      </c>
      <c r="H75" s="280" t="s">
        <v>804</v>
      </c>
      <c r="I75" s="282">
        <v>7.56</v>
      </c>
    </row>
    <row r="76" spans="1:9" ht="30" x14ac:dyDescent="0.25">
      <c r="A76" s="279">
        <v>779752</v>
      </c>
      <c r="B76" s="279">
        <v>411273</v>
      </c>
      <c r="C76" s="280" t="s">
        <v>802</v>
      </c>
      <c r="D76" s="308" t="s">
        <v>806</v>
      </c>
      <c r="E76" s="308"/>
      <c r="F76" s="279">
        <v>24000145059</v>
      </c>
      <c r="G76" s="282">
        <v>12</v>
      </c>
      <c r="H76" s="280" t="s">
        <v>804</v>
      </c>
      <c r="I76" s="283">
        <v>15.071999999999999</v>
      </c>
    </row>
    <row r="77" spans="1:9" ht="30" x14ac:dyDescent="0.25">
      <c r="A77" s="279">
        <v>779753</v>
      </c>
      <c r="B77" s="279">
        <v>411275</v>
      </c>
      <c r="C77" s="280" t="s">
        <v>802</v>
      </c>
      <c r="D77" s="308" t="s">
        <v>809</v>
      </c>
      <c r="E77" s="308"/>
      <c r="F77" s="279">
        <v>24000145073</v>
      </c>
      <c r="G77" s="282">
        <v>12</v>
      </c>
      <c r="H77" s="280" t="s">
        <v>804</v>
      </c>
      <c r="I77" s="282">
        <v>8.64</v>
      </c>
    </row>
    <row r="78" spans="1:9" ht="30" x14ac:dyDescent="0.25">
      <c r="A78" s="279">
        <v>439175</v>
      </c>
      <c r="B78" s="279">
        <v>91592</v>
      </c>
      <c r="C78" s="280" t="s">
        <v>802</v>
      </c>
      <c r="D78" s="308" t="s">
        <v>810</v>
      </c>
      <c r="E78" s="308"/>
      <c r="F78" s="279">
        <v>24000074342</v>
      </c>
      <c r="G78" s="282">
        <v>3</v>
      </c>
      <c r="H78" s="280" t="s">
        <v>804</v>
      </c>
      <c r="I78" s="283">
        <v>7.2240000000000002</v>
      </c>
    </row>
    <row r="79" spans="1:9" ht="30" x14ac:dyDescent="0.25">
      <c r="A79" s="279">
        <v>1652224</v>
      </c>
      <c r="B79" s="279">
        <v>165099</v>
      </c>
      <c r="C79" s="280" t="s">
        <v>802</v>
      </c>
      <c r="D79" s="308" t="s">
        <v>811</v>
      </c>
      <c r="E79" s="308"/>
      <c r="F79" s="279">
        <v>24000238171</v>
      </c>
      <c r="G79" s="279">
        <v>24</v>
      </c>
      <c r="H79" s="280" t="s">
        <v>804</v>
      </c>
      <c r="I79" s="283">
        <v>10.608000000000001</v>
      </c>
    </row>
    <row r="80" spans="1:9" ht="30" x14ac:dyDescent="0.25">
      <c r="A80" s="279">
        <v>416309</v>
      </c>
      <c r="B80" s="279">
        <v>416309</v>
      </c>
      <c r="C80" s="280" t="s">
        <v>802</v>
      </c>
      <c r="D80" s="308" t="s">
        <v>812</v>
      </c>
      <c r="E80" s="308"/>
      <c r="F80" s="279">
        <v>24000156000</v>
      </c>
      <c r="G80" s="282">
        <v>6</v>
      </c>
      <c r="H80" s="280" t="s">
        <v>813</v>
      </c>
      <c r="I80" s="283">
        <v>33.887999999999998</v>
      </c>
    </row>
    <row r="81" spans="1:10" ht="30" x14ac:dyDescent="0.25">
      <c r="A81" s="279">
        <v>1281014</v>
      </c>
      <c r="B81" s="279">
        <v>1281014</v>
      </c>
      <c r="C81" s="280" t="s">
        <v>802</v>
      </c>
      <c r="D81" s="308" t="s">
        <v>814</v>
      </c>
      <c r="E81" s="308"/>
      <c r="F81" s="279">
        <v>736211763631</v>
      </c>
      <c r="G81" s="282">
        <v>6</v>
      </c>
      <c r="H81" s="280" t="s">
        <v>813</v>
      </c>
      <c r="I81" s="283">
        <v>38.543999999999997</v>
      </c>
    </row>
    <row r="82" spans="1:10" ht="30" x14ac:dyDescent="0.25">
      <c r="A82" s="279">
        <v>1281151</v>
      </c>
      <c r="B82" s="279">
        <v>1281151</v>
      </c>
      <c r="C82" s="280" t="s">
        <v>802</v>
      </c>
      <c r="D82" s="308" t="s">
        <v>815</v>
      </c>
      <c r="E82" s="308"/>
      <c r="F82" s="279">
        <v>736211763839</v>
      </c>
      <c r="G82" s="282">
        <v>6</v>
      </c>
      <c r="H82" s="280" t="s">
        <v>813</v>
      </c>
      <c r="I82" s="283">
        <v>40.896000000000001</v>
      </c>
    </row>
    <row r="83" spans="1:10" ht="30" x14ac:dyDescent="0.25">
      <c r="A83" s="279">
        <v>1281152</v>
      </c>
      <c r="B83" s="279">
        <v>1281152</v>
      </c>
      <c r="C83" s="280" t="s">
        <v>802</v>
      </c>
      <c r="D83" s="308" t="s">
        <v>816</v>
      </c>
      <c r="E83" s="308"/>
      <c r="F83" s="279">
        <v>736211763938</v>
      </c>
      <c r="G83" s="282">
        <v>6</v>
      </c>
      <c r="H83" s="280" t="s">
        <v>813</v>
      </c>
      <c r="I83" s="283">
        <v>40.847999999999999</v>
      </c>
    </row>
    <row r="84" spans="1:10" ht="30" x14ac:dyDescent="0.25">
      <c r="A84" s="279">
        <v>1660424</v>
      </c>
      <c r="B84" s="279">
        <v>1660424</v>
      </c>
      <c r="C84" s="280" t="s">
        <v>802</v>
      </c>
      <c r="D84" s="308" t="s">
        <v>817</v>
      </c>
      <c r="E84" s="308"/>
      <c r="F84" s="279">
        <v>24000105626</v>
      </c>
      <c r="G84" s="282">
        <v>6</v>
      </c>
      <c r="H84" s="280" t="s">
        <v>813</v>
      </c>
      <c r="I84" s="283">
        <v>28.271999999999998</v>
      </c>
    </row>
    <row r="85" spans="1:10" ht="30" x14ac:dyDescent="0.25">
      <c r="A85" s="279">
        <v>2299</v>
      </c>
      <c r="B85" s="279">
        <v>91566</v>
      </c>
      <c r="C85" s="280" t="s">
        <v>802</v>
      </c>
      <c r="D85" s="308" t="s">
        <v>818</v>
      </c>
      <c r="E85" s="308"/>
      <c r="F85" s="279">
        <v>24000012313</v>
      </c>
      <c r="G85" s="279">
        <v>24</v>
      </c>
      <c r="H85" s="280" t="s">
        <v>804</v>
      </c>
      <c r="I85" s="283">
        <v>14.423999999999999</v>
      </c>
    </row>
    <row r="86" spans="1:10" x14ac:dyDescent="0.25">
      <c r="A86" t="s">
        <v>835</v>
      </c>
    </row>
    <row r="87" spans="1:10" x14ac:dyDescent="0.25">
      <c r="A87" t="s">
        <v>836</v>
      </c>
    </row>
    <row r="90" spans="1:10" x14ac:dyDescent="0.25">
      <c r="B90" s="284">
        <v>411274</v>
      </c>
      <c r="C90" s="285" t="s">
        <v>819</v>
      </c>
      <c r="D90" s="304" t="s">
        <v>820</v>
      </c>
      <c r="E90" s="304"/>
      <c r="F90" s="284">
        <v>24000145066</v>
      </c>
      <c r="G90" s="284">
        <v>24</v>
      </c>
      <c r="H90" s="304" t="s">
        <v>821</v>
      </c>
      <c r="I90" s="304"/>
      <c r="J90" s="286">
        <v>12.84</v>
      </c>
    </row>
    <row r="91" spans="1:10" x14ac:dyDescent="0.25">
      <c r="B91" s="284">
        <v>411276</v>
      </c>
      <c r="C91" s="285" t="s">
        <v>819</v>
      </c>
      <c r="D91" s="304" t="s">
        <v>822</v>
      </c>
      <c r="E91" s="304"/>
      <c r="F91" s="284">
        <v>24000145080</v>
      </c>
      <c r="G91" s="284">
        <v>24</v>
      </c>
      <c r="H91" s="304" t="s">
        <v>821</v>
      </c>
      <c r="I91" s="304"/>
      <c r="J91" s="287">
        <v>7.56</v>
      </c>
    </row>
    <row r="92" spans="1:10" x14ac:dyDescent="0.25">
      <c r="B92" s="284">
        <v>411273</v>
      </c>
      <c r="C92" s="285" t="s">
        <v>819</v>
      </c>
      <c r="D92" s="304" t="s">
        <v>823</v>
      </c>
      <c r="E92" s="304"/>
      <c r="F92" s="284">
        <v>24000145059</v>
      </c>
      <c r="G92" s="284">
        <v>24</v>
      </c>
      <c r="H92" s="304" t="s">
        <v>821</v>
      </c>
      <c r="I92" s="304"/>
      <c r="J92" s="288">
        <v>15.071999999999999</v>
      </c>
    </row>
    <row r="93" spans="1:10" x14ac:dyDescent="0.25">
      <c r="B93" s="284">
        <v>411275</v>
      </c>
      <c r="C93" s="285" t="s">
        <v>819</v>
      </c>
      <c r="D93" s="304" t="s">
        <v>824</v>
      </c>
      <c r="E93" s="304"/>
      <c r="F93" s="284">
        <v>24000145073</v>
      </c>
      <c r="G93" s="284">
        <v>24</v>
      </c>
      <c r="H93" s="304" t="s">
        <v>821</v>
      </c>
      <c r="I93" s="304"/>
      <c r="J93" s="287">
        <v>8.64</v>
      </c>
    </row>
    <row r="94" spans="1:10" x14ac:dyDescent="0.25">
      <c r="B94" s="284">
        <v>412003</v>
      </c>
      <c r="C94" s="285" t="s">
        <v>825</v>
      </c>
      <c r="D94" s="304" t="s">
        <v>826</v>
      </c>
      <c r="E94" s="304"/>
      <c r="F94" s="284">
        <v>8682790000440</v>
      </c>
      <c r="G94" s="284">
        <v>12</v>
      </c>
      <c r="H94" s="304" t="s">
        <v>827</v>
      </c>
      <c r="I94" s="304"/>
      <c r="J94" s="287">
        <v>7.44</v>
      </c>
    </row>
    <row r="95" spans="1:10" x14ac:dyDescent="0.25">
      <c r="B95" s="284">
        <v>412004</v>
      </c>
      <c r="C95" s="285" t="s">
        <v>825</v>
      </c>
      <c r="D95" s="304" t="s">
        <v>828</v>
      </c>
      <c r="E95" s="304"/>
      <c r="F95" s="284">
        <v>8682790000419</v>
      </c>
      <c r="G95" s="284">
        <v>12</v>
      </c>
      <c r="H95" s="304" t="s">
        <v>827</v>
      </c>
      <c r="I95" s="304"/>
      <c r="J95" s="287">
        <v>7.44</v>
      </c>
    </row>
    <row r="96" spans="1:10" x14ac:dyDescent="0.25">
      <c r="B96" s="284">
        <v>412009</v>
      </c>
      <c r="C96" s="285" t="s">
        <v>825</v>
      </c>
      <c r="D96" s="304" t="s">
        <v>829</v>
      </c>
      <c r="E96" s="304"/>
      <c r="F96" s="284">
        <v>8935001729068</v>
      </c>
      <c r="G96" s="284">
        <v>20</v>
      </c>
      <c r="H96" s="304" t="s">
        <v>830</v>
      </c>
      <c r="I96" s="304"/>
      <c r="J96" s="287">
        <v>4.34</v>
      </c>
    </row>
    <row r="97" spans="1:10" x14ac:dyDescent="0.25">
      <c r="B97" s="284">
        <v>412010</v>
      </c>
      <c r="C97" s="285" t="s">
        <v>825</v>
      </c>
      <c r="D97" s="304" t="s">
        <v>831</v>
      </c>
      <c r="E97" s="304"/>
      <c r="F97" s="284">
        <v>8935001729570</v>
      </c>
      <c r="G97" s="284">
        <v>12</v>
      </c>
      <c r="H97" s="304" t="s">
        <v>827</v>
      </c>
      <c r="I97" s="304"/>
      <c r="J97" s="287">
        <v>7.14</v>
      </c>
    </row>
    <row r="98" spans="1:10" x14ac:dyDescent="0.25">
      <c r="B98" s="284">
        <v>411613</v>
      </c>
      <c r="C98" s="285" t="s">
        <v>832</v>
      </c>
      <c r="D98" s="304" t="s">
        <v>833</v>
      </c>
      <c r="E98" s="304"/>
      <c r="F98" s="284">
        <v>8901393027129</v>
      </c>
      <c r="G98" s="284">
        <v>24</v>
      </c>
      <c r="H98" s="304" t="s">
        <v>834</v>
      </c>
      <c r="I98" s="304"/>
      <c r="J98" s="288">
        <v>2.7480000000000002</v>
      </c>
    </row>
    <row r="99" spans="1:10" x14ac:dyDescent="0.25">
      <c r="A99" t="s">
        <v>847</v>
      </c>
    </row>
    <row r="103" spans="1:10" ht="30" x14ac:dyDescent="0.25">
      <c r="A103" s="296">
        <v>8935001729068</v>
      </c>
      <c r="B103" s="296">
        <v>40087</v>
      </c>
      <c r="C103" s="296">
        <v>215</v>
      </c>
      <c r="D103" s="297" t="s">
        <v>848</v>
      </c>
      <c r="E103" s="296">
        <v>24</v>
      </c>
      <c r="F103" s="296">
        <v>0.22</v>
      </c>
      <c r="G103" s="297" t="s">
        <v>849</v>
      </c>
      <c r="H103" s="298">
        <v>412009</v>
      </c>
    </row>
    <row r="104" spans="1:10" ht="30" x14ac:dyDescent="0.25">
      <c r="A104" s="296">
        <v>8901393027129</v>
      </c>
      <c r="B104" s="296">
        <v>40087</v>
      </c>
      <c r="C104" s="296">
        <v>215</v>
      </c>
      <c r="D104" s="297" t="s">
        <v>850</v>
      </c>
      <c r="E104" s="296">
        <v>24</v>
      </c>
      <c r="F104" s="296">
        <v>0.23</v>
      </c>
      <c r="G104" s="297" t="s">
        <v>851</v>
      </c>
      <c r="H104" s="298">
        <v>411613</v>
      </c>
    </row>
    <row r="105" spans="1:10" ht="30" x14ac:dyDescent="0.25">
      <c r="A105" s="296">
        <v>8901393027099</v>
      </c>
      <c r="B105" s="296">
        <v>40087</v>
      </c>
      <c r="C105" s="296">
        <v>215</v>
      </c>
      <c r="D105" s="297" t="s">
        <v>852</v>
      </c>
      <c r="E105" s="296">
        <v>24</v>
      </c>
      <c r="F105" s="296">
        <v>0.04</v>
      </c>
      <c r="G105" s="297" t="s">
        <v>853</v>
      </c>
      <c r="H105" s="298">
        <v>410215</v>
      </c>
    </row>
    <row r="106" spans="1:10" ht="30" x14ac:dyDescent="0.25">
      <c r="A106" s="296">
        <v>8935001729570</v>
      </c>
      <c r="B106" s="296">
        <v>40087</v>
      </c>
      <c r="C106" s="296">
        <v>216</v>
      </c>
      <c r="D106" s="297" t="s">
        <v>854</v>
      </c>
      <c r="E106" s="296">
        <v>12</v>
      </c>
      <c r="F106" s="296">
        <v>1.19</v>
      </c>
      <c r="G106" s="297" t="s">
        <v>855</v>
      </c>
      <c r="H106" s="298">
        <v>412010</v>
      </c>
    </row>
    <row r="107" spans="1:10" ht="30" x14ac:dyDescent="0.25">
      <c r="A107" s="296">
        <v>8682790000440</v>
      </c>
      <c r="B107" s="296">
        <v>40087</v>
      </c>
      <c r="C107" s="296">
        <v>216</v>
      </c>
      <c r="D107" s="297" t="s">
        <v>856</v>
      </c>
      <c r="E107" s="296">
        <v>12</v>
      </c>
      <c r="F107" s="296">
        <v>1.24</v>
      </c>
      <c r="G107" s="297" t="s">
        <v>857</v>
      </c>
      <c r="H107" s="298">
        <v>412003</v>
      </c>
    </row>
    <row r="108" spans="1:10" ht="30" x14ac:dyDescent="0.25">
      <c r="A108" s="296">
        <v>8682790000419</v>
      </c>
      <c r="B108" s="296">
        <v>40087</v>
      </c>
      <c r="C108" s="296">
        <v>216</v>
      </c>
      <c r="D108" s="297" t="s">
        <v>858</v>
      </c>
      <c r="E108" s="296">
        <v>12</v>
      </c>
      <c r="F108" s="296">
        <v>1.24</v>
      </c>
      <c r="G108" s="297" t="s">
        <v>857</v>
      </c>
      <c r="H108" s="298">
        <v>412004</v>
      </c>
    </row>
  </sheetData>
  <mergeCells count="39">
    <mergeCell ref="D85:E85"/>
    <mergeCell ref="D80:E80"/>
    <mergeCell ref="D81:E81"/>
    <mergeCell ref="D82:E82"/>
    <mergeCell ref="D83:E83"/>
    <mergeCell ref="D84:E84"/>
    <mergeCell ref="D75:E75"/>
    <mergeCell ref="D76:E76"/>
    <mergeCell ref="D77:E77"/>
    <mergeCell ref="D78:E78"/>
    <mergeCell ref="D79:E79"/>
    <mergeCell ref="D70:E70"/>
    <mergeCell ref="D71:E71"/>
    <mergeCell ref="D72:E72"/>
    <mergeCell ref="D73:E73"/>
    <mergeCell ref="D74:E74"/>
    <mergeCell ref="A8:G8"/>
    <mergeCell ref="A7:B7"/>
    <mergeCell ref="E15:F15"/>
    <mergeCell ref="E59:H59"/>
    <mergeCell ref="D69:E69"/>
    <mergeCell ref="D90:E90"/>
    <mergeCell ref="H90:I90"/>
    <mergeCell ref="D91:E91"/>
    <mergeCell ref="H91:I91"/>
    <mergeCell ref="D92:E92"/>
    <mergeCell ref="H92:I92"/>
    <mergeCell ref="D93:E93"/>
    <mergeCell ref="H93:I93"/>
    <mergeCell ref="D94:E94"/>
    <mergeCell ref="H94:I94"/>
    <mergeCell ref="D95:E95"/>
    <mergeCell ref="H95:I95"/>
    <mergeCell ref="D96:E96"/>
    <mergeCell ref="H96:I96"/>
    <mergeCell ref="D97:E97"/>
    <mergeCell ref="H97:I97"/>
    <mergeCell ref="D98:E98"/>
    <mergeCell ref="H98:I9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Lulu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 Mehta</dc:creator>
  <cp:lastModifiedBy>Hemal Mehta</cp:lastModifiedBy>
  <dcterms:created xsi:type="dcterms:W3CDTF">2024-02-10T18:53:20Z</dcterms:created>
  <dcterms:modified xsi:type="dcterms:W3CDTF">2026-02-17T17:41:45Z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Lulu Order Form 2.24.xlsx</vt:lpwstr>
  </property>
</Properties>
</file>