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DBBD86E8-5E82-423A-B615-364EF2B975BD}" xr6:coauthVersionLast="47" xr6:coauthVersionMax="47" xr10:uidLastSave="{00000000-0000-0000-0000-000000000000}"/>
  <bookViews>
    <workbookView xWindow="1080" yWindow="1080" windowWidth="20070" windowHeight="11295" activeTab="1" xr2:uid="{00000000-000D-0000-FFFF-FFFF00000000}"/>
  </bookViews>
  <sheets>
    <sheet name="VLOOKUP" sheetId="2" r:id="rId1"/>
    <sheet name="ZDET-PRICE" sheetId="1" r:id="rId2"/>
  </sheets>
  <externalReferences>
    <externalReference r:id="rId3"/>
  </externalReferences>
  <definedNames>
    <definedName name="_xlnm._FilterDatabase" localSheetId="0" hidden="1">VLOOKUP!$A$2:$B$2</definedName>
    <definedName name="_xlnm._FilterDatabase" localSheetId="1" hidden="1">'ZDET-PRICE'!$A$2:$AE$563</definedName>
    <definedName name="bex">OFFSET('[1]Trend-Table'!$A$5,0,5,'[1]Trend-Table'!$B$1,1)</definedName>
    <definedName name="bgreen">OFFSET('[1]Trend-Table'!$A$5,0,4,'[1]Trend-Table'!$B$1,1)</definedName>
    <definedName name="borange">OFFSET('[1]Trend-Table'!$A$5,0,2,'[1]Trend-Table'!$B$1,1)</definedName>
    <definedName name="boverall">OFFSET('[1]Trend-Table'!$A$5,0,25,'[1]Trend-Table'!$B$1,1)</definedName>
    <definedName name="bred">OFFSET('[1]Trend-Table'!$A$5,0,1,'[1]Trend-Table'!$B$1,1)</definedName>
    <definedName name="byellow">OFFSET('[1]Trend-Table'!$A$5,0,3,'[1]Trend-Table'!$B$1,1)</definedName>
    <definedName name="dates">OFFSET('[1]Trend-Table'!$A$5,0,0,'[1]Trend-Table'!$B$1,1)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E54" i="2"/>
  <c r="B398" i="2" l="1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0" i="2"/>
  <c r="B138" i="2"/>
  <c r="B136" i="2"/>
  <c r="B135" i="2"/>
  <c r="B134" i="2"/>
  <c r="B133" i="2"/>
  <c r="B129" i="2"/>
  <c r="B128" i="2"/>
  <c r="B124" i="2"/>
  <c r="B123" i="2"/>
  <c r="B122" i="2"/>
  <c r="B121" i="2"/>
  <c r="B117" i="2"/>
  <c r="B116" i="2"/>
  <c r="B107" i="2"/>
  <c r="B101" i="2"/>
  <c r="B100" i="2"/>
  <c r="B80" i="2"/>
  <c r="B79" i="2"/>
  <c r="B78" i="2"/>
  <c r="B55" i="2"/>
  <c r="B46" i="2"/>
  <c r="B44" i="2"/>
  <c r="B38" i="2"/>
  <c r="B37" i="2"/>
  <c r="B36" i="2"/>
  <c r="B35" i="2"/>
  <c r="B34" i="2"/>
  <c r="B33" i="2"/>
  <c r="B25" i="2" l="1"/>
  <c r="AE563" i="1" l="1"/>
  <c r="AE562" i="1"/>
  <c r="AE561" i="1"/>
  <c r="AE560" i="1"/>
  <c r="AE550" i="1"/>
  <c r="AE549" i="1"/>
  <c r="AE559" i="1"/>
  <c r="AE558" i="1"/>
  <c r="AE552" i="1"/>
  <c r="AE557" i="1"/>
  <c r="AE556" i="1"/>
  <c r="AE555" i="1"/>
  <c r="AE548" i="1"/>
  <c r="AE554" i="1"/>
  <c r="AE547" i="1"/>
  <c r="AE546" i="1"/>
  <c r="AE545" i="1"/>
  <c r="AE544" i="1"/>
  <c r="AE543" i="1"/>
  <c r="B5" i="2"/>
  <c r="B6" i="2"/>
  <c r="AE553" i="1"/>
  <c r="AE542" i="1"/>
  <c r="AE541" i="1"/>
  <c r="AE540" i="1"/>
  <c r="AE534" i="1"/>
  <c r="AE533" i="1"/>
  <c r="AE532" i="1"/>
  <c r="AE531" i="1"/>
  <c r="AE530" i="1"/>
  <c r="AE529" i="1"/>
  <c r="AE521" i="1"/>
  <c r="AE520" i="1"/>
  <c r="AE519" i="1"/>
  <c r="C518" i="1"/>
  <c r="AE513" i="1"/>
  <c r="AE551" i="1" l="1"/>
  <c r="AE539" i="1"/>
  <c r="AE538" i="1"/>
  <c r="AE537" i="1"/>
  <c r="AE536" i="1"/>
  <c r="AE535" i="1"/>
  <c r="AE528" i="1"/>
  <c r="AE527" i="1"/>
  <c r="AE526" i="1"/>
  <c r="AE525" i="1"/>
  <c r="AE524" i="1"/>
  <c r="AE523" i="1"/>
  <c r="AE522" i="1"/>
  <c r="AE518" i="1"/>
  <c r="AE517" i="1"/>
  <c r="B111" i="2" s="1"/>
  <c r="AE516" i="1"/>
  <c r="AE515" i="1"/>
  <c r="AE514" i="1"/>
  <c r="AE439" i="1"/>
  <c r="B71" i="2" s="1"/>
  <c r="AE438" i="1"/>
  <c r="AE437" i="1"/>
  <c r="B24" i="2" s="1"/>
  <c r="AE436" i="1"/>
  <c r="AE435" i="1"/>
  <c r="AE434" i="1"/>
  <c r="AE433" i="1"/>
  <c r="AE432" i="1"/>
  <c r="AE431" i="1"/>
  <c r="AE430" i="1"/>
  <c r="AE429" i="1"/>
  <c r="B113" i="2" s="1"/>
  <c r="AE428" i="1"/>
  <c r="AE427" i="1"/>
  <c r="B108" i="2" s="1"/>
  <c r="AE426" i="1"/>
  <c r="B109" i="2" s="1"/>
  <c r="AE425" i="1"/>
  <c r="AE424" i="1"/>
  <c r="AE423" i="1"/>
  <c r="AE422" i="1"/>
  <c r="AE421" i="1"/>
  <c r="AE420" i="1"/>
  <c r="AE419" i="1"/>
  <c r="B95" i="2" s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B86" i="2" s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B85" i="2" s="1"/>
  <c r="AE380" i="1"/>
  <c r="AE379" i="1"/>
  <c r="AE378" i="1"/>
  <c r="AE377" i="1"/>
  <c r="AE376" i="1"/>
  <c r="AE375" i="1"/>
  <c r="AE374" i="1"/>
  <c r="AE373" i="1"/>
  <c r="AE372" i="1"/>
  <c r="AE371" i="1"/>
  <c r="B84" i="2" s="1"/>
  <c r="AE370" i="1"/>
  <c r="AE369" i="1"/>
  <c r="AE368" i="1"/>
  <c r="AE367" i="1"/>
  <c r="AE366" i="1"/>
  <c r="AE365" i="1"/>
  <c r="B119" i="2" s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B23" i="2" s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B120" i="2" s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B112" i="2" s="1"/>
  <c r="AE324" i="1"/>
  <c r="AE323" i="1"/>
  <c r="AE322" i="1"/>
  <c r="AE321" i="1"/>
  <c r="B106" i="2" s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B76" i="2" s="1"/>
  <c r="AE289" i="1"/>
  <c r="B75" i="2" s="1"/>
  <c r="AE288" i="1"/>
  <c r="AE287" i="1"/>
  <c r="B93" i="2" s="1"/>
  <c r="AE286" i="1"/>
  <c r="AE285" i="1"/>
  <c r="B77" i="2" s="1"/>
  <c r="AE284" i="1"/>
  <c r="AE283" i="1"/>
  <c r="AE282" i="1"/>
  <c r="AE281" i="1"/>
  <c r="AE280" i="1"/>
  <c r="B64" i="2" s="1"/>
  <c r="AE279" i="1"/>
  <c r="AE278" i="1"/>
  <c r="AE277" i="1"/>
  <c r="AE276" i="1"/>
  <c r="B92" i="2" s="1"/>
  <c r="AE275" i="1"/>
  <c r="AE274" i="1"/>
  <c r="AE273" i="1"/>
  <c r="AE272" i="1"/>
  <c r="AE271" i="1"/>
  <c r="AE270" i="1"/>
  <c r="AE269" i="1"/>
  <c r="AE268" i="1"/>
  <c r="AE267" i="1"/>
  <c r="AE266" i="1"/>
  <c r="AE265" i="1"/>
  <c r="B56" i="2" s="1"/>
  <c r="AE264" i="1"/>
  <c r="AE263" i="1"/>
  <c r="AE262" i="1"/>
  <c r="AE261" i="1"/>
  <c r="AE260" i="1"/>
  <c r="AE259" i="1"/>
  <c r="AE258" i="1"/>
  <c r="AE257" i="1"/>
  <c r="AE256" i="1"/>
  <c r="AE255" i="1"/>
  <c r="B88" i="2" s="1"/>
  <c r="AE254" i="1"/>
  <c r="AE253" i="1"/>
  <c r="AE252" i="1"/>
  <c r="AE251" i="1"/>
  <c r="AE250" i="1"/>
  <c r="AE249" i="1"/>
  <c r="AE248" i="1"/>
  <c r="AE247" i="1"/>
  <c r="B40" i="2" s="1"/>
  <c r="AE246" i="1"/>
  <c r="AE245" i="1"/>
  <c r="AE244" i="1"/>
  <c r="AE243" i="1"/>
  <c r="AE242" i="1"/>
  <c r="AE241" i="1"/>
  <c r="AE240" i="1"/>
  <c r="AE239" i="1"/>
  <c r="AE238" i="1"/>
  <c r="AE237" i="1"/>
  <c r="B59" i="2" s="1"/>
  <c r="AE236" i="1"/>
  <c r="AE235" i="1"/>
  <c r="B144" i="2" s="1"/>
  <c r="AE234" i="1"/>
  <c r="AE233" i="1"/>
  <c r="B145" i="2" s="1"/>
  <c r="AE232" i="1"/>
  <c r="B141" i="2" s="1"/>
  <c r="AE231" i="1"/>
  <c r="B142" i="2" s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B81" i="2" s="1"/>
  <c r="AE209" i="1"/>
  <c r="AE208" i="1"/>
  <c r="AE207" i="1"/>
  <c r="AE206" i="1"/>
  <c r="AE205" i="1"/>
  <c r="AE204" i="1"/>
  <c r="AE203" i="1"/>
  <c r="AE202" i="1"/>
  <c r="AE201" i="1"/>
  <c r="AE200" i="1"/>
  <c r="B83" i="2" s="1"/>
  <c r="AE199" i="1"/>
  <c r="B82" i="2" s="1"/>
  <c r="AE198" i="1"/>
  <c r="AE197" i="1"/>
  <c r="AE196" i="1"/>
  <c r="AE195" i="1"/>
  <c r="B19" i="2" s="1"/>
  <c r="AE194" i="1"/>
  <c r="AE193" i="1"/>
  <c r="B87" i="2" s="1"/>
  <c r="AE192" i="1"/>
  <c r="AE191" i="1"/>
  <c r="B89" i="2" s="1"/>
  <c r="AE190" i="1"/>
  <c r="B49" i="2" s="1"/>
  <c r="AE189" i="1"/>
  <c r="AE188" i="1"/>
  <c r="AE187" i="1"/>
  <c r="AE186" i="1"/>
  <c r="B74" i="2" s="1"/>
  <c r="AE185" i="1"/>
  <c r="B73" i="2" s="1"/>
  <c r="AE184" i="1"/>
  <c r="B72" i="2" s="1"/>
  <c r="AE183" i="1"/>
  <c r="AE182" i="1"/>
  <c r="AE181" i="1"/>
  <c r="AE180" i="1"/>
  <c r="AE179" i="1"/>
  <c r="AE178" i="1"/>
  <c r="AE177" i="1"/>
  <c r="AE176" i="1"/>
  <c r="AE175" i="1"/>
  <c r="AE174" i="1"/>
  <c r="B70" i="2" s="1"/>
  <c r="AE173" i="1"/>
  <c r="AE172" i="1"/>
  <c r="AE171" i="1"/>
  <c r="AE170" i="1"/>
  <c r="AE169" i="1"/>
  <c r="AE168" i="1"/>
  <c r="AE167" i="1"/>
  <c r="B69" i="2" s="1"/>
  <c r="AE166" i="1"/>
  <c r="B67" i="2" s="1"/>
  <c r="AE165" i="1"/>
  <c r="AE164" i="1"/>
  <c r="AE163" i="1"/>
  <c r="B58" i="2" s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B68" i="2" s="1"/>
  <c r="AE131" i="1"/>
  <c r="AE130" i="1"/>
  <c r="B65" i="2" s="1"/>
  <c r="AE129" i="1"/>
  <c r="AE128" i="1"/>
  <c r="AE127" i="1"/>
  <c r="AE126" i="1"/>
  <c r="AE125" i="1"/>
  <c r="AE124" i="1"/>
  <c r="AE123" i="1"/>
  <c r="AE122" i="1"/>
  <c r="B60" i="2" s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B62" i="2" s="1"/>
  <c r="AE100" i="1"/>
  <c r="AE99" i="1"/>
  <c r="B63" i="2" s="1"/>
  <c r="AE98" i="1"/>
  <c r="B54" i="2" s="1"/>
  <c r="AE97" i="1"/>
  <c r="AE96" i="1"/>
  <c r="B118" i="2" s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B8" i="2" s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B66" i="2" s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B7" i="2" s="1"/>
  <c r="AE13" i="1"/>
  <c r="AE12" i="1"/>
  <c r="B104" i="2" s="1"/>
  <c r="AE11" i="1"/>
  <c r="AE10" i="1"/>
  <c r="AE9" i="1"/>
  <c r="B42" i="2" s="1"/>
  <c r="AE8" i="1"/>
  <c r="AE7" i="1"/>
  <c r="AE6" i="1"/>
  <c r="AE5" i="1"/>
  <c r="AE4" i="1"/>
  <c r="AE3" i="1"/>
  <c r="AE512" i="1"/>
  <c r="AE511" i="1"/>
  <c r="AE510" i="1"/>
  <c r="AE509" i="1"/>
  <c r="AE508" i="1"/>
  <c r="AE507" i="1"/>
  <c r="B143" i="2" s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B97" i="2" s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B105" i="2" s="1"/>
  <c r="AE448" i="1"/>
  <c r="AE447" i="1"/>
  <c r="AE446" i="1"/>
  <c r="AE445" i="1"/>
  <c r="AE444" i="1"/>
  <c r="AE443" i="1"/>
  <c r="AE442" i="1"/>
  <c r="AE441" i="1"/>
  <c r="AE440" i="1"/>
  <c r="B510" i="2"/>
  <c r="B509" i="2"/>
  <c r="B508" i="2"/>
  <c r="B503" i="2"/>
  <c r="B502" i="2"/>
  <c r="B501" i="2"/>
  <c r="B500" i="2"/>
  <c r="B499" i="2"/>
  <c r="B498" i="2"/>
  <c r="B497" i="2"/>
  <c r="B496" i="2"/>
  <c r="B491" i="2"/>
  <c r="B490" i="2"/>
  <c r="B489" i="2"/>
  <c r="B488" i="2"/>
  <c r="B487" i="2"/>
  <c r="B486" i="2"/>
  <c r="B485" i="2"/>
  <c r="B484" i="2"/>
  <c r="B479" i="2"/>
  <c r="B478" i="2"/>
  <c r="B477" i="2"/>
  <c r="B476" i="2"/>
  <c r="B475" i="2"/>
  <c r="B474" i="2"/>
  <c r="B473" i="2"/>
  <c r="B472" i="2"/>
  <c r="B467" i="2"/>
  <c r="B466" i="2"/>
  <c r="B465" i="2"/>
  <c r="B464" i="2"/>
  <c r="B463" i="2"/>
  <c r="B462" i="2"/>
  <c r="B461" i="2"/>
  <c r="B460" i="2"/>
  <c r="B455" i="2"/>
  <c r="B454" i="2"/>
  <c r="B453" i="2"/>
  <c r="B452" i="2"/>
  <c r="B451" i="2"/>
  <c r="B450" i="2"/>
  <c r="B449" i="2"/>
  <c r="B448" i="2"/>
  <c r="B443" i="2"/>
  <c r="B442" i="2"/>
  <c r="B441" i="2"/>
  <c r="B440" i="2"/>
  <c r="B439" i="2"/>
  <c r="B438" i="2"/>
  <c r="B437" i="2"/>
  <c r="B436" i="2"/>
  <c r="B431" i="2"/>
  <c r="B430" i="2"/>
  <c r="B429" i="2"/>
  <c r="B428" i="2"/>
  <c r="B427" i="2"/>
  <c r="B426" i="2"/>
  <c r="B425" i="2"/>
  <c r="B424" i="2"/>
  <c r="B419" i="2"/>
  <c r="B418" i="2"/>
  <c r="B417" i="2"/>
  <c r="B416" i="2"/>
  <c r="B415" i="2"/>
  <c r="B414" i="2"/>
  <c r="B413" i="2"/>
  <c r="B412" i="2"/>
  <c r="B408" i="2"/>
  <c r="B407" i="2"/>
  <c r="B406" i="2"/>
  <c r="B405" i="2"/>
  <c r="B404" i="2"/>
  <c r="B403" i="2"/>
  <c r="B402" i="2"/>
  <c r="B401" i="2"/>
  <c r="B400" i="2"/>
  <c r="B32" i="2"/>
  <c r="B31" i="2"/>
  <c r="B30" i="2"/>
  <c r="B29" i="2"/>
  <c r="B20" i="2"/>
  <c r="B13" i="2"/>
  <c r="B12" i="2"/>
  <c r="B11" i="2"/>
  <c r="B10" i="2"/>
  <c r="B9" i="2"/>
  <c r="B22" i="2" l="1"/>
  <c r="B114" i="2"/>
  <c r="B41" i="2"/>
  <c r="B39" i="2"/>
  <c r="B102" i="2"/>
  <c r="B90" i="2"/>
  <c r="B99" i="2"/>
  <c r="B21" i="2"/>
  <c r="B115" i="2"/>
  <c r="B43" i="2"/>
  <c r="B103" i="2"/>
  <c r="B139" i="2"/>
  <c r="B98" i="2"/>
  <c r="B47" i="2"/>
  <c r="B94" i="2"/>
  <c r="B52" i="2"/>
  <c r="B50" i="2"/>
  <c r="B96" i="2"/>
  <c r="B17" i="2"/>
  <c r="B51" i="2"/>
  <c r="B91" i="2"/>
  <c r="B53" i="2"/>
  <c r="B45" i="2"/>
  <c r="B137" i="2"/>
  <c r="B131" i="2"/>
  <c r="B126" i="2"/>
  <c r="B127" i="2"/>
  <c r="B48" i="2"/>
  <c r="B57" i="2"/>
  <c r="B110" i="2"/>
  <c r="B130" i="2"/>
  <c r="B125" i="2"/>
  <c r="B61" i="2"/>
  <c r="B132" i="2"/>
  <c r="B18" i="2"/>
  <c r="B432" i="2"/>
  <c r="B456" i="2"/>
  <c r="B480" i="2"/>
  <c r="B504" i="2"/>
  <c r="B26" i="2"/>
  <c r="B457" i="2"/>
  <c r="B505" i="2"/>
  <c r="B420" i="2"/>
  <c r="B444" i="2"/>
  <c r="B468" i="2"/>
  <c r="B492" i="2"/>
  <c r="B14" i="2"/>
  <c r="B421" i="2"/>
  <c r="B481" i="2"/>
  <c r="B3" i="2"/>
  <c r="B15" i="2"/>
  <c r="B27" i="2"/>
  <c r="B410" i="2"/>
  <c r="B422" i="2"/>
  <c r="B434" i="2"/>
  <c r="B446" i="2"/>
  <c r="B458" i="2"/>
  <c r="B470" i="2"/>
  <c r="B482" i="2"/>
  <c r="B494" i="2"/>
  <c r="B506" i="2"/>
  <c r="B409" i="2"/>
  <c r="B433" i="2"/>
  <c r="B445" i="2"/>
  <c r="B469" i="2"/>
  <c r="B493" i="2"/>
  <c r="B4" i="2"/>
  <c r="B16" i="2"/>
  <c r="B28" i="2"/>
  <c r="B399" i="2"/>
  <c r="B411" i="2"/>
  <c r="B423" i="2"/>
  <c r="B435" i="2"/>
  <c r="B447" i="2"/>
  <c r="B459" i="2"/>
  <c r="B471" i="2"/>
  <c r="B483" i="2"/>
  <c r="B495" i="2"/>
  <c r="B507" i="2"/>
</calcChain>
</file>

<file path=xl/sharedStrings.xml><?xml version="1.0" encoding="utf-8"?>
<sst xmlns="http://schemas.openxmlformats.org/spreadsheetml/2006/main" count="6294" uniqueCount="733">
  <si>
    <t>Article</t>
  </si>
  <si>
    <t>Material Description</t>
  </si>
  <si>
    <t>Brand Name</t>
  </si>
  <si>
    <t>Site-sp.artl status</t>
  </si>
  <si>
    <t>Old article number</t>
  </si>
  <si>
    <t>Type (R/P/F/P1)</t>
  </si>
  <si>
    <t>Vendor Article Number</t>
  </si>
  <si>
    <t>Base Unit of Measure</t>
  </si>
  <si>
    <t>Alternative UoM 1</t>
  </si>
  <si>
    <t>Den. for Conversion 1</t>
  </si>
  <si>
    <t>Alternative UoM 2</t>
  </si>
  <si>
    <t>Den. for Conversion 2</t>
  </si>
  <si>
    <t>Alternative UoM 3</t>
  </si>
  <si>
    <t>Den. for Conversion 3</t>
  </si>
  <si>
    <t>Alternative UoM 4</t>
  </si>
  <si>
    <t>Den. for Conversion 4</t>
  </si>
  <si>
    <t>Gross Weight</t>
  </si>
  <si>
    <t>Net Weight</t>
  </si>
  <si>
    <t>Weight Unit</t>
  </si>
  <si>
    <t>Length</t>
  </si>
  <si>
    <t>Width</t>
  </si>
  <si>
    <t>Height</t>
  </si>
  <si>
    <t>Net price-Base UoM (Landed Cost)</t>
  </si>
  <si>
    <t>Selling Price- Base UoM (1st Slab)</t>
  </si>
  <si>
    <t>SUF per Article</t>
  </si>
  <si>
    <t>GTIN</t>
  </si>
  <si>
    <t>Total shelf life</t>
  </si>
  <si>
    <t>Min. Rem. Shelf Life</t>
  </si>
  <si>
    <t>Vendor Name</t>
  </si>
  <si>
    <t>Cs</t>
  </si>
  <si>
    <t>PONS(12)EV OIL  500ML</t>
  </si>
  <si>
    <t>PONS</t>
  </si>
  <si>
    <t/>
  </si>
  <si>
    <t>16/43/02</t>
  </si>
  <si>
    <t>R</t>
  </si>
  <si>
    <t>BT</t>
  </si>
  <si>
    <t>EA</t>
  </si>
  <si>
    <t>CAR</t>
  </si>
  <si>
    <t>KG</t>
  </si>
  <si>
    <t>PONS(6)EV OIL 1LTR</t>
  </si>
  <si>
    <t>16/43/03</t>
  </si>
  <si>
    <t>PONS(12)PURE OLIVE OIL 500ML</t>
  </si>
  <si>
    <t>16/43/12</t>
  </si>
  <si>
    <t>DM(24) FRUIT COCKTAIL 420GM</t>
  </si>
  <si>
    <t>DELMONTE</t>
  </si>
  <si>
    <t>16/70/01</t>
  </si>
  <si>
    <t>CAN</t>
  </si>
  <si>
    <t>DEL MONTE FOODS (U.A.E) FZE</t>
  </si>
  <si>
    <t>DM(24) FRUIT COCKTAIL 825GM</t>
  </si>
  <si>
    <t>16/70/02</t>
  </si>
  <si>
    <t>DM(24) FRUIT COCKTAIL 227GM</t>
  </si>
  <si>
    <t>16/70/03</t>
  </si>
  <si>
    <t>DM(24) PEACH HALVES 420GM</t>
  </si>
  <si>
    <t>16/70/11</t>
  </si>
  <si>
    <t>DM(24) PEACH HALVES 825GM</t>
  </si>
  <si>
    <t>16/70/12</t>
  </si>
  <si>
    <t>DM(24) PEACH SLICES 420GM</t>
  </si>
  <si>
    <t>16/70/13</t>
  </si>
  <si>
    <t>DM(48) PINEAPPLE SLICES 235GM</t>
  </si>
  <si>
    <t>16/70/19</t>
  </si>
  <si>
    <t>DM(24) PINEAPPLE SLICES 432GM</t>
  </si>
  <si>
    <t>16/70/20</t>
  </si>
  <si>
    <t>DM(24) PINEAPPLE SLICES 567GM</t>
  </si>
  <si>
    <t>16/70/21</t>
  </si>
  <si>
    <t>DM(48) PINEAPPLE CHUNK 234GM</t>
  </si>
  <si>
    <t>16/70/24</t>
  </si>
  <si>
    <t>DM(24) PINEAPPLE CHUNK 435GM</t>
  </si>
  <si>
    <t>16/70/25</t>
  </si>
  <si>
    <t>DM(24) PINEAPPLE CHUNK 570GM</t>
  </si>
  <si>
    <t>16/70/27</t>
  </si>
  <si>
    <t>DM(24) CHICK PEAS 400GM</t>
  </si>
  <si>
    <t>16/70/51</t>
  </si>
  <si>
    <t>DM(24) FOUL MEDAMMAS 400GM</t>
  </si>
  <si>
    <t>16/70/52</t>
  </si>
  <si>
    <t>DM(24) HOMMOS TAHINA 400GM</t>
  </si>
  <si>
    <t>16/70/53</t>
  </si>
  <si>
    <t>DELMONTE RED KIDNEY BEANS  400GM</t>
  </si>
  <si>
    <t>16/70/55</t>
  </si>
  <si>
    <t>DM(24) BAKED BEANS 420GM</t>
  </si>
  <si>
    <t>16/70/56420</t>
  </si>
  <si>
    <t>DM(24) GOLDEN SWEET CORN 410GM</t>
  </si>
  <si>
    <t>16/70/57</t>
  </si>
  <si>
    <t>DM(24) JUICE PINEAPPLE-UNSWEETED 240ML</t>
  </si>
  <si>
    <t>16/70/81</t>
  </si>
  <si>
    <t>DM JUICE PINEAPPLE-UNSWEETED 6X240ML</t>
  </si>
  <si>
    <t>16/70/89ASPR6</t>
  </si>
  <si>
    <t>P</t>
  </si>
  <si>
    <t>SET</t>
  </si>
  <si>
    <t>KR COMMODITY DIVN.</t>
  </si>
  <si>
    <t>REGAL PICON 72PORTION 1080G</t>
  </si>
  <si>
    <t>REGAL PICON</t>
  </si>
  <si>
    <t>K6</t>
  </si>
  <si>
    <t>18/1/011080</t>
  </si>
  <si>
    <t>TO</t>
  </si>
  <si>
    <t>BEL MIDDLE EAST GENERAL TRADING L.L</t>
  </si>
  <si>
    <t>REGAL PICON 16PORTION 240G</t>
  </si>
  <si>
    <t>18/1/01240</t>
  </si>
  <si>
    <t>REGAL PICON 24PORTION 360G</t>
  </si>
  <si>
    <t>18/1/01360</t>
  </si>
  <si>
    <t>REGAL PICON 32PORTION 480G</t>
  </si>
  <si>
    <t>18/1/01480</t>
  </si>
  <si>
    <t>REGAL PICON 32PORTION 2X480G PB</t>
  </si>
  <si>
    <t>18/1/01480X2/CTN</t>
  </si>
  <si>
    <t>P1</t>
  </si>
  <si>
    <t>LES ENFANTS 24PORTION 360G</t>
  </si>
  <si>
    <t>LES ENFANTS</t>
  </si>
  <si>
    <t>18/1/02360</t>
  </si>
  <si>
    <t>LA VACHE QUIRIT 16PORTION 240G</t>
  </si>
  <si>
    <t>LA VACHE QUIRIT</t>
  </si>
  <si>
    <t>18/1/03240</t>
  </si>
  <si>
    <t>LA VACHE QUIRIT 24PORTION 360G</t>
  </si>
  <si>
    <t>18/1/03360</t>
  </si>
  <si>
    <t>LA VACHE QUIRIT 32PORTION 480G</t>
  </si>
  <si>
    <t>18/1/03480</t>
  </si>
  <si>
    <t>LA VACHE QUIRIT SLICES CHEDDAR 200G</t>
  </si>
  <si>
    <t>18/1/03CHD200</t>
  </si>
  <si>
    <t>LA VACHE QUIRIT SLICES CHEDDAR 480G</t>
  </si>
  <si>
    <t>18/1/03CHD480</t>
  </si>
  <si>
    <t>LA VACHE QUIRIT SLICES BURGER 200G</t>
  </si>
  <si>
    <t>18/1/03HAM200</t>
  </si>
  <si>
    <t>LA VACHE QUIRIT SLICES LIGHT 200G</t>
  </si>
  <si>
    <t>18/1/03LHT200</t>
  </si>
  <si>
    <t>LA VACHE QUIRIT SLICES SANDWICH 200G</t>
  </si>
  <si>
    <t>18/1/03SDW200</t>
  </si>
  <si>
    <t>KIRI 24PORTION 432G</t>
  </si>
  <si>
    <t>KIRI</t>
  </si>
  <si>
    <t>18/1/04432</t>
  </si>
  <si>
    <t>KIRI 24PORTION 2X432G @ 10%OFF</t>
  </si>
  <si>
    <t>18/1/04432/2</t>
  </si>
  <si>
    <t>BABYBEL MINI 5PORTION 100G</t>
  </si>
  <si>
    <t>BABYBEL</t>
  </si>
  <si>
    <t>18/1/05101</t>
  </si>
  <si>
    <t>BABYBEL MINI CHEDDAR 100G</t>
  </si>
  <si>
    <t>18/1/05BC100</t>
  </si>
  <si>
    <t>BABYBEL MINI LIGHT 100G</t>
  </si>
  <si>
    <t>18/1/05BL100</t>
  </si>
  <si>
    <t>PONS(12)EV OIL 250ML</t>
  </si>
  <si>
    <t>PONS(12)PURE OLIVE OIL 250ML</t>
  </si>
  <si>
    <t>REGAL PICON SLICE CHEDDAR 12S 200G</t>
  </si>
  <si>
    <t>REGAL PICON SLICE BURGER 12S 200G</t>
  </si>
  <si>
    <t>REGAL PICON SLICE CHEDDAR 24S 400G</t>
  </si>
  <si>
    <t>LES ENFANTS 32PORTION 480G</t>
  </si>
  <si>
    <t>MENTOS WHITE BOTTLE SWEETMINT</t>
  </si>
  <si>
    <t>MENTOS</t>
  </si>
  <si>
    <t>856244</t>
  </si>
  <si>
    <t>CV</t>
  </si>
  <si>
    <t>PERFETTI VAN MELLE INDONESIA</t>
  </si>
  <si>
    <t>MENTOS WHITE BOTTLE TUTTI FRUTTI</t>
  </si>
  <si>
    <t>856245</t>
  </si>
  <si>
    <t>MENTOS BOTTLE WINTER GREEN</t>
  </si>
  <si>
    <t>1508796</t>
  </si>
  <si>
    <t>MENTOS BOTTLE FRESH MINT</t>
  </si>
  <si>
    <t>1508976</t>
  </si>
  <si>
    <t>MENTOS BUBBLE GUM MIXED FRUIT</t>
  </si>
  <si>
    <t>1519897</t>
  </si>
  <si>
    <t>MENTOS POCKET BOTTLE FRESH MINT</t>
  </si>
  <si>
    <t>1508675</t>
  </si>
  <si>
    <t>MENTOS POCKET BOTTLE STRAWBERRY</t>
  </si>
  <si>
    <t>1508727</t>
  </si>
  <si>
    <t>MENTOS POCKET BOTTLE WATERMELON</t>
  </si>
  <si>
    <t>1508705</t>
  </si>
  <si>
    <t>MENTOS 3D FRESHMINT</t>
  </si>
  <si>
    <t>1539675</t>
  </si>
  <si>
    <t>REGAL PICON 8PORTION (X40)</t>
  </si>
  <si>
    <t>LES ENFANTS 8PORTION (X40)</t>
  </si>
  <si>
    <t>REGAL PICON 40POR (5X8P) NEW</t>
  </si>
  <si>
    <t>LES ENFANTS 40POR (5X8P) NEW</t>
  </si>
  <si>
    <t>LA VACHE QUIRIT 8PORTION (X40)</t>
  </si>
  <si>
    <t>DM(48) LM TUNA IN BRINE 185GM</t>
  </si>
  <si>
    <t>DM(48) LM TUNA IN OIL 185GM</t>
  </si>
  <si>
    <t>DELMONTE WM TUNA IN BRINE 185GM</t>
  </si>
  <si>
    <t>DELMONTE WM TUNA IN OIL 185GM</t>
  </si>
  <si>
    <t>DELMONTE TUNA CHUNK IN BRINE 185GM</t>
  </si>
  <si>
    <t>DELMONTE TUNA CHUNK IN OIL 185GM</t>
  </si>
  <si>
    <t>DEVON CREAM CRACKERS 200G</t>
  </si>
  <si>
    <t>DEVON</t>
  </si>
  <si>
    <t>95399</t>
  </si>
  <si>
    <t>PAC</t>
  </si>
  <si>
    <t>CONSOLIDATED BISCUIT CO.LTD</t>
  </si>
  <si>
    <t>TOVA JAM ASSTD 2X450 GM PB</t>
  </si>
  <si>
    <t>TOVA</t>
  </si>
  <si>
    <t>95619</t>
  </si>
  <si>
    <t>HERO NUTRITIONAL FOOD INDUSTRIES S.</t>
  </si>
  <si>
    <t>TOVA JAM STRAWBERRY 450G</t>
  </si>
  <si>
    <t>95624</t>
  </si>
  <si>
    <t>TOVA JAM APRICOT 450G</t>
  </si>
  <si>
    <t>95625</t>
  </si>
  <si>
    <t>TOVA JAM RASPBERRY 450G</t>
  </si>
  <si>
    <t>95626</t>
  </si>
  <si>
    <t>TOVA JAM PINEAPPLE 450G</t>
  </si>
  <si>
    <t>95627</t>
  </si>
  <si>
    <t>TOVA JAM MIXFRUIT 450G</t>
  </si>
  <si>
    <t>95628</t>
  </si>
  <si>
    <t>TOVA JAM FIG 450G</t>
  </si>
  <si>
    <t>95632</t>
  </si>
  <si>
    <t>HERO BABY APPLE COMPOTE 125GM</t>
  </si>
  <si>
    <t>HERO BABY</t>
  </si>
  <si>
    <t>95668</t>
  </si>
  <si>
    <t>HERO BABY JAR BANANA 125GM</t>
  </si>
  <si>
    <t>95672</t>
  </si>
  <si>
    <t>HERO BABY JAR 3FRUIT 125 GM</t>
  </si>
  <si>
    <t>95673</t>
  </si>
  <si>
    <t>HERO BABY JAR MANGO BANANA 125 GM</t>
  </si>
  <si>
    <t>95674</t>
  </si>
  <si>
    <t>HERO BABY JAR MIX FRUIT 125 GM</t>
  </si>
  <si>
    <t>95675</t>
  </si>
  <si>
    <t>HERO BABY JAR MIX VEGETABLE 120 GM</t>
  </si>
  <si>
    <t>95676</t>
  </si>
  <si>
    <t>HERO BABY BANANA MANDARIN PEAR 125 GM</t>
  </si>
  <si>
    <t>95677</t>
  </si>
  <si>
    <t>HERO BABY JAR PEACH BANANA 125 GM</t>
  </si>
  <si>
    <t>95678</t>
  </si>
  <si>
    <t>DM(24) MIXED VEGETABLES 425GM</t>
  </si>
  <si>
    <t>131485</t>
  </si>
  <si>
    <t>DM(24) GARDEN PEAS 425GM</t>
  </si>
  <si>
    <t>131486</t>
  </si>
  <si>
    <t>DM(24) PEAS &amp; CARROTS 425GM</t>
  </si>
  <si>
    <t>131487</t>
  </si>
  <si>
    <t>MENTOS 11P MINT</t>
  </si>
  <si>
    <t>MENTOS 11P FRUIT</t>
  </si>
  <si>
    <t>MENTOS 11P STRAWBERRY</t>
  </si>
  <si>
    <t>MENTOS 11P TUTTI FRUTTI</t>
  </si>
  <si>
    <t>MENTOS 11P RAINBOW</t>
  </si>
  <si>
    <t>MENTOS 14P FRUIT</t>
  </si>
  <si>
    <t>MENTOS JARS MINT</t>
  </si>
  <si>
    <t>MENTOS JARS FRUIT</t>
  </si>
  <si>
    <t>MENTOS MINI BAGS</t>
  </si>
  <si>
    <t>SMINT ORIGINAL MINT</t>
  </si>
  <si>
    <t>SMINT</t>
  </si>
  <si>
    <t>SMINT ORIGINAL PEPPERMINT</t>
  </si>
  <si>
    <t>SMINT ORIGINAL WILDBERRY</t>
  </si>
  <si>
    <t>CHUPA CHUPS BAG COLAMIX</t>
  </si>
  <si>
    <t>CHUPA CHUPS</t>
  </si>
  <si>
    <t>CHUPA CHUPS BAG FRUIT</t>
  </si>
  <si>
    <t>CHUPA CHUPS BAG MILKY</t>
  </si>
  <si>
    <t>CHUPA CHUPS BAG THE BEST OF</t>
  </si>
  <si>
    <t>CHUPA CHUPS SINGLES THE BEST OF</t>
  </si>
  <si>
    <t>CHUPA CHUPS BAGS MINI</t>
  </si>
  <si>
    <t>CHUPA CHUPS SURPRISE DISPLAY</t>
  </si>
  <si>
    <t>CHUPA CHUPS XXL STRAWBERRY</t>
  </si>
  <si>
    <t>CHUPA CHUPS BUBBLE GUM DISPLAY</t>
  </si>
  <si>
    <t>CHUPA CHUPS MELODY POP STRAWBERRY</t>
  </si>
  <si>
    <t>REGAL PICON 48PORTION 720G</t>
  </si>
  <si>
    <t>CHUPA CHUPS BAG TWIN PACK @ 25% OFF</t>
  </si>
  <si>
    <t>DEVON LIGHT CREAM CRACKERS 200G</t>
  </si>
  <si>
    <t>KRXXXX</t>
  </si>
  <si>
    <t>CHUPA CHUPS JELLIES CRAZY COLA</t>
  </si>
  <si>
    <t>CHUPA CHUPS JELLIES LOLLIES</t>
  </si>
  <si>
    <t>CHUPA CHUPS JELLIES PINKIES</t>
  </si>
  <si>
    <t>CHUPA CHUPS JELLIES SOUR GECKO</t>
  </si>
  <si>
    <t>KIRI 6PORTION 108G</t>
  </si>
  <si>
    <t>KIRI 12PORTION 216G</t>
  </si>
  <si>
    <t>MENTOS XL WHITE BOTTLE STRAWBERRY</t>
  </si>
  <si>
    <t>MENTOS XL WHITE BOTTLE SPEARMINT</t>
  </si>
  <si>
    <t>DM(6) GRAPE LEAVES IN BRINE 907GM</t>
  </si>
  <si>
    <t>MESMERIZE ANTIBACTERIAL SOAP 75 GM</t>
  </si>
  <si>
    <t>MESMERIZE</t>
  </si>
  <si>
    <t>KHIMJI RAMDAS(GPD)</t>
  </si>
  <si>
    <t>MESMERIZE MILK SOAP 75 GM</t>
  </si>
  <si>
    <t>KIRI BLOCK 1KG</t>
  </si>
  <si>
    <t>KIRI TUB 200G</t>
  </si>
  <si>
    <t>LA VACHE QUIRIT DIPPER (4'S) 140G</t>
  </si>
  <si>
    <t>KIRI 12PORTION 3X216G @ 15% OFF</t>
  </si>
  <si>
    <t>KIRI 6PORTION 5X108G @ 15% OFF</t>
  </si>
  <si>
    <t>DM(3) GRAPE LEAVES IN BRINE 2X907GM</t>
  </si>
  <si>
    <t>LES ENFANTS 48P 720G</t>
  </si>
  <si>
    <t>BABYBEL MAXI 200G (X8)</t>
  </si>
  <si>
    <t>KIRI LABNEH 200G</t>
  </si>
  <si>
    <t>ALPENLIEBE ORIGINAL JAR</t>
  </si>
  <si>
    <t>ALPENLIEBE</t>
  </si>
  <si>
    <t>ALPENLIEBE ORIGINAL STICK</t>
  </si>
  <si>
    <t>BIG BABOL FILI FOLLY STRAWBERRY</t>
  </si>
  <si>
    <t>BIG BABOL</t>
  </si>
  <si>
    <t>BIG BABOL FILI FOLLY TUTTI FRUTTI</t>
  </si>
  <si>
    <t>BIG BABOL FILI FOLLY WATERMELON</t>
  </si>
  <si>
    <t>BIG BABOL MEGA FUN BERRIES</t>
  </si>
  <si>
    <t>BIG BABOL MEGA STRAWBERRY</t>
  </si>
  <si>
    <t>BIG BABOL MEGA TUTTI FRUTTI</t>
  </si>
  <si>
    <t>ALPENLIEBE MILK CHEWS</t>
  </si>
  <si>
    <t>FRUITTELLA STRAWBERRY</t>
  </si>
  <si>
    <t>FRUITTELLA</t>
  </si>
  <si>
    <t>FRUITTELLA ORANGE</t>
  </si>
  <si>
    <t>FRUITTELLA BLACK CURRANT</t>
  </si>
  <si>
    <t>CHUPA CHUPS EXTRUDED JELLIES TRAY 57G</t>
  </si>
  <si>
    <t>MESMERIZE TURMERIC SOAP 125GM</t>
  </si>
  <si>
    <t>MESMERIZE PAPAYA SOAP 125GM</t>
  </si>
  <si>
    <t>MESMERIZE PAPAYA SOAP 75 GM(NEW PK)</t>
  </si>
  <si>
    <t>MENTOS 50P BOTTLE SPEARMINT</t>
  </si>
  <si>
    <t>MENTOS 50P BOTTLE BUBBLE FRESH</t>
  </si>
  <si>
    <t>DM(24) CREAM STYLE CORN 410GM</t>
  </si>
  <si>
    <t>CHUPA CHUPS EXTRUDED JELLIES POUCH 24.2G</t>
  </si>
  <si>
    <t>CHUPA CHUPS EXTRUDED JELLIES BAG 85.5G</t>
  </si>
  <si>
    <t>MESMERIZE SOAP 75 X 6(SP)-NEW</t>
  </si>
  <si>
    <t>MESMERIZE SOAP ASSORTED 6X125GM (SP)</t>
  </si>
  <si>
    <t>HERO BABY JAR MIXFRUIT WITH CEREALS 125G</t>
  </si>
  <si>
    <t>LA VACHE QUIRIT 48PORTION 720G (8)</t>
  </si>
  <si>
    <t>FRUITTELLA STRAWBERRY BANANA STICK</t>
  </si>
  <si>
    <t>638720</t>
  </si>
  <si>
    <t>FRUITTELLA LEMON GRAPE STICK</t>
  </si>
  <si>
    <t>638721</t>
  </si>
  <si>
    <t>MENTOS 9P PURE FRESH FRESH MINT 1.75GM</t>
  </si>
  <si>
    <t>855493</t>
  </si>
  <si>
    <t>MENTOS 9P PURE FRESH BUBBLE FRESH 1.75GM</t>
  </si>
  <si>
    <t>855658</t>
  </si>
  <si>
    <t>PONS(12) BLENDED OIL 500ML</t>
  </si>
  <si>
    <t>KIRI TUB 350G (X12)</t>
  </si>
  <si>
    <t>KIRI TUB 500G (X8)</t>
  </si>
  <si>
    <t>KIRI LABNEH 500G (X8)</t>
  </si>
  <si>
    <t>DM(48) SKIPJACK TUNA IN SF OIL 180GM</t>
  </si>
  <si>
    <t>DM(48) SKIPJACK TUNA HOT &amp; SPICY 180GM</t>
  </si>
  <si>
    <t>REGAL PICON WHITE JAR- 240G</t>
  </si>
  <si>
    <t>REGAL PICON WHITE JAR- 500G</t>
  </si>
  <si>
    <t>REGAL PICON WHITE JAR- 900G</t>
  </si>
  <si>
    <t>REGAL PICON WHITE JAR(2X500G)</t>
  </si>
  <si>
    <t>REGAL PICON WHITE JAR 2X900G</t>
  </si>
  <si>
    <t>LES ENFANTS 40P - (5X8P)- FOC</t>
  </si>
  <si>
    <t>F</t>
  </si>
  <si>
    <t>REGAL PICON WHITE JAR- 240G- FOC</t>
  </si>
  <si>
    <t>DM(24) GOLDEN SWEET CORN 180GM</t>
  </si>
  <si>
    <t>0</t>
  </si>
  <si>
    <t>CHUPA CHUP JELLIES- PINKIS 160G</t>
  </si>
  <si>
    <t>2033062</t>
  </si>
  <si>
    <t>CHUPA CHUP JELLIES- SOUR COLA 160G</t>
  </si>
  <si>
    <t>2033061</t>
  </si>
  <si>
    <t>CHUPA CHUP JELLIES- SOUR GECKO 160G</t>
  </si>
  <si>
    <t>2033064</t>
  </si>
  <si>
    <t>MENTOS 50P BOTTLE STRAWBERRY</t>
  </si>
  <si>
    <t>855664</t>
  </si>
  <si>
    <t>MENTOS 50P BOTTLE WATERMELON</t>
  </si>
  <si>
    <t>856243</t>
  </si>
  <si>
    <t>MENTOS 9P PURE FRESH STRAWBERRY 1.75GM</t>
  </si>
  <si>
    <t>855662</t>
  </si>
  <si>
    <t>KIRI GREEK STYLE 6 PORTION 100G</t>
  </si>
  <si>
    <t>KIRI GREEK TUB 200G (X18)</t>
  </si>
  <si>
    <t>KIRI GREEK TUB 500G (X8)</t>
  </si>
  <si>
    <t>LA VACHE QUIRIT SLICES LIGHT 480G (X12)</t>
  </si>
  <si>
    <t>CHUPA CHUPS EXTRUDED JELLIES TUBE 24.2GM</t>
  </si>
  <si>
    <t>846078</t>
  </si>
  <si>
    <t>CHUPA CHUPS EXTRUDED JELLY TUBE 85.5GM</t>
  </si>
  <si>
    <t>846079</t>
  </si>
  <si>
    <t>MENTOS WHITE BOTTLE PEPPERMINT</t>
  </si>
  <si>
    <t>858220</t>
  </si>
  <si>
    <t>CHUPA CHUPS JELLIES CRAWLERS</t>
  </si>
  <si>
    <t>F2033068</t>
  </si>
  <si>
    <t>CHUPA CHUPS JELLIES PANDA BEAR</t>
  </si>
  <si>
    <t>F2033067</t>
  </si>
  <si>
    <t>CHUPA CHUP JELLIES- PANDA 160G</t>
  </si>
  <si>
    <t>F2033069</t>
  </si>
  <si>
    <t>DM (20) SPAGHETTI 400G</t>
  </si>
  <si>
    <t>DM (20) MACARONI-CORNETTO MEDIUM 400G</t>
  </si>
  <si>
    <t>DM (20) FUSILLI 400G</t>
  </si>
  <si>
    <t>DM (20) PENNE RIGATEÂ  400G</t>
  </si>
  <si>
    <t>DM (20) VERMICIELLI CURVE 400G</t>
  </si>
  <si>
    <t>Mentos Freshmint gum MP bottles 32pX2</t>
  </si>
  <si>
    <t>858284</t>
  </si>
  <si>
    <t>Mentos Wintergreen gum MP bottles 32pX2</t>
  </si>
  <si>
    <t>858286</t>
  </si>
  <si>
    <t>TOVA JAM ASSTD 3X450 GM NEW</t>
  </si>
  <si>
    <t>DEVON C/CRACKER ASSTD 3X200 GM NEW</t>
  </si>
  <si>
    <t>MENTOS PURE FRESH SPERMINT</t>
  </si>
  <si>
    <t>858413</t>
  </si>
  <si>
    <t>Mentos 14p Strawberry NEW PACKING</t>
  </si>
  <si>
    <t>639345</t>
  </si>
  <si>
    <t>Mentos 14p RAINBOW NEW PACKING</t>
  </si>
  <si>
    <t>639339</t>
  </si>
  <si>
    <t>Mentos 14p FRUIT NEW PACKING</t>
  </si>
  <si>
    <t>639342</t>
  </si>
  <si>
    <t>Mentos 14p TUTTI FRUITTI NEW PACKING</t>
  </si>
  <si>
    <t>639338</t>
  </si>
  <si>
    <t>MENTOS 14P MINT NEW PACKING</t>
  </si>
  <si>
    <t>639337</t>
  </si>
  <si>
    <t>MENTOS 11P SOUR FRUIT MIX</t>
  </si>
  <si>
    <t>631836</t>
  </si>
  <si>
    <t>MENTOS 14P SOUR  FRUIT  MIX</t>
  </si>
  <si>
    <t>631774</t>
  </si>
  <si>
    <t>MENTOS INCREDIBLE CHEW STRAWBERRY</t>
  </si>
  <si>
    <t>858350</t>
  </si>
  <si>
    <t>MENTOS INCREDIBLE CHEW GREEN APPLE</t>
  </si>
  <si>
    <t>858352</t>
  </si>
  <si>
    <t>DM(6) CHICK PEAS 4X400GM NEW OFFER</t>
  </si>
  <si>
    <t>DM(8) HOMMOS TAHINA 3X400GM NEW OFFER</t>
  </si>
  <si>
    <t>DM(6) FRUIT COCKTAIL 4X227GM NEW OFFER</t>
  </si>
  <si>
    <t>DM(8) FRUIT COCKTAIL 3X420GM NEW OFFER</t>
  </si>
  <si>
    <t>DM(8) PEACH HALVES 3X420GM NEW OFFER</t>
  </si>
  <si>
    <t>DM(8) GARDEN PEAS 3X425GM NEW OFFER</t>
  </si>
  <si>
    <t>DM(6) GOLDEN SWEET CORN 4X410GM NEW OFFE</t>
  </si>
  <si>
    <t>DM(8) PINEAPPLE CHUNK 3X435 GM NEW OFFER</t>
  </si>
  <si>
    <t>DM(8) PINEAPPLE CHUNK 3X570GM NEW OFFER</t>
  </si>
  <si>
    <t>DM(8) PINEAPPLE SLICES 3X432GM NEW OFFER</t>
  </si>
  <si>
    <t>DM(8) PINEAPPLE SLICES 3X567GM NEW OFFER</t>
  </si>
  <si>
    <t>DM(8) PINEAPPLE CHUNK 6X234GM NEW OFFER</t>
  </si>
  <si>
    <t>DM(8) PINEAPPLE SLICES 6X235GM NEW OFFER</t>
  </si>
  <si>
    <t>DM  SPAGHETTI 400G X 4 OFFER PACK</t>
  </si>
  <si>
    <t>DM  MACARONI-CORNETTO MEDIUM 400G X 4 OF</t>
  </si>
  <si>
    <t>DM FUSILLI 400G X 4 OFFER PACK</t>
  </si>
  <si>
    <t>DM PENNE RIGATE  400G X 4 OFFER PACK</t>
  </si>
  <si>
    <t>DM VERMICIELLI CURVE 400G X 4 OFFER PACK</t>
  </si>
  <si>
    <t>Sri Sri Tattva Rose Face Wash 100ml</t>
  </si>
  <si>
    <t>SRI SRI TATTVA - NON FOOD</t>
  </si>
  <si>
    <t>SRIVEDA SATTVA PRIVATE LTD -NF</t>
  </si>
  <si>
    <t>Sri Sri Tattva Cucumber Lemon Face Wash</t>
  </si>
  <si>
    <t>Sri Sri Tattva Turmeric Face Pack 100gm</t>
  </si>
  <si>
    <t>Sri Sri Tattva Gulab Jal 100ml</t>
  </si>
  <si>
    <t>Sri Sri Tattva Sudanta Toothpaste 200gm</t>
  </si>
  <si>
    <t>CHUPA CHUPS CLASSIC JARS</t>
  </si>
  <si>
    <t>855201</t>
  </si>
  <si>
    <t>MENTOS CHEWY CANDIES STRAWBERY (N)</t>
  </si>
  <si>
    <t>639291</t>
  </si>
  <si>
    <t>MENTOS CHEWY CANDIES MINT MONO (N)</t>
  </si>
  <si>
    <t>639289</t>
  </si>
  <si>
    <t>Chupa chup Jellies 3 pck- Assorted</t>
  </si>
  <si>
    <t>p</t>
  </si>
  <si>
    <t>MENTOS CHEWY CANDIES fruit MONO (N)</t>
  </si>
  <si>
    <t>639369</t>
  </si>
  <si>
    <t>Chupa Chups Extruded Jellies Monos belt</t>
  </si>
  <si>
    <t>847559</t>
  </si>
  <si>
    <t>DELMONTE PLAIN BLACK OLIVES 12X335G</t>
  </si>
  <si>
    <t>31998</t>
  </si>
  <si>
    <t>DELMONTE PLAIN BLACK OLIVES 12X460G</t>
  </si>
  <si>
    <t>32038</t>
  </si>
  <si>
    <t>DELMONTE PLAIN GREEN OLIVES 12X335G</t>
  </si>
  <si>
    <t>31997</t>
  </si>
  <si>
    <t>DELMONTE PLAIN GREEN OLIVES 12X460G</t>
  </si>
  <si>
    <t>32001</t>
  </si>
  <si>
    <t>DELMONTE SLICED GREEN OLIVES 12X460G</t>
  </si>
  <si>
    <t>32042</t>
  </si>
  <si>
    <t>DELMONTE PITTED GREEN OLIVES 12X335G</t>
  </si>
  <si>
    <t>32037</t>
  </si>
  <si>
    <t>MENTOS INCREDIBLE CHEW STICK.GRAPE</t>
  </si>
  <si>
    <t>858351</t>
  </si>
  <si>
    <t>CHUPA JELLIES- Sour tubes 80gm-STRAWBER</t>
  </si>
  <si>
    <t>847094</t>
  </si>
  <si>
    <t>CHUPA JELLIES- Sour tubes 24gm-STRAWBER</t>
  </si>
  <si>
    <t>847419</t>
  </si>
  <si>
    <t>SST ORGANIC VIRGIN COCONUT OIL 300ML</t>
  </si>
  <si>
    <t>SRI SRI TATTVA - FOOD</t>
  </si>
  <si>
    <t>SRIVEDA SATTVA PRIVATE LTD </t>
  </si>
  <si>
    <t>SST HONEY 500GM</t>
  </si>
  <si>
    <t>SST COW'S PURE GHEE 1 L</t>
  </si>
  <si>
    <t>SST COW'S PURE GHEE 500 ML</t>
  </si>
  <si>
    <t>CHUPA CHUPS SOUR BAGS LOLLIPOPS</t>
  </si>
  <si>
    <t>8404743</t>
  </si>
  <si>
    <t>DELMONTE PLAIN BLACK OLIVES 335G* 2</t>
  </si>
  <si>
    <t>DELMONTE PLAIN BLACK OLIVES 460G *2</t>
  </si>
  <si>
    <t>Chupa Chups Bags Mini - limited edition</t>
  </si>
  <si>
    <t>8404911</t>
  </si>
  <si>
    <t>DM STUFFED GREEN OLIVES JARS 12X335G</t>
  </si>
  <si>
    <t>31999</t>
  </si>
  <si>
    <t>DM BLACK SLICED OLIVES JARS 12X460GM</t>
  </si>
  <si>
    <t>32043</t>
  </si>
  <si>
    <t>FACE WASH + FACE PACK COMBO (2x100GM) SP</t>
  </si>
  <si>
    <t>MENTOS GUM.NANO BOTTLE MINT 10PC</t>
  </si>
  <si>
    <t>858403</t>
  </si>
  <si>
    <t>TOVA JAM ASSTD 2X450 GM PROMO</t>
  </si>
  <si>
    <t>TOVA JAM ASSTD 3X450 GM PROMO</t>
  </si>
  <si>
    <t>MENTOS GUM.NANO BOTTLE STRAWBERRY</t>
  </si>
  <si>
    <t>858404</t>
  </si>
  <si>
    <t>MENTOS GUM.NANO BOTTLE BUBBLE FRESH</t>
  </si>
  <si>
    <t>858406</t>
  </si>
  <si>
    <t>HERO BABY JARS 3+1 FREE- 4X125GMS</t>
  </si>
  <si>
    <t>SMINT.SMINT XL.TIN.PEPPERMINT 50PC</t>
  </si>
  <si>
    <t>MELODY POPS COLA</t>
  </si>
  <si>
    <t>MENTOS INCREDIBLE BAGS STRAW &amp; GRAPE 40p</t>
  </si>
  <si>
    <t>MENTOS INCREDIBLE CHEW BAGS COLA 40P</t>
  </si>
  <si>
    <t>CHUPA MALLOWS VANILLA &amp; STRAWBERRY 280</t>
  </si>
  <si>
    <t>CHUPA MALLOWS VANILLA &amp; STRAWBERRY 140</t>
  </si>
  <si>
    <t>CHUPA MALLOWS MIXED FRUIT 65 GR</t>
  </si>
  <si>
    <t>CHUPA MALLOWS VANILLA/STRAWBERRY 13 GR</t>
  </si>
  <si>
    <t>SMINT TIN WINTERGREEN 50PC</t>
  </si>
  <si>
    <t>CHUPPA CHUPS MAGIC CUBES 41PCS</t>
  </si>
  <si>
    <t>HERO BABY JARS 3x125GM ASSTD PROMO</t>
  </si>
  <si>
    <t>SST Sudanta Toothpaste 100gm + Toothbrus</t>
  </si>
  <si>
    <t>REGAL PICON 4X8P</t>
  </si>
  <si>
    <t>NOUVELLE VACHE 8P(X36) - NEW</t>
  </si>
  <si>
    <t>NOUVELLE  VACHE</t>
  </si>
  <si>
    <t>KIRI GLASS JAR 240G X 24</t>
  </si>
  <si>
    <t>KIRI GLASS JARS 500G X 12 </t>
  </si>
  <si>
    <t>KIRI GLASS JAR 900G X 6 </t>
  </si>
  <si>
    <t>KIRI GLASS JARS 2X500G @ OFFER</t>
  </si>
  <si>
    <t>NOUVELLE VACHE 4X8P</t>
  </si>
  <si>
    <t>MENTOS WHITE BOTTLE TWIN PACK</t>
  </si>
  <si>
    <t>REGAL PICON 4X8P -Lantern</t>
  </si>
  <si>
    <t>LE Glass JARS 500g X 12 </t>
  </si>
  <si>
    <t>LE Glass JARS 2x500g OFF</t>
  </si>
  <si>
    <t>DELMONTE TUNA CHUNK IN BRINE 185GM X 4</t>
  </si>
  <si>
    <t>DELMONTE TUNA CHUNK IN OIL 185GM X 4</t>
  </si>
  <si>
    <t>DM(48) LM TUNA IN BRINE 185GM X 4</t>
  </si>
  <si>
    <t>DM(48) LM TUNA IN OIL 185GM X 4</t>
  </si>
  <si>
    <t>DELMONTE WM TUNA IN BRINE 185GM X 4</t>
  </si>
  <si>
    <t>DELMONTE WM TUNA IN OIL 185GM X 4</t>
  </si>
  <si>
    <t>DM(48) SKIPJACK TUNA IN SF OIL 180GM X 4</t>
  </si>
  <si>
    <t>DM(48) SKIPJACK TUNA HOT &amp; SPICY 180GM X</t>
  </si>
  <si>
    <t>DEVON C/CRACKER ASSTD 3+1 FREE (4x200 GM</t>
  </si>
  <si>
    <t>CHUPA CHUPS MINI TWIN PACK</t>
  </si>
  <si>
    <t>CHUPA CHUP JELLIES- TWIN PACK 160G- ASSO</t>
  </si>
  <si>
    <t>DEVON C/CRACKER TWIN PACK (2x200 GM)</t>
  </si>
  <si>
    <t>HERO BABY TEETHING BISCUITS 180GMS</t>
  </si>
  <si>
    <t>HERO BABY BANANA TEETHING BISCUITS 180GM</t>
  </si>
  <si>
    <t>BAKERS PRIDE BUTTER COOKIES TIN 400GMS</t>
  </si>
  <si>
    <t>BAKERS PRIDE</t>
  </si>
  <si>
    <t>15/28/054</t>
  </si>
  <si>
    <t>BAKERS PRIDE DANISH COOKIES 400GMS</t>
  </si>
  <si>
    <t>15/28/064</t>
  </si>
  <si>
    <t>NUTRO BISCUITS NICE 50 GMS</t>
  </si>
  <si>
    <t>NUTRO</t>
  </si>
  <si>
    <t>15/8/002</t>
  </si>
  <si>
    <t>NUTRO BISCUITS MALT &amp; MILK 50 GMS</t>
  </si>
  <si>
    <t>15/8/003</t>
  </si>
  <si>
    <t>BRITANNIA BISCUITS NICE TIME 100GMS</t>
  </si>
  <si>
    <t>BRITANNIA</t>
  </si>
  <si>
    <t>15/8/521</t>
  </si>
  <si>
    <t>BRITANNIA BISCUITS FIFTY FIFTY 71GMS</t>
  </si>
  <si>
    <t>15/8/531</t>
  </si>
  <si>
    <t>BRITANNIA DIGESTIVE 400 GM</t>
  </si>
  <si>
    <t>BRITANNIA FIFTY-FIFTY 6X71 GM</t>
  </si>
  <si>
    <t>NUTRO BISCUITS GLUCOSE 50 GMS WC</t>
  </si>
  <si>
    <t>NUTRO BISCUITS NICE 50 GMS WC</t>
  </si>
  <si>
    <t>NUTRO BISCUITS MALT N MILK 50 GMS WC</t>
  </si>
  <si>
    <t>NUTRO TASTY CRACKER 42 GMS WC</t>
  </si>
  <si>
    <t>NUTRO SWEET &amp; SALT (TEA TIME)  45 GM WC</t>
  </si>
  <si>
    <t>BRITANNIA DIGESTIVE BISCUITS 225 GM</t>
  </si>
  <si>
    <t>BRITANNIA DIGESTIVE SUGAR FREE 200 GM</t>
  </si>
  <si>
    <t>BRITANNIA DIGESTIVE SUGAR FREE 350 GM</t>
  </si>
  <si>
    <t>BRITANNIA CHOCOLATE WAFERS 175 GM</t>
  </si>
  <si>
    <t>BRITANNIA HAZELNUT WAFERS 175 GM</t>
  </si>
  <si>
    <t>BRITANNIA BC + BC 400 GM SPECIAL OFFER</t>
  </si>
  <si>
    <t>BRITANNIA LITTLE HEART NEW</t>
  </si>
  <si>
    <t>BRITANNIA WAFER MILK CARAMEL 175 GM</t>
  </si>
  <si>
    <t>BRITANNIA NUTRICHOICE OATS COOKIES 150GM</t>
  </si>
  <si>
    <t>BRITANNIA BOURBON 30X100 GM</t>
  </si>
  <si>
    <t>NUTRO PLAINS 3X10X50 GM NEW</t>
  </si>
  <si>
    <t>NUTRO WAFER CHOCOLATE 150 GM</t>
  </si>
  <si>
    <t>NUTRO WAFER CHOCOLATE 75GM</t>
  </si>
  <si>
    <t>NUTRO WAFER VANILLA 75GM</t>
  </si>
  <si>
    <t>BRITANNIA BISCUITS BOURNBON 200GMS</t>
  </si>
  <si>
    <t>BRIT GOODDAY CHOCO ALMOND 24X120 GM</t>
  </si>
  <si>
    <t>NUTRO WAFER STRAWBERRY 75GM</t>
  </si>
  <si>
    <t>NUTRO WAFERS HAZELNUT 75GMS</t>
  </si>
  <si>
    <t>NUTRO WAFER STRAWBERRY 150 GM</t>
  </si>
  <si>
    <t>BRITANNIA BISCUITS BOURNBON 400GMS</t>
  </si>
  <si>
    <t>BRITANNIA DIGESTIVE LIGHT 225GM</t>
  </si>
  <si>
    <t>BRITANNIA DIGESTIVE LIGHT 400GM</t>
  </si>
  <si>
    <t>BRITANNIA COW'S GHEE 1 LITRE</t>
  </si>
  <si>
    <t>BRITANNIA WHEAT RUSK 233G</t>
  </si>
  <si>
    <t>BRITANNIA COWS GHEE 500 ML</t>
  </si>
  <si>
    <t>BRITANNIA GOODDAY CHOCOCHIPS 120GMS</t>
  </si>
  <si>
    <t>CHUPA CHUPS EXTRUDED JELLIES MONOS 10.5G</t>
  </si>
  <si>
    <t>BRITANNIA GOOD DAY CHOCO CHUNKIES 125GM</t>
  </si>
  <si>
    <t>GOOD DAY CHOCO CHIPS 44GMS</t>
  </si>
  <si>
    <t>BRITANNIA CAKE RUSK 240 GM</t>
  </si>
  <si>
    <t>BRITANNIA CUP CAKE- CHOCOLATE 60 GM</t>
  </si>
  <si>
    <t>BRITANNIA CUP CAKE- STRAWBERRY 60 GM</t>
  </si>
  <si>
    <t>BRITANNIA LITTLE HEARTS 10X50.5GM BOX</t>
  </si>
  <si>
    <t>NUTRI CHOICE OAT COOKIES - CHOCOLATE 75G</t>
  </si>
  <si>
    <t>NUTRI CHOICE OAT COOKIES - ORANGE 75G</t>
  </si>
  <si>
    <t>NUTRI CHOICE OAT COOKIES - MILK &amp; ALMOND</t>
  </si>
  <si>
    <t>BRITANNIA BLACK SEED DIGESTIVE 350 GM</t>
  </si>
  <si>
    <t>BRITANNIA PURE MAGIC CHOCO LUSH 75GM</t>
  </si>
  <si>
    <t>BRITANNIA TREAT CHOCOLATE 40 GM</t>
  </si>
  <si>
    <t>BRITANNIA  TREAT VANILLA 40 GM</t>
  </si>
  <si>
    <t>MARIE PETIT BEURRE PROMO 2X450 GM</t>
  </si>
  <si>
    <t>BRITANNIA GOODDAY CHUNKIES 6X60 GM PROMO</t>
  </si>
  <si>
    <t>BRITANNIA BOURBON 100 GM 6+2 FREE NP</t>
  </si>
  <si>
    <t>BRITANNIA SOFT BAKED CHOCO CHIP 28 GM</t>
  </si>
  <si>
    <t>BRITANNIA SOFT BAKED DOUBLE CHOCO CHIP 2</t>
  </si>
  <si>
    <t>BRITANNIA GOODDAY BUTTER 130 GMS</t>
  </si>
  <si>
    <t>BRITANNIA GOODDAY CASHEW 130 GMS</t>
  </si>
  <si>
    <t>BRITANNIA GOODDAY PISTA 130 GMS</t>
  </si>
  <si>
    <t>BRITANNIA DIGESTIVE 3x400 GM SPL OFFER</t>
  </si>
  <si>
    <t>BRITANNIA DIGESTIVE SF 3X350GM SPL OFFER</t>
  </si>
  <si>
    <t>BRITANNIA DIGESTIVE 2X 400GM SPL OFFER</t>
  </si>
  <si>
    <t>BRITANNIA SF DIGESTIVE 2X350GM SPL OFFER</t>
  </si>
  <si>
    <t>BRITANNIA POTAZOS 3X100 GM VP</t>
  </si>
  <si>
    <t>BRITANNIA GD CHOCOCHIPS 6x120 GMS</t>
  </si>
  <si>
    <t>BRITANNIA BISCUITS JIMJAM 92 GMS</t>
  </si>
  <si>
    <t>BRITANNIA JIM JAM 138 GMS</t>
  </si>
  <si>
    <t>BRIT GOODDAY CASHEW 72 GM</t>
  </si>
  <si>
    <t>BRIT GOODDAY PISTABADAM 72 GM</t>
  </si>
  <si>
    <t>BRIT GOODDAY BUTTER 72 GM</t>
  </si>
  <si>
    <t>BRITANNIA GOODDAY CASHEW 8X72GM</t>
  </si>
  <si>
    <t>BRITANNIA GOODDAY BUTTER 8X72GM</t>
  </si>
  <si>
    <t>BRITANNIA GOODDAY PISTA 8X72GM</t>
  </si>
  <si>
    <t>BRITANNIA GOODDAY PISTA 16X72GM</t>
  </si>
  <si>
    <t>BRITANNIA DRY CAKE  RUSK 300 GM</t>
  </si>
  <si>
    <t>NUTRO CREAM BISCUITS CHOCOLATE 82.5 GMS</t>
  </si>
  <si>
    <t>NUTRO CREAM BISCUITS S/BERRY 82.5 GMS</t>
  </si>
  <si>
    <t>BRITANNIA BISCAFE COFFEE CRACKER 29.5 GM</t>
  </si>
  <si>
    <t>BRITANNIA DRY CAKE RUSK 2x300 GM</t>
  </si>
  <si>
    <t>BRITANNIA MASKA CHASKA 6X71 GM VP</t>
  </si>
  <si>
    <t>BRITANNIA MARIE GOLD 5X154 GM VP</t>
  </si>
  <si>
    <t>BRITANNIA MARIE GOLD 154 GM</t>
  </si>
  <si>
    <t>BRITANNIA MARIE GOLD 80 GMS</t>
  </si>
  <si>
    <t>BRITANNIA VITA MARIE 66 GMS</t>
  </si>
  <si>
    <t>BRITANNIA VITA MARIE 122 GMS</t>
  </si>
  <si>
    <t>BRIT VITA MARIE 5X122 GM VP</t>
  </si>
  <si>
    <t>BRITANNIA MARIE GOLD  8X80 GM VP</t>
  </si>
  <si>
    <t>BRITANNIA MARIEGOLD 2X10X43 GM</t>
  </si>
  <si>
    <t>BRITANNIA JIMJAM POPS 70 GM</t>
  </si>
  <si>
    <t>BRITANNIA BISCUITS MILK BIKIES 85 GMS</t>
  </si>
  <si>
    <t>BRITANNIA MILK BIKIS TWIN PACK 2X8X85 GM</t>
  </si>
  <si>
    <t>BRITANNIA  TREAT VANILLA 12x40 GM</t>
  </si>
  <si>
    <t>BRITANNIA TREAT CHOCOLATE 12x40 GM</t>
  </si>
  <si>
    <t>BRITANNIA  MILK BIKIS CREAM 100 GMS</t>
  </si>
  <si>
    <t>BRITANNIA WHEAT RUSK 305 GM</t>
  </si>
  <si>
    <t>BRITANNIA BISCUITS MILK BIKIES 8X85 GMS</t>
  </si>
  <si>
    <t>BRITANNIA DIGESTIVE  3X225 GM</t>
  </si>
  <si>
    <t>BRITANNIA DIGESTIVE SUGAR FREE 3X200 GM</t>
  </si>
  <si>
    <t>BRITANNIA 5 GRAIN BISCUITS 200 GM NEW</t>
  </si>
  <si>
    <t>BRITANNIA COW'S GHEE 1 LITRE SP NEW</t>
  </si>
  <si>
    <t>BRITANNIA VITA MARIE 8X 66 GM</t>
  </si>
  <si>
    <t>BRITANNIA CHUNKIES 96 GMS</t>
  </si>
  <si>
    <t>BRITANNIA JIMJAM POPS 6x70 GM SP</t>
  </si>
  <si>
    <t>BRITANNIA WHEAT RUSK 2X 305 GM</t>
  </si>
  <si>
    <t>BRITANNIA MILK RUSK 2X 310 GM</t>
  </si>
  <si>
    <t>BRITANNIA CHUNKIES 4X82 GMS</t>
  </si>
  <si>
    <t>BRIT MILK BIKIS MINI WAFFLES 200GM</t>
  </si>
  <si>
    <t>NUTRO(48)SWT&amp;SALT TEA TIME BISCUITS 45GM</t>
  </si>
  <si>
    <t>NUTRO(24) WAFER VANILLA 150GM</t>
  </si>
  <si>
    <t>NUTRO SWEET&amp;SALT(TEA TIME)BISCUITS 45GM</t>
  </si>
  <si>
    <t>SRI SRI GHEE (500ML x2) PB</t>
  </si>
  <si>
    <t>SRI SRI HONEY (2x500ML) PB</t>
  </si>
  <si>
    <t>Chupa Chups Extruded Jellies Belt Mono C</t>
  </si>
  <si>
    <t>LES ENFANTS 4X8P</t>
  </si>
  <si>
    <t>BRITANNIA B PRIDE BUTTER COOKIES 200 GMS</t>
  </si>
  <si>
    <t>15/28/053</t>
  </si>
  <si>
    <t>AL SALLAN FOOD INDS. CO SAOG.</t>
  </si>
  <si>
    <t>BRITANNIA B PRIDE DANISH COOKIES 200 GMS</t>
  </si>
  <si>
    <t>15/28/063</t>
  </si>
  <si>
    <t>NUTRO BISCUITS GLUCOSE 50 GMS</t>
  </si>
  <si>
    <t>15/8/001</t>
  </si>
  <si>
    <t>BRITANNIA INDUSTRIES LIMITED</t>
  </si>
  <si>
    <t>BRITANNIA BISCUITS MASKA CHASKA 71GMS</t>
  </si>
  <si>
    <t>15/8/532</t>
  </si>
  <si>
    <t>NUTRO SWEET&amp;SALT(TEA TIME) BISCUITS 45GM</t>
  </si>
  <si>
    <t>BRITANNIA CHOCOLATE WAFER 80 GM</t>
  </si>
  <si>
    <t>STRATEGIC FOODS INT'L CO L.L.C</t>
  </si>
  <si>
    <t>BRITANNIA HAZELNUT WAFER 80 GM</t>
  </si>
  <si>
    <t>BRITANNIA MILK RUSK 310 GM</t>
  </si>
  <si>
    <t>BRITANNIA WAFER MILK CARAMEL 80 GM</t>
  </si>
  <si>
    <t>NUTRO WAFER (2CH+2HZ+2ST) 75GM</t>
  </si>
  <si>
    <t>BRITANNIA MILK RUSK 2X310 GM BOX PB</t>
  </si>
  <si>
    <t>NUTRO WAFER HAZELNUT 150GM</t>
  </si>
  <si>
    <t>NUTRO WAFER VANILLA 150GM</t>
  </si>
  <si>
    <t>BRITANNIA GOODDAY CHOCOCHIPS 3X125GMS</t>
  </si>
  <si>
    <t>BRITANNIA DRY CAKE RUSK 80 GM</t>
  </si>
  <si>
    <t>DM(12) MIXED PICKLE 454GM</t>
  </si>
  <si>
    <t>BRITANNIA 5050 TIMEPASS 40GM</t>
  </si>
  <si>
    <t>KV</t>
  </si>
  <si>
    <t>BRITANNIA DIGESTIVE SF 2X350GM + BLACK S</t>
  </si>
  <si>
    <t>KIRI GREEK STYLE 24 PORTION 400G</t>
  </si>
  <si>
    <t>BRITANNIA MILK BIKIS TWIN PACK 2X8X90GM</t>
  </si>
  <si>
    <t>BRITANNIA GOODDAY CHUNKIES 60GM</t>
  </si>
  <si>
    <t>BRITANNIA GD CHOCOCHIPS 120 GMS 4+2 FREE</t>
  </si>
  <si>
    <t>NUTRI CHOICE OAT COOKIES - CHOCOLATE 6X7</t>
  </si>
  <si>
    <t>NUTRI CHOICE OAT COOKIES - ORANGE 6X75G</t>
  </si>
  <si>
    <t>NUTRI CHOICE OATS - ALMOND 6X75G PB</t>
  </si>
  <si>
    <t>BRITANNIA GOOD DAY PISTA 16X81 GM NP</t>
  </si>
  <si>
    <t>BRITANNIA GOOD DAY BUTTER 16X81 GM NP</t>
  </si>
  <si>
    <t>BRITANNIA GOOD DAY CASHEW 16X81 GM NP</t>
  </si>
  <si>
    <t>BRITANNIA  DATE ROLLS 90GM</t>
  </si>
  <si>
    <t>BRITANNIA MILK RUSK 3X 310 GM  SPL OFFER</t>
  </si>
  <si>
    <t>BRITANNIA POTAZOS 100 GM</t>
  </si>
  <si>
    <t>BRITANNIA GOODDAY CASHEW 16X72GM</t>
  </si>
  <si>
    <t>BRITANNIA GOODDAY BUTTER 16X72GM</t>
  </si>
  <si>
    <t>NUTRO CREAM  VANILLA CUSTARD 82.5 GMS</t>
  </si>
  <si>
    <t>NUTRO CREAM BISCUITS LEMON 82.5 GMS</t>
  </si>
  <si>
    <t>NUTRO CREAM BISCUITS COCONUT 82.5 GMS</t>
  </si>
  <si>
    <t>NUTRO CREAM BISCUITS ORANGE 82.5 GMS</t>
  </si>
  <si>
    <t>NUTRO CREAM  VANILLA CUSTARD 82.5 GMS  W</t>
  </si>
  <si>
    <t>NUTRO CREAM BISCUITS LEMON 82.5 GMS WS</t>
  </si>
  <si>
    <t>NUTRO CREAM BISCUITS COCONUT 82.5 GMS  W</t>
  </si>
  <si>
    <t>NUTRO CREAM BISCUITS ORANGE 82.5 GMS WS</t>
  </si>
  <si>
    <t>BRITANNIA WHEAT RUSK 3X 305 GM  SPL OFFE</t>
  </si>
  <si>
    <t>BRITANNIA NC SUGAR FREE CRACKER 175GM</t>
  </si>
  <si>
    <t>BRITANNIA NC W.WHEAT CRACKER 175GM</t>
  </si>
  <si>
    <t>BRITANNIA 5050 GOLMAAL 110 GM NEW</t>
  </si>
  <si>
    <t>BRITANNIA CHUNKIES 4X96 GMS</t>
  </si>
  <si>
    <t>BRITANNIA MILKBIKIS 3s PACK 3X8X85 GM</t>
  </si>
  <si>
    <t>BRIT MILK BIKIS MINIS CREAM 200GM</t>
  </si>
  <si>
    <t>BRIT COW GHEE 1LI (SP PROMO)</t>
  </si>
  <si>
    <t>NUTRO SALTYCRACKER 39GM WS</t>
  </si>
  <si>
    <t>NUTRO SALTYCRACKER 39GM</t>
  </si>
  <si>
    <t>NUTRO BISCUITS TASTY CRACKER 42 GMS</t>
  </si>
  <si>
    <t>K9</t>
  </si>
  <si>
    <t>15/8/005</t>
  </si>
  <si>
    <t>BAKERS PRIDE BC TIN+ DC TIN 400GM</t>
  </si>
  <si>
    <t>BRITANNIA LITTLE HEART NEW FOC</t>
  </si>
  <si>
    <t>DM MUSHROOM WHOLE 400GM</t>
  </si>
  <si>
    <t>DM MUSHROOM SLICES 400GM</t>
  </si>
  <si>
    <t>DM MUSHROOM WHOLE 200GM</t>
  </si>
  <si>
    <t>DM MUSHROOM SLICES 200GM</t>
  </si>
  <si>
    <t>BRITANNIA DIGESTIVE 400GM TWINPACK @ RO1</t>
  </si>
  <si>
    <t>BRITANNIA GOOD DAY BUTTER 81 GM</t>
  </si>
  <si>
    <t>BRITANNIA GOOD DAY CASHEW 81 GM</t>
  </si>
  <si>
    <t>CHUPA CHUPS BELT COLA- 57GM 12X8</t>
  </si>
  <si>
    <t>BRITANNIA 5050 GOLMAAL 110 GM</t>
  </si>
  <si>
    <t>CHUPA MALLOWS COLA 120 GR</t>
  </si>
  <si>
    <t>PONS EV OIL  500ML *2</t>
  </si>
  <si>
    <t>EUROALIMENT PROVEEDOR DE</t>
  </si>
  <si>
    <t>MENTOS FRESH DIVE PEPPERMINT</t>
  </si>
  <si>
    <t>MENTOS FRESH DIVE GRAPE</t>
  </si>
  <si>
    <t>DM(24) PINEAPPLE SLICES 840GM</t>
  </si>
  <si>
    <t>16/70/22</t>
  </si>
  <si>
    <t>BRITANNIA MARIE GOLD  8X90GM VP</t>
  </si>
  <si>
    <t>MENTOS INCREDIBLE CHEW COLA</t>
  </si>
  <si>
    <t>MENTOS PURE FRESH FRESHMINT 50P</t>
  </si>
  <si>
    <t>BRITANNIA WHEAT RUSKS 335 GM</t>
  </si>
  <si>
    <t>CHUPA CHUPS XXL COLA</t>
  </si>
  <si>
    <t>MESMERIZE TURMERIC SOAP 75 GM.(NEW PK)</t>
  </si>
  <si>
    <t>LAXMI SOAP FACTORY</t>
  </si>
  <si>
    <t>NUTRO CREAM ASSORTED 6X82.5 GM SP</t>
  </si>
  <si>
    <t>NUTRO CREAM ASSORTED 12X82.5 GM SP</t>
  </si>
  <si>
    <t>BRITANNIA WHEAT RUSK 610GM SP OFFER GCC</t>
  </si>
  <si>
    <t>BRITANNIA PURE MAGIC CHOCO LUSH 69GM</t>
  </si>
  <si>
    <t>BRITANNIA WAFER (2+1) ASSTD OFFER (3x175</t>
  </si>
  <si>
    <t>NUTRO WAFER 4x75GM ASSTD OFFER</t>
  </si>
  <si>
    <t>BRITANNIA BISCUITS BOURNBON 100GMS</t>
  </si>
  <si>
    <t>15/18/011</t>
  </si>
  <si>
    <t>BRITANNIA MILK BIKIS 8 X 90 GM</t>
  </si>
  <si>
    <t>CHUPA JELLIES TRIO PACK @ RO 1 ASSTD</t>
  </si>
  <si>
    <t>MENTOS CHEWY CANDIES FRUIT MIX</t>
  </si>
  <si>
    <t>MENTOS CHEWY CANDIES MINT MONO</t>
  </si>
  <si>
    <t>Sri Sri Tattva Sudanta Toothpaste 100gm</t>
  </si>
  <si>
    <t>BRITANNIA LITTLE HEARTS 8X50.5 GM BOX</t>
  </si>
  <si>
    <t>BRITANNIA VITA MARIE 8X 75 GM</t>
  </si>
  <si>
    <t>BRITANNIA WHEAT RUSK 3X 335 GM  SPL OFFE</t>
  </si>
  <si>
    <t>BRITANNIA WHEAT RUSK 224G</t>
  </si>
  <si>
    <t>Barcode</t>
  </si>
  <si>
    <t xml:space="preserve">Enter barcode </t>
  </si>
  <si>
    <r>
      <rPr>
        <sz val="11.5"/>
        <rFont val="Times New Roman"/>
      </rPr>
      <t>06921211111559Cotton</t>
    </r>
  </si>
  <si>
    <t xml:space="preserve">Fruitella Fruit Assorted </t>
  </si>
  <si>
    <t>Fruitella Vegan Jellies Koalas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</si>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</sst>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.5"/>
      <name val="Times New Roman"/>
    </font>
    <font>
      <sz val="12"/>
      <color indexed="8"/>
      <name val="Calibri"/>
      <family val="2"/>
    </font>
    <font>
      <sz val="12"/>
      <name val="Arial"/>
      <family val="2"/>
    </font>
    <font>
      <b/>
      <sz val="8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3" fontId="0" fillId="0" borderId="0" xfId="0" applyNumberFormat="1"/>
    <xf numFmtId="0" fontId="0" fillId="3" borderId="0" xfId="0" applyFill="1" applyAlignment="1">
      <alignment vertical="top"/>
    </xf>
    <xf numFmtId="0" fontId="0" fillId="3" borderId="0" xfId="0" applyFill="1"/>
    <xf numFmtId="165" fontId="0" fillId="0" borderId="0" xfId="0" applyNumberFormat="1" applyAlignment="1">
      <alignment horizontal="center" vertical="center"/>
    </xf>
    <xf numFmtId="165" fontId="0" fillId="2" borderId="1" xfId="0" applyNumberFormat="1" applyFill="1" applyBorder="1" applyAlignment="1">
      <alignment vertical="top"/>
    </xf>
    <xf numFmtId="165" fontId="0" fillId="0" borderId="0" xfId="0" applyNumberFormat="1" applyAlignment="1">
      <alignment vertical="top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4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 vertical="center"/>
    </xf>
    <xf numFmtId="1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center"/>
    </xf>
    <xf numFmtId="1" fontId="7" fillId="0" borderId="0" xfId="1" applyNumberFormat="1" applyFont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horizontal="left" vertical="top"/>
    </xf>
    <xf numFmtId="1" fontId="5" fillId="0" borderId="1" xfId="1" applyNumberFormat="1" applyFont="1" applyBorder="1" applyAlignment="1">
      <alignment horizontal="left" vertical="top" wrapText="1"/>
    </xf>
  </cellXfs>
  <cellStyles count="4">
    <cellStyle name="Normal" xfId="0" builtinId="0"/>
    <cellStyle name="Normal 2" xfId="1" xr:uid="{46C14D52-9177-436C-B8B2-6F3819A54D21}"/>
    <cellStyle name="Normal 3" xfId="2" xr:uid="{AC5EDC41-C563-492E-BA2B-C7335761D0C0}"/>
    <cellStyle name="Normal 5" xfId="3" xr:uid="{4E49C61C-BEDD-40C6-8B2F-49002AA1A22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.mehta/Downloads/Inventory%20Tracker%20(BEL%20%20)30%20Dec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L Data"/>
      <sheetName val="BEL-Sitewise"/>
      <sheetName val="BEL-Monthwise"/>
      <sheetName val="Expiry Risk-Monthwise"/>
      <sheetName val="Sitewise Summary"/>
      <sheetName val="BEL-Brandwise"/>
      <sheetName val="Trend-Table"/>
      <sheetName val="Trend-Graphs"/>
      <sheetName val="Category Guidelines"/>
      <sheetName val="Article Master"/>
      <sheetName val="ZDET-PRICE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40</v>
          </cell>
        </row>
        <row r="5">
          <cell r="A5" t="str">
            <v>01 Jan'25</v>
          </cell>
        </row>
      </sheetData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E510"/>
  <sheetViews>
    <sheetView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14" sqref="A14"/>
    </sheetView>
  </sheetViews>
  <sheetFormatPr defaultRowHeight="15" x14ac:dyDescent="0.25"/>
  <cols>
    <col min="1" max="1" width="39.5703125" customWidth="1"/>
    <col min="2" max="2" width="22.28515625" customWidth="1"/>
    <col min="3" max="3" width="28.42578125" bestFit="1" customWidth="1"/>
    <col min="4" max="4" width="10.140625" bestFit="1" customWidth="1"/>
    <col min="6" max="6" width="37.42578125" bestFit="1" customWidth="1"/>
  </cols>
  <sheetData>
    <row r="1" spans="1:2" x14ac:dyDescent="0.25">
      <c r="A1" s="23" t="s">
        <v>728</v>
      </c>
      <c r="B1" s="1"/>
    </row>
    <row r="2" spans="1:2" x14ac:dyDescent="0.25">
      <c r="A2" s="2" t="s">
        <v>727</v>
      </c>
      <c r="B2" s="2" t="s">
        <v>0</v>
      </c>
    </row>
    <row r="3" spans="1:2" x14ac:dyDescent="0.25">
      <c r="A3" s="24"/>
      <c r="B3" s="7" t="str">
        <f>IFERROR(VLOOKUP(A3,'ZDET-PRICE'!Z:AE,6,0),"")</f>
        <v/>
      </c>
    </row>
    <row r="4" spans="1:2" x14ac:dyDescent="0.25">
      <c r="A4" s="31"/>
      <c r="B4" s="7" t="str">
        <f>IFERROR(VLOOKUP(A4,'ZDET-PRICE'!Z:AE,6,0),"")</f>
        <v/>
      </c>
    </row>
    <row r="5" spans="1:2" x14ac:dyDescent="0.25">
      <c r="A5" s="31"/>
      <c r="B5" s="7" t="str">
        <f>IFERROR(VLOOKUP(A5,'ZDET-PRICE'!Z:AE,6,0),"")</f>
        <v/>
      </c>
    </row>
    <row r="6" spans="1:2" x14ac:dyDescent="0.25">
      <c r="A6" s="31"/>
      <c r="B6" s="7" t="str">
        <f>IFERROR(VLOOKUP(A6,'ZDET-PRICE'!Z:AE,6,0),"")</f>
        <v/>
      </c>
    </row>
    <row r="7" spans="1:2" x14ac:dyDescent="0.25">
      <c r="A7" s="31"/>
      <c r="B7" s="7" t="str">
        <f>IFERROR(VLOOKUP(A7,'ZDET-PRICE'!Z:AE,6,0),"")</f>
        <v/>
      </c>
    </row>
    <row r="8" spans="1:2" x14ac:dyDescent="0.25">
      <c r="A8" s="31"/>
      <c r="B8" s="7" t="str">
        <f>IFERROR(VLOOKUP(A8,'ZDET-PRICE'!Z:AE,6,0),"")</f>
        <v/>
      </c>
    </row>
    <row r="9" spans="1:2" x14ac:dyDescent="0.25">
      <c r="A9" s="31"/>
      <c r="B9" s="7" t="str">
        <f>IFERROR(VLOOKUP(A9,'ZDET-PRICE'!Z:AE,6,0),"")</f>
        <v/>
      </c>
    </row>
    <row r="10" spans="1:2" x14ac:dyDescent="0.25">
      <c r="A10" s="31"/>
      <c r="B10" s="7" t="str">
        <f>IFERROR(VLOOKUP(A10,'ZDET-PRICE'!Z:AE,6,0),"")</f>
        <v/>
      </c>
    </row>
    <row r="11" spans="1:2" x14ac:dyDescent="0.25">
      <c r="A11" s="31"/>
      <c r="B11" s="7" t="str">
        <f>IFERROR(VLOOKUP(A11,'ZDET-PRICE'!Z:AE,6,0),"")</f>
        <v/>
      </c>
    </row>
    <row r="12" spans="1:2" x14ac:dyDescent="0.25">
      <c r="A12" s="31"/>
      <c r="B12" s="7" t="str">
        <f>IFERROR(VLOOKUP(A12,'ZDET-PRICE'!Z:AE,6,0),"")</f>
        <v/>
      </c>
    </row>
    <row r="13" spans="1:2" x14ac:dyDescent="0.25">
      <c r="A13" s="31"/>
      <c r="B13" s="7" t="str">
        <f>IFERROR(VLOOKUP(A13,'ZDET-PRICE'!Z:AE,6,0),"")</f>
        <v/>
      </c>
    </row>
    <row r="14" spans="1:2" x14ac:dyDescent="0.25">
      <c r="A14" s="31"/>
      <c r="B14" s="7" t="str">
        <f>IFERROR(VLOOKUP(A14,'ZDET-PRICE'!Z:AE,6,0),"")</f>
        <v/>
      </c>
    </row>
    <row r="15" spans="1:2" x14ac:dyDescent="0.25">
      <c r="A15" s="31"/>
      <c r="B15" s="7" t="str">
        <f>IFERROR(VLOOKUP(A15,'ZDET-PRICE'!Z:AE,6,0),"")</f>
        <v/>
      </c>
    </row>
    <row r="16" spans="1:2" x14ac:dyDescent="0.25">
      <c r="A16" s="31"/>
      <c r="B16" s="7" t="str">
        <f>IFERROR(VLOOKUP(A16,'ZDET-PRICE'!Z:AE,6,0),"")</f>
        <v/>
      </c>
    </row>
    <row r="17" spans="1:551" x14ac:dyDescent="0.25">
      <c r="A17" s="31"/>
      <c r="B17" s="7" t="str">
        <f>IFERROR(VLOOKUP(A17,'ZDET-PRICE'!Z:AE,6,0),"")</f>
        <v/>
      </c>
    </row>
    <row r="18" spans="1:551" x14ac:dyDescent="0.25">
      <c r="A18" s="31"/>
      <c r="B18" s="7" t="str">
        <f>IFERROR(VLOOKUP(A18,'ZDET-PRICE'!Z:AE,6,0),"")</f>
        <v/>
      </c>
    </row>
    <row r="19" spans="1:551" x14ac:dyDescent="0.25">
      <c r="A19" s="31"/>
      <c r="B19" s="7" t="str">
        <f>IFERROR(VLOOKUP(A19,'ZDET-PRICE'!Z:AE,6,0),"")</f>
        <v/>
      </c>
    </row>
    <row r="20" spans="1:551" x14ac:dyDescent="0.25">
      <c r="A20" s="31"/>
      <c r="B20" s="7" t="str">
        <f>IFERROR(VLOOKUP(A20,'ZDET-PRICE'!Z:AE,6,0),"")</f>
        <v/>
      </c>
    </row>
    <row r="21" spans="1:551" x14ac:dyDescent="0.25">
      <c r="A21" s="31"/>
      <c r="B21" s="7" t="str">
        <f>IFERROR(VLOOKUP(A21,'ZDET-PRICE'!Z:AE,6,0),"")</f>
        <v/>
      </c>
    </row>
    <row r="22" spans="1:551" x14ac:dyDescent="0.25">
      <c r="A22" s="31"/>
      <c r="B22" s="7" t="str">
        <f>IFERROR(VLOOKUP(A22,'ZDET-PRICE'!Z:AE,6,0),"")</f>
        <v/>
      </c>
    </row>
    <row r="23" spans="1:551" x14ac:dyDescent="0.25">
      <c r="A23" s="31"/>
      <c r="B23" s="7" t="str">
        <f>IFERROR(VLOOKUP(A23,'ZDET-PRICE'!Z:AE,6,0),"")</f>
        <v/>
      </c>
    </row>
    <row r="24" spans="1:551" x14ac:dyDescent="0.25">
      <c r="A24" s="31"/>
      <c r="B24" s="7" t="str">
        <f>IFERROR(VLOOKUP(A24,'ZDET-PRICE'!Z:AE,6,0),"")</f>
        <v/>
      </c>
    </row>
    <row r="25" spans="1:551" s="14" customFormat="1" x14ac:dyDescent="0.25">
      <c r="A25" s="31"/>
      <c r="B25" s="7" t="str">
        <f>IFERROR(VLOOKUP(A25,'ZDET-PRICE'!Z:AE,6,0),"")</f>
        <v/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</row>
    <row r="26" spans="1:551" x14ac:dyDescent="0.25">
      <c r="A26" s="31"/>
      <c r="B26" s="7" t="str">
        <f>IFERROR(VLOOKUP(A26,'ZDET-PRICE'!Z:AE,6,0),"")</f>
        <v/>
      </c>
    </row>
    <row r="27" spans="1:551" x14ac:dyDescent="0.25">
      <c r="A27" s="31"/>
      <c r="B27" s="7" t="str">
        <f>IFERROR(VLOOKUP(A27,'ZDET-PRICE'!Z:AE,6,0),"")</f>
        <v/>
      </c>
    </row>
    <row r="28" spans="1:551" x14ac:dyDescent="0.25">
      <c r="A28" s="31"/>
      <c r="B28" s="7" t="str">
        <f>IFERROR(VLOOKUP(A28,'ZDET-PRICE'!Z:AE,6,0),"")</f>
        <v/>
      </c>
    </row>
    <row r="29" spans="1:551" x14ac:dyDescent="0.25">
      <c r="A29" s="31"/>
      <c r="B29" s="7" t="str">
        <f>IFERROR(VLOOKUP(A29,'ZDET-PRICE'!Z:AE,6,0),"")</f>
        <v/>
      </c>
    </row>
    <row r="30" spans="1:551" x14ac:dyDescent="0.25">
      <c r="A30" s="31"/>
      <c r="B30" s="7" t="str">
        <f>IFERROR(VLOOKUP(A30,'ZDET-PRICE'!Z:AE,6,0),"")</f>
        <v/>
      </c>
    </row>
    <row r="31" spans="1:551" x14ac:dyDescent="0.25">
      <c r="A31" s="31"/>
      <c r="B31" s="7" t="str">
        <f>IFERROR(VLOOKUP(A31,'ZDET-PRICE'!Z:AE,6,0),"")</f>
        <v/>
      </c>
    </row>
    <row r="32" spans="1:551" x14ac:dyDescent="0.25">
      <c r="A32" s="31"/>
      <c r="B32" s="7" t="str">
        <f>IFERROR(VLOOKUP(A32,'ZDET-PRICE'!Z:AE,6,0),"")</f>
        <v/>
      </c>
    </row>
    <row r="33" spans="1:3" x14ac:dyDescent="0.25">
      <c r="A33" s="31"/>
      <c r="B33" s="7" t="str">
        <f>IFERROR(VLOOKUP(A33,'ZDET-PRICE'!Z:AE,6,0),"")</f>
        <v/>
      </c>
    </row>
    <row r="34" spans="1:3" x14ac:dyDescent="0.25">
      <c r="A34" s="31"/>
      <c r="B34" s="7" t="str">
        <f>IFERROR(VLOOKUP(A34,'ZDET-PRICE'!Z:AE,6,0),"")</f>
        <v/>
      </c>
    </row>
    <row r="35" spans="1:3" x14ac:dyDescent="0.25">
      <c r="A35" s="31"/>
      <c r="B35" s="7" t="str">
        <f>IFERROR(VLOOKUP(A35,'ZDET-PRICE'!Z:AE,6,0),"")</f>
        <v/>
      </c>
    </row>
    <row r="36" spans="1:3" x14ac:dyDescent="0.25">
      <c r="A36" s="31"/>
      <c r="B36" s="7" t="str">
        <f>IFERROR(VLOOKUP(A36,'ZDET-PRICE'!Z:AE,6,0),"")</f>
        <v/>
      </c>
    </row>
    <row r="37" spans="1:3" x14ac:dyDescent="0.25">
      <c r="A37" s="31"/>
      <c r="B37" s="7" t="str">
        <f>IFERROR(VLOOKUP(A37,'ZDET-PRICE'!Z:AE,6,0),"")</f>
        <v/>
      </c>
    </row>
    <row r="38" spans="1:3" x14ac:dyDescent="0.25">
      <c r="A38" s="31"/>
      <c r="B38" s="7" t="str">
        <f>IFERROR(VLOOKUP(A38,'ZDET-PRICE'!Z:AE,6,0),"")</f>
        <v/>
      </c>
    </row>
    <row r="39" spans="1:3" x14ac:dyDescent="0.25">
      <c r="A39" s="33">
        <v>24000104582</v>
      </c>
      <c r="B39" s="7">
        <f>IFERROR(VLOOKUP(A39,'ZDET-PRICE'!Z:AE,6,0),"")</f>
        <v>91599</v>
      </c>
      <c r="C39">
        <v>9566686862</v>
      </c>
    </row>
    <row r="40" spans="1:3" x14ac:dyDescent="0.25">
      <c r="A40" s="33">
        <v>8720865190587</v>
      </c>
      <c r="B40" s="7">
        <f>IFERROR(VLOOKUP(A40,'ZDET-PRICE'!Z:AE,6,0),"")</f>
        <v>372605</v>
      </c>
    </row>
    <row r="41" spans="1:3" x14ac:dyDescent="0.25">
      <c r="A41" s="33">
        <v>24000238171</v>
      </c>
      <c r="B41" s="7">
        <f>IFERROR(VLOOKUP(A41,'ZDET-PRICE'!Z:AE,6,0),"")</f>
        <v>165099</v>
      </c>
    </row>
    <row r="42" spans="1:3" x14ac:dyDescent="0.25">
      <c r="A42" s="33">
        <v>24000025528</v>
      </c>
      <c r="B42" s="7">
        <f>IFERROR(VLOOKUP(A42,'ZDET-PRICE'!Z:AE,6,0),"")</f>
        <v>91552</v>
      </c>
    </row>
    <row r="43" spans="1:3" x14ac:dyDescent="0.25">
      <c r="A43" s="33">
        <v>24000025993</v>
      </c>
      <c r="B43" s="7">
        <f>IFERROR(VLOOKUP(A43,'ZDET-PRICE'!Z:AE,6,0),"")</f>
        <v>91555</v>
      </c>
    </row>
    <row r="44" spans="1:3" x14ac:dyDescent="0.25">
      <c r="A44" s="33">
        <v>6291106770421</v>
      </c>
      <c r="B44" s="7" t="str">
        <f>IFERROR(VLOOKUP(A44,'ZDET-PRICE'!Z:AE,6,0),"")</f>
        <v/>
      </c>
    </row>
    <row r="45" spans="1:3" x14ac:dyDescent="0.25">
      <c r="A45" s="33">
        <v>1800000016020</v>
      </c>
      <c r="B45" s="7">
        <f>IFERROR(VLOOKUP(A45,'ZDET-PRICE'!Z:AE,6,0),"")</f>
        <v>356748</v>
      </c>
    </row>
    <row r="46" spans="1:3" x14ac:dyDescent="0.25">
      <c r="A46" s="33">
        <v>6291106770322</v>
      </c>
      <c r="B46" s="7" t="str">
        <f>IFERROR(VLOOKUP(A46,'ZDET-PRICE'!Z:AE,6,0),"")</f>
        <v/>
      </c>
      <c r="C46">
        <v>12</v>
      </c>
    </row>
    <row r="47" spans="1:3" x14ac:dyDescent="0.25">
      <c r="A47" s="33">
        <v>8682790000419</v>
      </c>
      <c r="B47" s="7">
        <f>IFERROR(VLOOKUP(A47,'ZDET-PRICE'!Z:AE,6,0),"")</f>
        <v>412004</v>
      </c>
      <c r="C47">
        <v>12</v>
      </c>
    </row>
    <row r="48" spans="1:3" x14ac:dyDescent="0.25">
      <c r="A48" s="33">
        <v>6921211117094</v>
      </c>
      <c r="B48" s="7">
        <f>IFERROR(VLOOKUP(A48,'ZDET-PRICE'!Z:AE,6,0),"")</f>
        <v>371251</v>
      </c>
      <c r="C48">
        <v>12</v>
      </c>
    </row>
    <row r="49" spans="1:5" x14ac:dyDescent="0.25">
      <c r="A49" s="33">
        <v>8935001725572</v>
      </c>
      <c r="B49" s="7">
        <f>IFERROR(VLOOKUP(A49,'ZDET-PRICE'!Z:AE,6,0),"")</f>
        <v>327491</v>
      </c>
      <c r="C49">
        <v>24</v>
      </c>
    </row>
    <row r="50" spans="1:5" x14ac:dyDescent="0.25">
      <c r="A50" s="33">
        <v>8935001729570</v>
      </c>
      <c r="B50" s="7">
        <f>IFERROR(VLOOKUP(A50,'ZDET-PRICE'!Z:AE,6,0),"")</f>
        <v>412010</v>
      </c>
      <c r="C50">
        <v>24</v>
      </c>
    </row>
    <row r="51" spans="1:5" x14ac:dyDescent="0.25">
      <c r="A51" s="33">
        <v>8935001727309</v>
      </c>
      <c r="B51" s="7">
        <f>IFERROR(VLOOKUP(A51,'ZDET-PRICE'!Z:AE,6,0),"")</f>
        <v>384691</v>
      </c>
      <c r="C51">
        <v>24</v>
      </c>
    </row>
    <row r="52" spans="1:5" x14ac:dyDescent="0.25">
      <c r="A52" s="33">
        <v>8935001729068</v>
      </c>
      <c r="B52" s="7">
        <f>IFERROR(VLOOKUP(A52,'ZDET-PRICE'!Z:AE,6,0),"")</f>
        <v>412009</v>
      </c>
      <c r="C52">
        <v>24</v>
      </c>
    </row>
    <row r="53" spans="1:5" x14ac:dyDescent="0.25">
      <c r="A53" s="33">
        <v>8935001727293</v>
      </c>
      <c r="B53" s="7">
        <f>IFERROR(VLOOKUP(A53,'ZDET-PRICE'!Z:AE,6,0),"")</f>
        <v>384692</v>
      </c>
      <c r="C53">
        <v>12</v>
      </c>
    </row>
    <row r="54" spans="1:5" x14ac:dyDescent="0.25">
      <c r="A54" s="33">
        <v>8990800007793</v>
      </c>
      <c r="B54" s="7">
        <f>IFERROR(VLOOKUP(A54,'ZDET-PRICE'!Z:AE,6,0),"")</f>
        <v>176176</v>
      </c>
      <c r="C54">
        <v>6</v>
      </c>
      <c r="E54">
        <f>283001-43680-5448</f>
        <v>233873</v>
      </c>
    </row>
    <row r="55" spans="1:5" x14ac:dyDescent="0.25">
      <c r="A55" s="33">
        <v>6291106770421</v>
      </c>
      <c r="B55" s="7" t="str">
        <f>IFERROR(VLOOKUP(A55,'ZDET-PRICE'!Z:AE,6,0),"")</f>
        <v/>
      </c>
      <c r="C55">
        <v>24</v>
      </c>
    </row>
    <row r="56" spans="1:5" x14ac:dyDescent="0.25">
      <c r="A56" s="33">
        <v>8935001726289</v>
      </c>
      <c r="B56" s="7">
        <f>IFERROR(VLOOKUP(A56,'ZDET-PRICE'!Z:AE,6,0),"")</f>
        <v>378596</v>
      </c>
    </row>
    <row r="57" spans="1:5" x14ac:dyDescent="0.25">
      <c r="A57" s="33">
        <v>80756590</v>
      </c>
      <c r="B57" s="7">
        <f>IFERROR(VLOOKUP(A57,'ZDET-PRICE'!Z:AE,6,0),"")</f>
        <v>138940</v>
      </c>
    </row>
    <row r="58" spans="1:5" x14ac:dyDescent="0.25">
      <c r="A58" s="33">
        <v>8935001724513</v>
      </c>
      <c r="B58" s="7">
        <f>IFERROR(VLOOKUP(A58,'ZDET-PRICE'!Z:AE,6,0),"")</f>
        <v>271359</v>
      </c>
    </row>
    <row r="59" spans="1:5" x14ac:dyDescent="0.25">
      <c r="A59" s="33">
        <v>6921211117025</v>
      </c>
      <c r="B59" s="7">
        <f>IFERROR(VLOOKUP(A59,'ZDET-PRICE'!Z:AE,6,0),"")</f>
        <v>365133</v>
      </c>
    </row>
    <row r="60" spans="1:5" x14ac:dyDescent="0.25">
      <c r="A60" s="33">
        <v>8935001722533</v>
      </c>
      <c r="B60" s="7">
        <f>IFERROR(VLOOKUP(A60,'ZDET-PRICE'!Z:AE,6,0),"")</f>
        <v>184051</v>
      </c>
    </row>
    <row r="61" spans="1:5" x14ac:dyDescent="0.25">
      <c r="A61" s="33">
        <v>8935001722519</v>
      </c>
      <c r="B61" s="7">
        <f>IFERROR(VLOOKUP(A61,'ZDET-PRICE'!Z:AE,6,0),"")</f>
        <v>183930</v>
      </c>
    </row>
    <row r="62" spans="1:5" x14ac:dyDescent="0.25">
      <c r="A62" s="33">
        <v>84196033</v>
      </c>
      <c r="B62" s="7">
        <f>IFERROR(VLOOKUP(A62,'ZDET-PRICE'!Z:AE,6,0),"")</f>
        <v>176191</v>
      </c>
    </row>
    <row r="63" spans="1:5" x14ac:dyDescent="0.25">
      <c r="A63" s="33">
        <v>84155634</v>
      </c>
      <c r="B63" s="7">
        <f>IFERROR(VLOOKUP(A63,'ZDET-PRICE'!Z:AE,6,0),"")</f>
        <v>176188</v>
      </c>
    </row>
    <row r="64" spans="1:5" x14ac:dyDescent="0.25">
      <c r="A64" s="24">
        <v>3073781049831</v>
      </c>
      <c r="B64" s="7">
        <f>IFERROR(VLOOKUP(A64,'ZDET-PRICE'!Z:AE,6,0),"")</f>
        <v>395985</v>
      </c>
    </row>
    <row r="65" spans="1:2" x14ac:dyDescent="0.25">
      <c r="A65" s="24">
        <v>3073781053555</v>
      </c>
      <c r="B65" s="7">
        <f>IFERROR(VLOOKUP(A65,'ZDET-PRICE'!Z:AE,6,0),"")</f>
        <v>195540</v>
      </c>
    </row>
    <row r="66" spans="1:2" x14ac:dyDescent="0.25">
      <c r="A66" s="24">
        <v>3073781053586</v>
      </c>
      <c r="B66" s="7">
        <f>IFERROR(VLOOKUP(A66,'ZDET-PRICE'!Z:AE,6,0),"")</f>
        <v>94715</v>
      </c>
    </row>
    <row r="67" spans="1:2" x14ac:dyDescent="0.25">
      <c r="A67" s="24">
        <v>3073781058796</v>
      </c>
      <c r="B67" s="7">
        <f>IFERROR(VLOOKUP(A67,'ZDET-PRICE'!Z:AE,6,0),"")</f>
        <v>293031</v>
      </c>
    </row>
    <row r="68" spans="1:2" x14ac:dyDescent="0.25">
      <c r="A68" s="24">
        <v>3073781061857</v>
      </c>
      <c r="B68" s="7">
        <f>IFERROR(VLOOKUP(A68,'ZDET-PRICE'!Z:AE,6,0),"")</f>
        <v>202753</v>
      </c>
    </row>
    <row r="69" spans="1:2" x14ac:dyDescent="0.25">
      <c r="A69" s="24">
        <v>3073781062762</v>
      </c>
      <c r="B69" s="7">
        <f>IFERROR(VLOOKUP(A69,'ZDET-PRICE'!Z:AE,6,0),"")</f>
        <v>293035</v>
      </c>
    </row>
    <row r="70" spans="1:2" x14ac:dyDescent="0.25">
      <c r="A70" s="24">
        <v>3073781134193</v>
      </c>
      <c r="B70" s="7">
        <f>IFERROR(VLOOKUP(A70,'ZDET-PRICE'!Z:AE,6,0),"")</f>
        <v>293732</v>
      </c>
    </row>
    <row r="71" spans="1:2" x14ac:dyDescent="0.25">
      <c r="A71" s="24">
        <v>3073781141368</v>
      </c>
      <c r="B71" s="7">
        <f>IFERROR(VLOOKUP(A71,'ZDET-PRICE'!Z:AE,6,0),"")</f>
        <v>312610</v>
      </c>
    </row>
    <row r="72" spans="1:2" x14ac:dyDescent="0.25">
      <c r="A72" s="24">
        <v>3073781141382</v>
      </c>
      <c r="B72" s="7">
        <f>IFERROR(VLOOKUP(A72,'ZDET-PRICE'!Z:AE,6,0),"")</f>
        <v>312609</v>
      </c>
    </row>
    <row r="73" spans="1:2" x14ac:dyDescent="0.25">
      <c r="A73" s="24">
        <v>3073781141429</v>
      </c>
      <c r="B73" s="7">
        <f>IFERROR(VLOOKUP(A73,'ZDET-PRICE'!Z:AE,6,0),"")</f>
        <v>312611</v>
      </c>
    </row>
    <row r="74" spans="1:2" x14ac:dyDescent="0.25">
      <c r="A74" s="24">
        <v>3073781141443</v>
      </c>
      <c r="B74" s="7">
        <f>IFERROR(VLOOKUP(A74,'ZDET-PRICE'!Z:AE,6,0),"")</f>
        <v>312612</v>
      </c>
    </row>
    <row r="75" spans="1:2" x14ac:dyDescent="0.25">
      <c r="A75" s="24">
        <v>3073781193688</v>
      </c>
      <c r="B75" s="7">
        <f>IFERROR(VLOOKUP(A75,'ZDET-PRICE'!Z:AE,6,0),"")</f>
        <v>400933</v>
      </c>
    </row>
    <row r="76" spans="1:2" x14ac:dyDescent="0.25">
      <c r="A76" s="24">
        <v>3073781193701</v>
      </c>
      <c r="B76" s="7">
        <f>IFERROR(VLOOKUP(A76,'ZDET-PRICE'!Z:AE,6,0),"")</f>
        <v>400934</v>
      </c>
    </row>
    <row r="77" spans="1:2" x14ac:dyDescent="0.25">
      <c r="A77" s="24">
        <v>3073781194753</v>
      </c>
      <c r="B77" s="7">
        <f>IFERROR(VLOOKUP(A77,'ZDET-PRICE'!Z:AE,6,0),"")</f>
        <v>399394</v>
      </c>
    </row>
    <row r="78" spans="1:2" x14ac:dyDescent="0.25">
      <c r="A78" s="24" t="s">
        <v>732</v>
      </c>
      <c r="B78" s="7" t="str">
        <f>IFERROR(VLOOKUP(A78,'ZDET-PRICE'!Z:AE,6,0),"")</f>
        <v/>
      </c>
    </row>
    <row r="79" spans="1:2" x14ac:dyDescent="0.25">
      <c r="A79" s="24" t="s">
        <v>732</v>
      </c>
      <c r="B79" s="7" t="str">
        <f>IFERROR(VLOOKUP(A79,'ZDET-PRICE'!Z:AE,6,0),"")</f>
        <v/>
      </c>
    </row>
    <row r="80" spans="1:2" x14ac:dyDescent="0.25">
      <c r="A80" s="24" t="s">
        <v>732</v>
      </c>
      <c r="B80" s="7" t="str">
        <f>IFERROR(VLOOKUP(A80,'ZDET-PRICE'!Z:AE,6,0),"")</f>
        <v/>
      </c>
    </row>
    <row r="81" spans="1:2" x14ac:dyDescent="0.25">
      <c r="A81" s="32">
        <v>8990800023939</v>
      </c>
      <c r="B81" s="7">
        <f>IFERROR(VLOOKUP(A81,'ZDET-PRICE'!Z:AE,6,0),"")</f>
        <v>352470</v>
      </c>
    </row>
    <row r="82" spans="1:2" x14ac:dyDescent="0.25">
      <c r="A82" s="32">
        <v>8935001726470</v>
      </c>
      <c r="B82" s="7">
        <f>IFERROR(VLOOKUP(A82,'ZDET-PRICE'!Z:AE,6,0),"")</f>
        <v>345781</v>
      </c>
    </row>
    <row r="83" spans="1:2" x14ac:dyDescent="0.25">
      <c r="A83" s="32">
        <v>8935001726487</v>
      </c>
      <c r="B83" s="7">
        <f>IFERROR(VLOOKUP(A83,'ZDET-PRICE'!Z:AE,6,0),"")</f>
        <v>345782</v>
      </c>
    </row>
    <row r="84" spans="1:2" x14ac:dyDescent="0.25">
      <c r="A84" s="32">
        <v>8901063165359</v>
      </c>
      <c r="B84" s="7">
        <f>IFERROR(VLOOKUP(A84,'ZDET-PRICE'!Z:AE,6,0),"")</f>
        <v>356736</v>
      </c>
    </row>
    <row r="85" spans="1:2" x14ac:dyDescent="0.25">
      <c r="A85" s="32">
        <v>6291007910278</v>
      </c>
      <c r="B85" s="7">
        <f>IFERROR(VLOOKUP(A85,'ZDET-PRICE'!Z:AE,6,0),"")</f>
        <v>365221</v>
      </c>
    </row>
    <row r="86" spans="1:2" x14ac:dyDescent="0.25">
      <c r="A86" s="32">
        <v>8901063166783</v>
      </c>
      <c r="B86" s="7">
        <f>IFERROR(VLOOKUP(A86,'ZDET-PRICE'!Z:AE,6,0),"")</f>
        <v>375708</v>
      </c>
    </row>
    <row r="87" spans="1:2" x14ac:dyDescent="0.25">
      <c r="A87" s="32">
        <v>8992741994088</v>
      </c>
      <c r="B87" s="7">
        <f>IFERROR(VLOOKUP(A87,'ZDET-PRICE'!Z:AE,6,0),"")</f>
        <v>329173</v>
      </c>
    </row>
    <row r="88" spans="1:2" x14ac:dyDescent="0.25">
      <c r="A88" s="32">
        <v>8410031977240</v>
      </c>
      <c r="B88" s="7">
        <f>IFERROR(VLOOKUP(A88,'ZDET-PRICE'!Z:AE,6,0),"")</f>
        <v>374046</v>
      </c>
    </row>
    <row r="89" spans="1:2" x14ac:dyDescent="0.25">
      <c r="A89" s="32">
        <v>8992741993340</v>
      </c>
      <c r="B89" s="7">
        <f>IFERROR(VLOOKUP(A89,'ZDET-PRICE'!Z:AE,6,0),"")</f>
        <v>329171</v>
      </c>
    </row>
    <row r="90" spans="1:2" x14ac:dyDescent="0.25">
      <c r="A90">
        <v>3073780984492</v>
      </c>
      <c r="B90" s="7">
        <f>IFERROR(VLOOKUP(A90,'ZDET-PRICE'!Z:AE,6,0),"")</f>
        <v>215668</v>
      </c>
    </row>
    <row r="91" spans="1:2" x14ac:dyDescent="0.25">
      <c r="A91" s="32">
        <v>8935001727293</v>
      </c>
      <c r="B91" s="7">
        <f>IFERROR(VLOOKUP(A91,'ZDET-PRICE'!Z:AE,6,0),"")</f>
        <v>384692</v>
      </c>
    </row>
    <row r="92" spans="1:2" x14ac:dyDescent="0.25">
      <c r="A92" s="32">
        <v>8723400827771</v>
      </c>
      <c r="B92" s="7">
        <f>IFERROR(VLOOKUP(A92,'ZDET-PRICE'!Z:AE,6,0),"")</f>
        <v>387686</v>
      </c>
    </row>
    <row r="93" spans="1:2" x14ac:dyDescent="0.25">
      <c r="A93" s="32">
        <v>1800000023509</v>
      </c>
      <c r="B93" s="7">
        <f>IFERROR(VLOOKUP(A93,'ZDET-PRICE'!Z:AE,6,0),"")</f>
        <v>399396</v>
      </c>
    </row>
    <row r="94" spans="1:2" x14ac:dyDescent="0.25">
      <c r="A94" s="32">
        <v>8935001729068</v>
      </c>
      <c r="B94" s="7">
        <f>IFERROR(VLOOKUP(A94,'ZDET-PRICE'!Z:AE,6,0),"")</f>
        <v>412009</v>
      </c>
    </row>
    <row r="95" spans="1:2" x14ac:dyDescent="0.25">
      <c r="A95" s="32">
        <v>8901393027099</v>
      </c>
      <c r="B95" s="7">
        <f>IFERROR(VLOOKUP(A95,'ZDET-PRICE'!Z:AE,6,0),"")</f>
        <v>410215</v>
      </c>
    </row>
    <row r="96" spans="1:2" x14ac:dyDescent="0.25">
      <c r="A96" s="32">
        <v>8935001729570</v>
      </c>
      <c r="B96" s="7">
        <f>IFERROR(VLOOKUP(A96,'ZDET-PRICE'!Z:AE,6,0),"")</f>
        <v>412010</v>
      </c>
    </row>
    <row r="97" spans="1:2" x14ac:dyDescent="0.25">
      <c r="A97" s="32">
        <v>8682790000440</v>
      </c>
      <c r="B97" s="7">
        <f>IFERROR(VLOOKUP(A97,'ZDET-PRICE'!Z:AE,6,0),"")</f>
        <v>412003</v>
      </c>
    </row>
    <row r="98" spans="1:2" x14ac:dyDescent="0.25">
      <c r="A98" s="32">
        <v>8682790000419</v>
      </c>
      <c r="B98" s="7">
        <f>IFERROR(VLOOKUP(A98,'ZDET-PRICE'!Z:AE,6,0),"")</f>
        <v>412004</v>
      </c>
    </row>
    <row r="99" spans="1:2" x14ac:dyDescent="0.25">
      <c r="A99">
        <v>3073780984492</v>
      </c>
      <c r="B99" s="7">
        <f>IFERROR(VLOOKUP(A99,'ZDET-PRICE'!Z:AE,6,0),"")</f>
        <v>215668</v>
      </c>
    </row>
    <row r="100" spans="1:2" x14ac:dyDescent="0.25">
      <c r="A100">
        <v>3073780984515</v>
      </c>
      <c r="B100" s="7" t="str">
        <f>IFERROR(VLOOKUP(A100,'ZDET-PRICE'!Z:AE,6,0),"")</f>
        <v/>
      </c>
    </row>
    <row r="101" spans="1:2" x14ac:dyDescent="0.25">
      <c r="A101" s="24">
        <v>24000175063</v>
      </c>
      <c r="B101" s="7" t="str">
        <f>IFERROR(VLOOKUP(A101,'ZDET-PRICE'!Z:AE,6,0),"")</f>
        <v/>
      </c>
    </row>
    <row r="102" spans="1:2" x14ac:dyDescent="0.25">
      <c r="A102" s="24">
        <v>24000104582</v>
      </c>
      <c r="B102" s="7">
        <f>IFERROR(VLOOKUP(A102,'ZDET-PRICE'!Z:AE,6,0),"")</f>
        <v>91599</v>
      </c>
    </row>
    <row r="103" spans="1:2" x14ac:dyDescent="0.25">
      <c r="A103" s="24">
        <v>24000025993</v>
      </c>
      <c r="B103" s="7">
        <f>IFERROR(VLOOKUP(A103,'ZDET-PRICE'!Z:AE,6,0),"")</f>
        <v>91555</v>
      </c>
    </row>
    <row r="104" spans="1:2" x14ac:dyDescent="0.25">
      <c r="A104" s="24">
        <v>24000003649</v>
      </c>
      <c r="B104" s="7">
        <f>IFERROR(VLOOKUP(A104,'ZDET-PRICE'!Z:AE,6,0),"")</f>
        <v>91558</v>
      </c>
    </row>
    <row r="105" spans="1:2" x14ac:dyDescent="0.25">
      <c r="A105" s="24">
        <v>8901063151154</v>
      </c>
      <c r="B105" s="7">
        <f>IFERROR(VLOOKUP(A105,'ZDET-PRICE'!Z:AE,6,0),"")</f>
        <v>335499</v>
      </c>
    </row>
    <row r="106" spans="1:2" x14ac:dyDescent="0.25">
      <c r="A106" s="24">
        <v>8901063151048</v>
      </c>
      <c r="B106" s="7">
        <f>IFERROR(VLOOKUP(A106,'ZDET-PRICE'!Z:AE,6,0),"")</f>
        <v>164547</v>
      </c>
    </row>
    <row r="107" spans="1:2" x14ac:dyDescent="0.25">
      <c r="A107" s="24">
        <v>2010004222177</v>
      </c>
      <c r="B107" s="7" t="str">
        <f>IFERROR(VLOOKUP(A107,'ZDET-PRICE'!Z:AE,6,0),"")</f>
        <v/>
      </c>
    </row>
    <row r="108" spans="1:2" x14ac:dyDescent="0.25">
      <c r="A108" s="24">
        <v>8901063151062</v>
      </c>
      <c r="B108" s="7">
        <f>IFERROR(VLOOKUP(A108,'ZDET-PRICE'!Z:AE,6,0),"")</f>
        <v>164550</v>
      </c>
    </row>
    <row r="109" spans="1:2" x14ac:dyDescent="0.25">
      <c r="A109" s="24">
        <v>8901063151079</v>
      </c>
      <c r="B109" s="7">
        <f>IFERROR(VLOOKUP(A109,'ZDET-PRICE'!Z:AE,6,0),"")</f>
        <v>164549</v>
      </c>
    </row>
    <row r="110" spans="1:2" x14ac:dyDescent="0.25">
      <c r="A110" s="24">
        <v>80756590</v>
      </c>
      <c r="B110" s="7">
        <f>IFERROR(VLOOKUP(A110,'ZDET-PRICE'!Z:AE,6,0),"")</f>
        <v>138940</v>
      </c>
    </row>
    <row r="111" spans="1:2" x14ac:dyDescent="0.25">
      <c r="A111" s="24">
        <v>8935001706588</v>
      </c>
      <c r="B111" s="7">
        <f>IFERROR(VLOOKUP(A111,'ZDET-PRICE'!Z:AE,6,0),"")</f>
        <v>138937</v>
      </c>
    </row>
    <row r="112" spans="1:2" x14ac:dyDescent="0.25">
      <c r="A112" s="24">
        <v>8901063151208</v>
      </c>
      <c r="B112" s="7">
        <f>IFERROR(VLOOKUP(A112,'ZDET-PRICE'!Z:AE,6,0),"")</f>
        <v>164645</v>
      </c>
    </row>
    <row r="113" spans="1:2" x14ac:dyDescent="0.25">
      <c r="A113" s="24">
        <v>8901063151192</v>
      </c>
      <c r="B113" s="7">
        <f>IFERROR(VLOOKUP(A113,'ZDET-PRICE'!Z:AE,6,0),"")</f>
        <v>164646</v>
      </c>
    </row>
    <row r="114" spans="1:2" x14ac:dyDescent="0.25">
      <c r="A114" s="24">
        <v>24000238171</v>
      </c>
      <c r="B114" s="7">
        <f>IFERROR(VLOOKUP(A114,'ZDET-PRICE'!Z:AE,6,0),"")</f>
        <v>165099</v>
      </c>
    </row>
    <row r="115" spans="1:2" x14ac:dyDescent="0.25">
      <c r="A115" s="24">
        <v>24000238188</v>
      </c>
      <c r="B115" s="7">
        <f>IFERROR(VLOOKUP(A115,'ZDET-PRICE'!Z:AE,6,0),"")</f>
        <v>165100</v>
      </c>
    </row>
    <row r="116" spans="1:2" x14ac:dyDescent="0.25">
      <c r="A116" s="24">
        <v>24000238195</v>
      </c>
      <c r="B116" s="7" t="str">
        <f>IFERROR(VLOOKUP(A116,'ZDET-PRICE'!Z:AE,6,0),"")</f>
        <v/>
      </c>
    </row>
    <row r="117" spans="1:2" x14ac:dyDescent="0.25">
      <c r="A117" s="24">
        <v>6291007902372</v>
      </c>
      <c r="B117" s="7" t="str">
        <f>IFERROR(VLOOKUP(A117,'ZDET-PRICE'!Z:AE,6,0),"")</f>
        <v/>
      </c>
    </row>
    <row r="118" spans="1:2" x14ac:dyDescent="0.25">
      <c r="A118" s="24">
        <v>8990800001807</v>
      </c>
      <c r="B118" s="7">
        <f>IFERROR(VLOOKUP(A118,'ZDET-PRICE'!Z:AE,6,0),"")</f>
        <v>176174</v>
      </c>
    </row>
    <row r="119" spans="1:2" x14ac:dyDescent="0.25">
      <c r="A119" s="24">
        <v>6291007906097</v>
      </c>
      <c r="B119" s="7">
        <f>IFERROR(VLOOKUP(A119,'ZDET-PRICE'!Z:AE,6,0),"")</f>
        <v>346096</v>
      </c>
    </row>
    <row r="120" spans="1:2" x14ac:dyDescent="0.25">
      <c r="A120" s="24">
        <v>6291007905960</v>
      </c>
      <c r="B120" s="7">
        <f>IFERROR(VLOOKUP(A120,'ZDET-PRICE'!Z:AE,6,0),"")</f>
        <v>199740</v>
      </c>
    </row>
    <row r="121" spans="1:2" x14ac:dyDescent="0.25">
      <c r="A121" s="24">
        <v>6291007904550</v>
      </c>
      <c r="B121" s="7" t="str">
        <f>IFERROR(VLOOKUP(A121,'ZDET-PRICE'!Z:AE,6,0),"")</f>
        <v/>
      </c>
    </row>
    <row r="122" spans="1:2" x14ac:dyDescent="0.25">
      <c r="A122" s="24">
        <v>8711173007667</v>
      </c>
      <c r="B122" s="7" t="str">
        <f>IFERROR(VLOOKUP(A122,'ZDET-PRICE'!Z:AE,6,0),"")</f>
        <v/>
      </c>
    </row>
    <row r="123" spans="1:2" x14ac:dyDescent="0.25">
      <c r="A123" s="24">
        <v>8901063151635</v>
      </c>
      <c r="B123" s="7" t="str">
        <f>IFERROR(VLOOKUP(A123,'ZDET-PRICE'!Z:AE,6,0),"")</f>
        <v/>
      </c>
    </row>
    <row r="124" spans="1:2" x14ac:dyDescent="0.25">
      <c r="A124" s="24">
        <v>8901063165304</v>
      </c>
      <c r="B124" s="7" t="str">
        <f>IFERROR(VLOOKUP(A124,'ZDET-PRICE'!Z:AE,6,0),"")</f>
        <v/>
      </c>
    </row>
    <row r="125" spans="1:2" x14ac:dyDescent="0.25">
      <c r="A125" s="24">
        <v>8690504550631</v>
      </c>
      <c r="B125" s="7">
        <f>IFERROR(VLOOKUP(A125,'ZDET-PRICE'!Z:AE,6,0),"")</f>
        <v>164430</v>
      </c>
    </row>
    <row r="126" spans="1:2" x14ac:dyDescent="0.25">
      <c r="A126" s="24">
        <v>8901393020557</v>
      </c>
      <c r="B126" s="7">
        <f>IFERROR(VLOOKUP(A126,'ZDET-PRICE'!Z:AE,6,0),"")</f>
        <v>324336</v>
      </c>
    </row>
    <row r="127" spans="1:2" x14ac:dyDescent="0.25">
      <c r="A127" s="24">
        <v>6921211117094</v>
      </c>
      <c r="B127" s="7">
        <f>IFERROR(VLOOKUP(A127,'ZDET-PRICE'!Z:AE,6,0),"")</f>
        <v>371251</v>
      </c>
    </row>
    <row r="128" spans="1:2" x14ac:dyDescent="0.25">
      <c r="A128" s="24">
        <v>8901063151635</v>
      </c>
      <c r="B128" s="7" t="str">
        <f>IFERROR(VLOOKUP(A128,'ZDET-PRICE'!Z:AE,6,0),"")</f>
        <v/>
      </c>
    </row>
    <row r="129" spans="1:2" x14ac:dyDescent="0.25">
      <c r="A129" s="24">
        <v>8901063165304</v>
      </c>
      <c r="B129" s="7" t="str">
        <f>IFERROR(VLOOKUP(A129,'ZDET-PRICE'!Z:AE,6,0),"")</f>
        <v/>
      </c>
    </row>
    <row r="130" spans="1:2" s="14" customFormat="1" x14ac:dyDescent="0.25">
      <c r="A130" s="24">
        <v>8690504550631</v>
      </c>
      <c r="B130" s="7">
        <f>IFERROR(VLOOKUP(A130,'ZDET-PRICE'!Z:AE,6,0),"")</f>
        <v>164430</v>
      </c>
    </row>
    <row r="131" spans="1:2" x14ac:dyDescent="0.25">
      <c r="A131" s="24">
        <v>8901393020557</v>
      </c>
      <c r="B131" s="7">
        <f>IFERROR(VLOOKUP(A131,'ZDET-PRICE'!Z:AE,6,0),"")</f>
        <v>324336</v>
      </c>
    </row>
    <row r="132" spans="1:2" x14ac:dyDescent="0.25">
      <c r="A132" s="24">
        <v>8935001722519</v>
      </c>
      <c r="B132" s="7">
        <f>IFERROR(VLOOKUP(A132,'ZDET-PRICE'!Z:AE,6,0),"")</f>
        <v>183930</v>
      </c>
    </row>
    <row r="133" spans="1:2" x14ac:dyDescent="0.25">
      <c r="A133" s="10"/>
      <c r="B133" s="7" t="str">
        <f>IFERROR(VLOOKUP(A133,'ZDET-PRICE'!Z:AE,6,0),"")</f>
        <v/>
      </c>
    </row>
    <row r="134" spans="1:2" x14ac:dyDescent="0.25">
      <c r="A134" s="10"/>
      <c r="B134" s="7" t="str">
        <f>IFERROR(VLOOKUP(A134,'ZDET-PRICE'!Z:AE,6,0),"")</f>
        <v/>
      </c>
    </row>
    <row r="135" spans="1:2" x14ac:dyDescent="0.25">
      <c r="A135" s="10"/>
      <c r="B135" s="7" t="str">
        <f>IFERROR(VLOOKUP(A135,'ZDET-PRICE'!Z:AE,6,0),"")</f>
        <v/>
      </c>
    </row>
    <row r="136" spans="1:2" x14ac:dyDescent="0.25">
      <c r="A136" s="33">
        <v>6291106770421</v>
      </c>
      <c r="B136" s="7" t="str">
        <f>IFERROR(VLOOKUP(A136,'ZDET-PRICE'!Z:AE,6,0),"")</f>
        <v/>
      </c>
    </row>
    <row r="137" spans="1:2" x14ac:dyDescent="0.25">
      <c r="A137" s="33">
        <v>1800000016020</v>
      </c>
      <c r="B137" s="7">
        <f>IFERROR(VLOOKUP(A137,'ZDET-PRICE'!Z:AE,6,0),"")</f>
        <v>356748</v>
      </c>
    </row>
    <row r="138" spans="1:2" x14ac:dyDescent="0.25">
      <c r="A138" s="33">
        <v>6291106770322</v>
      </c>
      <c r="B138" s="7" t="str">
        <f>IFERROR(VLOOKUP(A138,'ZDET-PRICE'!Z:AE,6,0),"")</f>
        <v/>
      </c>
    </row>
    <row r="139" spans="1:2" x14ac:dyDescent="0.25">
      <c r="A139" s="33">
        <v>8682790000419</v>
      </c>
      <c r="B139" s="7">
        <f>IFERROR(VLOOKUP(A139,'ZDET-PRICE'!Z:AE,6,0),"")</f>
        <v>412004</v>
      </c>
    </row>
    <row r="140" spans="1:2" x14ac:dyDescent="0.25">
      <c r="A140" s="10"/>
      <c r="B140" s="7" t="str">
        <f>IFERROR(VLOOKUP(A140,'ZDET-PRICE'!Z:AE,6,0),"")</f>
        <v/>
      </c>
    </row>
    <row r="141" spans="1:2" x14ac:dyDescent="0.25">
      <c r="A141" s="10">
        <v>8906038786089</v>
      </c>
      <c r="B141" s="7">
        <f>IFERROR(VLOOKUP(A141,'ZDET-PRICE'!Z:AE,6,0),"")</f>
        <v>362950</v>
      </c>
    </row>
    <row r="142" spans="1:2" x14ac:dyDescent="0.25">
      <c r="A142" s="10">
        <v>8906038786072</v>
      </c>
      <c r="B142" s="7">
        <f>IFERROR(VLOOKUP(A142,'ZDET-PRICE'!Z:AE,6,0),"")</f>
        <v>362949</v>
      </c>
    </row>
    <row r="143" spans="1:2" x14ac:dyDescent="0.25">
      <c r="A143" s="10">
        <v>8906038782043</v>
      </c>
      <c r="B143" s="7">
        <f>IFERROR(VLOOKUP(A143,'ZDET-PRICE'!Z:AE,6,0),"")</f>
        <v>362953</v>
      </c>
    </row>
    <row r="144" spans="1:2" x14ac:dyDescent="0.25">
      <c r="A144" s="10">
        <v>8906038784863</v>
      </c>
      <c r="B144" s="7">
        <f>IFERROR(VLOOKUP(A144,'ZDET-PRICE'!Z:AE,6,0),"")</f>
        <v>362954</v>
      </c>
    </row>
    <row r="145" spans="1:2" x14ac:dyDescent="0.25">
      <c r="A145" s="10">
        <v>8906038786126</v>
      </c>
      <c r="B145" s="7">
        <f>IFERROR(VLOOKUP(A145,'ZDET-PRICE'!Z:AE,6,0),"")</f>
        <v>362951</v>
      </c>
    </row>
    <row r="146" spans="1:2" x14ac:dyDescent="0.25">
      <c r="A146" s="10"/>
      <c r="B146" s="7" t="str">
        <f>IFERROR(VLOOKUP(A146,'ZDET-PRICE'!Z:AE,6,0),"")</f>
        <v/>
      </c>
    </row>
    <row r="147" spans="1:2" x14ac:dyDescent="0.25">
      <c r="A147" s="10"/>
      <c r="B147" s="7" t="str">
        <f>IFERROR(VLOOKUP(A147,'ZDET-PRICE'!Z:AE,6,0),"")</f>
        <v/>
      </c>
    </row>
    <row r="148" spans="1:2" x14ac:dyDescent="0.25">
      <c r="A148" s="10"/>
      <c r="B148" s="7" t="str">
        <f>IFERROR(VLOOKUP(A148,'ZDET-PRICE'!Z:AE,6,0),"")</f>
        <v/>
      </c>
    </row>
    <row r="149" spans="1:2" x14ac:dyDescent="0.25">
      <c r="A149" s="10"/>
      <c r="B149" s="7" t="str">
        <f>IFERROR(VLOOKUP(A149,'ZDET-PRICE'!Z:AE,6,0),"")</f>
        <v/>
      </c>
    </row>
    <row r="150" spans="1:2" x14ac:dyDescent="0.25">
      <c r="A150" s="10"/>
      <c r="B150" s="7" t="str">
        <f>IFERROR(VLOOKUP(A150,'ZDET-PRICE'!Z:AE,6,0),"")</f>
        <v/>
      </c>
    </row>
    <row r="151" spans="1:2" x14ac:dyDescent="0.25">
      <c r="A151" s="10"/>
      <c r="B151" s="7" t="str">
        <f>IFERROR(VLOOKUP(A151,'ZDET-PRICE'!Z:AE,6,0),"")</f>
        <v/>
      </c>
    </row>
    <row r="152" spans="1:2" x14ac:dyDescent="0.25">
      <c r="A152" s="10"/>
      <c r="B152" s="7" t="str">
        <f>IFERROR(VLOOKUP(A152,'ZDET-PRICE'!Z:AE,6,0),"")</f>
        <v/>
      </c>
    </row>
    <row r="153" spans="1:2" x14ac:dyDescent="0.25">
      <c r="A153" s="10"/>
      <c r="B153" s="7" t="str">
        <f>IFERROR(VLOOKUP(A153,'ZDET-PRICE'!Z:AE,6,0),"")</f>
        <v/>
      </c>
    </row>
    <row r="154" spans="1:2" x14ac:dyDescent="0.25">
      <c r="A154" s="10"/>
      <c r="B154" s="7" t="str">
        <f>IFERROR(VLOOKUP(A154,'ZDET-PRICE'!Z:AE,6,0),"")</f>
        <v/>
      </c>
    </row>
    <row r="155" spans="1:2" x14ac:dyDescent="0.25">
      <c r="A155" s="10"/>
      <c r="B155" s="7" t="str">
        <f>IFERROR(VLOOKUP(A155,'ZDET-PRICE'!Z:AE,6,0),"")</f>
        <v/>
      </c>
    </row>
    <row r="156" spans="1:2" x14ac:dyDescent="0.25">
      <c r="A156" s="10"/>
      <c r="B156" s="7" t="str">
        <f>IFERROR(VLOOKUP(A156,'ZDET-PRICE'!Z:AE,6,0),"")</f>
        <v/>
      </c>
    </row>
    <row r="157" spans="1:2" x14ac:dyDescent="0.25">
      <c r="A157" s="10"/>
      <c r="B157" s="7" t="str">
        <f>IFERROR(VLOOKUP(A157,'ZDET-PRICE'!Z:AE,6,0),"")</f>
        <v/>
      </c>
    </row>
    <row r="158" spans="1:2" x14ac:dyDescent="0.25">
      <c r="A158" s="10"/>
      <c r="B158" s="7" t="str">
        <f>IFERROR(VLOOKUP(A158,'ZDET-PRICE'!Z:AE,6,0),"")</f>
        <v/>
      </c>
    </row>
    <row r="159" spans="1:2" x14ac:dyDescent="0.25">
      <c r="A159" s="10"/>
      <c r="B159" s="7" t="str">
        <f>IFERROR(VLOOKUP(A159,'ZDET-PRICE'!Z:AE,6,0),"")</f>
        <v/>
      </c>
    </row>
    <row r="160" spans="1:2" x14ac:dyDescent="0.25">
      <c r="A160" s="10"/>
      <c r="B160" s="7" t="str">
        <f>IFERROR(VLOOKUP(A160,'ZDET-PRICE'!Z:AE,6,0),"")</f>
        <v/>
      </c>
    </row>
    <row r="161" spans="1:2" x14ac:dyDescent="0.25">
      <c r="A161" s="10"/>
      <c r="B161" s="7" t="str">
        <f>IFERROR(VLOOKUP(A161,'ZDET-PRICE'!Z:AE,6,0),"")</f>
        <v/>
      </c>
    </row>
    <row r="162" spans="1:2" x14ac:dyDescent="0.25">
      <c r="A162" s="10"/>
      <c r="B162" s="7" t="str">
        <f>IFERROR(VLOOKUP(A162,'ZDET-PRICE'!Z:AE,6,0),"")</f>
        <v/>
      </c>
    </row>
    <row r="163" spans="1:2" x14ac:dyDescent="0.25">
      <c r="A163" s="10"/>
      <c r="B163" s="7" t="str">
        <f>IFERROR(VLOOKUP(A163,'ZDET-PRICE'!Z:AE,6,0),"")</f>
        <v/>
      </c>
    </row>
    <row r="164" spans="1:2" x14ac:dyDescent="0.25">
      <c r="A164" s="10"/>
      <c r="B164" s="7" t="str">
        <f>IFERROR(VLOOKUP(A164,'ZDET-PRICE'!Z:AE,6,0),"")</f>
        <v/>
      </c>
    </row>
    <row r="165" spans="1:2" x14ac:dyDescent="0.25">
      <c r="A165" s="10"/>
      <c r="B165" s="7" t="str">
        <f>IFERROR(VLOOKUP(A165,'ZDET-PRICE'!Z:AE,6,0),"")</f>
        <v/>
      </c>
    </row>
    <row r="166" spans="1:2" x14ac:dyDescent="0.25">
      <c r="A166" s="10"/>
      <c r="B166" s="7" t="str">
        <f>IFERROR(VLOOKUP(A166,'ZDET-PRICE'!Z:AE,6,0),"")</f>
        <v/>
      </c>
    </row>
    <row r="167" spans="1:2" x14ac:dyDescent="0.25">
      <c r="A167" s="10"/>
      <c r="B167" s="7" t="str">
        <f>IFERROR(VLOOKUP(A167,'ZDET-PRICE'!Z:AE,6,0),"")</f>
        <v/>
      </c>
    </row>
    <row r="168" spans="1:2" x14ac:dyDescent="0.25">
      <c r="A168" s="10"/>
      <c r="B168" s="7" t="str">
        <f>IFERROR(VLOOKUP(A168,'ZDET-PRICE'!Z:AE,6,0),"")</f>
        <v/>
      </c>
    </row>
    <row r="169" spans="1:2" x14ac:dyDescent="0.25">
      <c r="A169" s="10"/>
      <c r="B169" s="7" t="str">
        <f>IFERROR(VLOOKUP(A169,'ZDET-PRICE'!Z:AE,6,0),"")</f>
        <v/>
      </c>
    </row>
    <row r="170" spans="1:2" x14ac:dyDescent="0.25">
      <c r="A170" s="10"/>
      <c r="B170" s="7" t="str">
        <f>IFERROR(VLOOKUP(A170,'ZDET-PRICE'!Z:AE,6,0),"")</f>
        <v/>
      </c>
    </row>
    <row r="171" spans="1:2" x14ac:dyDescent="0.25">
      <c r="A171" s="10"/>
      <c r="B171" s="7" t="str">
        <f>IFERROR(VLOOKUP(A171,'ZDET-PRICE'!Z:AE,6,0),"")</f>
        <v/>
      </c>
    </row>
    <row r="172" spans="1:2" x14ac:dyDescent="0.25">
      <c r="A172" s="10"/>
      <c r="B172" s="7" t="str">
        <f>IFERROR(VLOOKUP(A172,'ZDET-PRICE'!Z:AE,6,0),"")</f>
        <v/>
      </c>
    </row>
    <row r="173" spans="1:2" x14ac:dyDescent="0.25">
      <c r="A173" s="10"/>
      <c r="B173" s="7" t="str">
        <f>IFERROR(VLOOKUP(A173,'ZDET-PRICE'!Z:AE,6,0),"")</f>
        <v/>
      </c>
    </row>
    <row r="174" spans="1:2" x14ac:dyDescent="0.25">
      <c r="A174" s="10"/>
      <c r="B174" s="7" t="str">
        <f>IFERROR(VLOOKUP(A174,'ZDET-PRICE'!Z:AE,6,0),"")</f>
        <v/>
      </c>
    </row>
    <row r="175" spans="1:2" x14ac:dyDescent="0.25">
      <c r="A175" s="10"/>
      <c r="B175" s="7" t="str">
        <f>IFERROR(VLOOKUP(A175,'ZDET-PRICE'!Z:AE,6,0),"")</f>
        <v/>
      </c>
    </row>
    <row r="176" spans="1:2" x14ac:dyDescent="0.25">
      <c r="A176" s="10"/>
      <c r="B176" s="7" t="str">
        <f>IFERROR(VLOOKUP(A176,'ZDET-PRICE'!Z:AE,6,0),"")</f>
        <v/>
      </c>
    </row>
    <row r="177" spans="1:2" x14ac:dyDescent="0.25">
      <c r="A177" s="10"/>
      <c r="B177" s="7" t="str">
        <f>IFERROR(VLOOKUP(A177,'ZDET-PRICE'!Z:AE,6,0),"")</f>
        <v/>
      </c>
    </row>
    <row r="178" spans="1:2" x14ac:dyDescent="0.25">
      <c r="A178" s="10"/>
      <c r="B178" s="7" t="str">
        <f>IFERROR(VLOOKUP(A178,'ZDET-PRICE'!Z:AE,6,0),"")</f>
        <v/>
      </c>
    </row>
    <row r="179" spans="1:2" x14ac:dyDescent="0.25">
      <c r="A179" s="10"/>
      <c r="B179" s="7" t="str">
        <f>IFERROR(VLOOKUP(A179,'ZDET-PRICE'!Z:AE,6,0),"")</f>
        <v/>
      </c>
    </row>
    <row r="180" spans="1:2" x14ac:dyDescent="0.25">
      <c r="A180" s="10"/>
      <c r="B180" s="7" t="str">
        <f>IFERROR(VLOOKUP(A180,'ZDET-PRICE'!Z:AE,6,0),"")</f>
        <v/>
      </c>
    </row>
    <row r="181" spans="1:2" x14ac:dyDescent="0.25">
      <c r="A181" s="10"/>
      <c r="B181" s="7" t="str">
        <f>IFERROR(VLOOKUP(A181,'ZDET-PRICE'!Z:AE,6,0),"")</f>
        <v/>
      </c>
    </row>
    <row r="182" spans="1:2" x14ac:dyDescent="0.25">
      <c r="A182" s="10"/>
      <c r="B182" s="7" t="str">
        <f>IFERROR(VLOOKUP(A182,'ZDET-PRICE'!Z:AE,6,0),"")</f>
        <v/>
      </c>
    </row>
    <row r="183" spans="1:2" x14ac:dyDescent="0.25">
      <c r="A183" s="10"/>
      <c r="B183" s="7" t="str">
        <f>IFERROR(VLOOKUP(A183,'ZDET-PRICE'!Z:AE,6,0),"")</f>
        <v/>
      </c>
    </row>
    <row r="184" spans="1:2" x14ac:dyDescent="0.25">
      <c r="A184" s="10"/>
      <c r="B184" s="7" t="str">
        <f>IFERROR(VLOOKUP(A184,'ZDET-PRICE'!Z:AE,6,0),"")</f>
        <v/>
      </c>
    </row>
    <row r="185" spans="1:2" x14ac:dyDescent="0.25">
      <c r="A185" s="10"/>
      <c r="B185" s="7" t="str">
        <f>IFERROR(VLOOKUP(A185,'ZDET-PRICE'!Z:AE,6,0),"")</f>
        <v/>
      </c>
    </row>
    <row r="186" spans="1:2" x14ac:dyDescent="0.25">
      <c r="A186" s="10"/>
      <c r="B186" s="7" t="str">
        <f>IFERROR(VLOOKUP(A186,'ZDET-PRICE'!Z:AE,6,0),"")</f>
        <v/>
      </c>
    </row>
    <row r="187" spans="1:2" x14ac:dyDescent="0.25">
      <c r="A187" s="10"/>
      <c r="B187" s="7" t="str">
        <f>IFERROR(VLOOKUP(A187,'ZDET-PRICE'!Z:AE,6,0),"")</f>
        <v/>
      </c>
    </row>
    <row r="188" spans="1:2" x14ac:dyDescent="0.25">
      <c r="A188" s="10"/>
      <c r="B188" s="7" t="str">
        <f>IFERROR(VLOOKUP(A188,'ZDET-PRICE'!Z:AE,6,0),"")</f>
        <v/>
      </c>
    </row>
    <row r="189" spans="1:2" x14ac:dyDescent="0.25">
      <c r="A189" s="10"/>
      <c r="B189" s="7" t="str">
        <f>IFERROR(VLOOKUP(A189,'ZDET-PRICE'!Z:AE,6,0),"")</f>
        <v/>
      </c>
    </row>
    <row r="190" spans="1:2" x14ac:dyDescent="0.25">
      <c r="A190" s="10"/>
      <c r="B190" s="7" t="str">
        <f>IFERROR(VLOOKUP(A190,'ZDET-PRICE'!Z:AE,6,0),"")</f>
        <v/>
      </c>
    </row>
    <row r="191" spans="1:2" x14ac:dyDescent="0.25">
      <c r="A191" s="10"/>
      <c r="B191" s="7" t="str">
        <f>IFERROR(VLOOKUP(A191,'ZDET-PRICE'!Z:AE,6,0),"")</f>
        <v/>
      </c>
    </row>
    <row r="192" spans="1:2" x14ac:dyDescent="0.25">
      <c r="A192" s="7"/>
      <c r="B192" s="7" t="str">
        <f>IFERROR(VLOOKUP(A192,'ZDET-PRICE'!Z:AE,6,0),"")</f>
        <v/>
      </c>
    </row>
    <row r="193" spans="1:2" x14ac:dyDescent="0.25">
      <c r="A193" s="7"/>
      <c r="B193" s="7" t="str">
        <f>IFERROR(VLOOKUP(A193,'ZDET-PRICE'!Z:AE,6,0),"")</f>
        <v/>
      </c>
    </row>
    <row r="194" spans="1:2" x14ac:dyDescent="0.25">
      <c r="A194" s="7"/>
      <c r="B194" s="7" t="str">
        <f>IFERROR(VLOOKUP(A194,'ZDET-PRICE'!Z:AE,6,0),"")</f>
        <v/>
      </c>
    </row>
    <row r="195" spans="1:2" x14ac:dyDescent="0.25">
      <c r="A195" s="7"/>
      <c r="B195" s="7" t="str">
        <f>IFERROR(VLOOKUP(A195,'ZDET-PRICE'!Z:AE,6,0),"")</f>
        <v/>
      </c>
    </row>
    <row r="196" spans="1:2" x14ac:dyDescent="0.25">
      <c r="A196" s="7"/>
      <c r="B196" s="7" t="str">
        <f>IFERROR(VLOOKUP(A196,'ZDET-PRICE'!Z:AE,6,0),"")</f>
        <v/>
      </c>
    </row>
    <row r="197" spans="1:2" x14ac:dyDescent="0.25">
      <c r="A197" s="7"/>
      <c r="B197" s="7" t="str">
        <f>IFERROR(VLOOKUP(A197,'ZDET-PRICE'!Z:AE,6,0),"")</f>
        <v/>
      </c>
    </row>
    <row r="198" spans="1:2" x14ac:dyDescent="0.25">
      <c r="A198" s="7"/>
      <c r="B198" s="7" t="str">
        <f>IFERROR(VLOOKUP(A198,'ZDET-PRICE'!Z:AE,6,0),"")</f>
        <v/>
      </c>
    </row>
    <row r="199" spans="1:2" x14ac:dyDescent="0.25">
      <c r="A199" s="7"/>
      <c r="B199" s="7" t="str">
        <f>IFERROR(VLOOKUP(A199,'ZDET-PRICE'!Z:AE,6,0),"")</f>
        <v/>
      </c>
    </row>
    <row r="200" spans="1:2" x14ac:dyDescent="0.25">
      <c r="A200" s="7"/>
      <c r="B200" s="7" t="str">
        <f>IFERROR(VLOOKUP(A200,'ZDET-PRICE'!Z:AE,6,0),"")</f>
        <v/>
      </c>
    </row>
    <row r="201" spans="1:2" x14ac:dyDescent="0.25">
      <c r="A201" s="7"/>
      <c r="B201" s="7" t="str">
        <f>IFERROR(VLOOKUP(A201,'ZDET-PRICE'!Z:AE,6,0),"")</f>
        <v/>
      </c>
    </row>
    <row r="202" spans="1:2" x14ac:dyDescent="0.25">
      <c r="A202" s="7"/>
      <c r="B202" s="7" t="str">
        <f>IFERROR(VLOOKUP(A202,'ZDET-PRICE'!Z:AE,6,0),"")</f>
        <v/>
      </c>
    </row>
    <row r="203" spans="1:2" x14ac:dyDescent="0.25">
      <c r="A203" s="7"/>
      <c r="B203" s="7" t="str">
        <f>IFERROR(VLOOKUP(A203,'ZDET-PRICE'!Z:AE,6,0),"")</f>
        <v/>
      </c>
    </row>
    <row r="204" spans="1:2" x14ac:dyDescent="0.25">
      <c r="A204" s="7"/>
      <c r="B204" s="7" t="str">
        <f>IFERROR(VLOOKUP(A204,'ZDET-PRICE'!Z:AE,6,0),"")</f>
        <v/>
      </c>
    </row>
    <row r="205" spans="1:2" x14ac:dyDescent="0.25">
      <c r="A205" s="7"/>
      <c r="B205" s="7" t="str">
        <f>IFERROR(VLOOKUP(A205,'ZDET-PRICE'!Z:AE,6,0),"")</f>
        <v/>
      </c>
    </row>
    <row r="206" spans="1:2" x14ac:dyDescent="0.25">
      <c r="A206" s="7"/>
      <c r="B206" s="7" t="str">
        <f>IFERROR(VLOOKUP(A206,'ZDET-PRICE'!Z:AE,6,0),"")</f>
        <v/>
      </c>
    </row>
    <row r="207" spans="1:2" x14ac:dyDescent="0.25">
      <c r="A207" s="7"/>
      <c r="B207" s="7" t="str">
        <f>IFERROR(VLOOKUP(A207,'ZDET-PRICE'!Z:AE,6,0),"")</f>
        <v/>
      </c>
    </row>
    <row r="208" spans="1:2" x14ac:dyDescent="0.25">
      <c r="A208" s="7"/>
      <c r="B208" s="7" t="str">
        <f>IFERROR(VLOOKUP(A208,'ZDET-PRICE'!Z:AE,6,0),"")</f>
        <v/>
      </c>
    </row>
    <row r="209" spans="1:2" x14ac:dyDescent="0.25">
      <c r="A209" s="7"/>
      <c r="B209" s="7" t="str">
        <f>IFERROR(VLOOKUP(A209,'ZDET-PRICE'!Z:AE,6,0),"")</f>
        <v/>
      </c>
    </row>
    <row r="210" spans="1:2" x14ac:dyDescent="0.25">
      <c r="A210" s="7"/>
      <c r="B210" s="7" t="str">
        <f>IFERROR(VLOOKUP(A210,'ZDET-PRICE'!Z:AE,6,0),"")</f>
        <v/>
      </c>
    </row>
    <row r="211" spans="1:2" x14ac:dyDescent="0.25">
      <c r="A211" s="7"/>
      <c r="B211" s="7" t="str">
        <f>IFERROR(VLOOKUP(A211,'ZDET-PRICE'!Z:AE,6,0),"")</f>
        <v/>
      </c>
    </row>
    <row r="212" spans="1:2" x14ac:dyDescent="0.25">
      <c r="A212" s="7"/>
      <c r="B212" s="7" t="str">
        <f>IFERROR(VLOOKUP(A212,'ZDET-PRICE'!Z:AE,6,0),"")</f>
        <v/>
      </c>
    </row>
    <row r="213" spans="1:2" x14ac:dyDescent="0.25">
      <c r="A213" s="7"/>
      <c r="B213" s="7" t="str">
        <f>IFERROR(VLOOKUP(A213,'ZDET-PRICE'!Z:AE,6,0),"")</f>
        <v/>
      </c>
    </row>
    <row r="214" spans="1:2" x14ac:dyDescent="0.25">
      <c r="A214" s="7"/>
      <c r="B214" s="7" t="str">
        <f>IFERROR(VLOOKUP(A214,'ZDET-PRICE'!Z:AE,6,0),"")</f>
        <v/>
      </c>
    </row>
    <row r="215" spans="1:2" x14ac:dyDescent="0.25">
      <c r="A215" s="7"/>
      <c r="B215" s="7" t="str">
        <f>IFERROR(VLOOKUP(A215,'ZDET-PRICE'!Z:AE,6,0),"")</f>
        <v/>
      </c>
    </row>
    <row r="216" spans="1:2" x14ac:dyDescent="0.25">
      <c r="A216" s="7"/>
      <c r="B216" s="7" t="str">
        <f>IFERROR(VLOOKUP(A216,'ZDET-PRICE'!Z:AE,6,0),"")</f>
        <v/>
      </c>
    </row>
    <row r="217" spans="1:2" x14ac:dyDescent="0.25">
      <c r="A217" s="7"/>
      <c r="B217" s="7" t="str">
        <f>IFERROR(VLOOKUP(A217,'ZDET-PRICE'!Z:AE,6,0),"")</f>
        <v/>
      </c>
    </row>
    <row r="218" spans="1:2" x14ac:dyDescent="0.25">
      <c r="A218" s="7"/>
      <c r="B218" s="7" t="str">
        <f>IFERROR(VLOOKUP(A218,'ZDET-PRICE'!Z:AE,6,0),"")</f>
        <v/>
      </c>
    </row>
    <row r="219" spans="1:2" x14ac:dyDescent="0.25">
      <c r="A219" s="7"/>
      <c r="B219" s="7" t="str">
        <f>IFERROR(VLOOKUP(A219,'ZDET-PRICE'!Z:AE,6,0),"")</f>
        <v/>
      </c>
    </row>
    <row r="220" spans="1:2" x14ac:dyDescent="0.25">
      <c r="A220" s="7"/>
      <c r="B220" s="7" t="str">
        <f>IFERROR(VLOOKUP(A220,'ZDET-PRICE'!Z:AE,6,0),"")</f>
        <v/>
      </c>
    </row>
    <row r="221" spans="1:2" x14ac:dyDescent="0.25">
      <c r="A221" s="7"/>
      <c r="B221" s="7" t="str">
        <f>IFERROR(VLOOKUP(A221,'ZDET-PRICE'!Z:AE,6,0),"")</f>
        <v/>
      </c>
    </row>
    <row r="222" spans="1:2" x14ac:dyDescent="0.25">
      <c r="A222" s="7"/>
      <c r="B222" s="7" t="str">
        <f>IFERROR(VLOOKUP(A222,'ZDET-PRICE'!Z:AE,6,0),"")</f>
        <v/>
      </c>
    </row>
    <row r="223" spans="1:2" x14ac:dyDescent="0.25">
      <c r="A223" s="7"/>
      <c r="B223" s="7" t="str">
        <f>IFERROR(VLOOKUP(A223,'ZDET-PRICE'!Z:AE,6,0),"")</f>
        <v/>
      </c>
    </row>
    <row r="224" spans="1:2" x14ac:dyDescent="0.25">
      <c r="A224" s="7"/>
      <c r="B224" s="7" t="str">
        <f>IFERROR(VLOOKUP(A224,'ZDET-PRICE'!Z:AE,6,0),"")</f>
        <v/>
      </c>
    </row>
    <row r="225" spans="1:2" x14ac:dyDescent="0.25">
      <c r="A225" s="7"/>
      <c r="B225" s="7" t="str">
        <f>IFERROR(VLOOKUP(A225,'ZDET-PRICE'!Z:AE,6,0),"")</f>
        <v/>
      </c>
    </row>
    <row r="226" spans="1:2" x14ac:dyDescent="0.25">
      <c r="A226" s="7"/>
      <c r="B226" s="7" t="str">
        <f>IFERROR(VLOOKUP(A226,'ZDET-PRICE'!Z:AE,6,0),"")</f>
        <v/>
      </c>
    </row>
    <row r="227" spans="1:2" x14ac:dyDescent="0.25">
      <c r="A227" s="7"/>
      <c r="B227" s="7" t="str">
        <f>IFERROR(VLOOKUP(A227,'ZDET-PRICE'!Z:AE,6,0),"")</f>
        <v/>
      </c>
    </row>
    <row r="228" spans="1:2" x14ac:dyDescent="0.25">
      <c r="A228" s="7"/>
      <c r="B228" s="7" t="str">
        <f>IFERROR(VLOOKUP(A228,'ZDET-PRICE'!Z:AE,6,0),"")</f>
        <v/>
      </c>
    </row>
    <row r="229" spans="1:2" x14ac:dyDescent="0.25">
      <c r="A229" s="7"/>
      <c r="B229" s="7" t="str">
        <f>IFERROR(VLOOKUP(A229,'ZDET-PRICE'!Z:AE,6,0),"")</f>
        <v/>
      </c>
    </row>
    <row r="230" spans="1:2" x14ac:dyDescent="0.25">
      <c r="A230" s="7"/>
      <c r="B230" s="7" t="str">
        <f>IFERROR(VLOOKUP(A230,'ZDET-PRICE'!Z:AE,6,0),"")</f>
        <v/>
      </c>
    </row>
    <row r="231" spans="1:2" x14ac:dyDescent="0.25">
      <c r="A231" s="7"/>
      <c r="B231" s="7" t="str">
        <f>IFERROR(VLOOKUP(A231,'ZDET-PRICE'!Z:AE,6,0),"")</f>
        <v/>
      </c>
    </row>
    <row r="232" spans="1:2" x14ac:dyDescent="0.25">
      <c r="A232" s="7"/>
      <c r="B232" s="7" t="str">
        <f>IFERROR(VLOOKUP(A232,'ZDET-PRICE'!Z:AE,6,0),"")</f>
        <v/>
      </c>
    </row>
    <row r="233" spans="1:2" x14ac:dyDescent="0.25">
      <c r="A233" s="7"/>
      <c r="B233" s="7" t="str">
        <f>IFERROR(VLOOKUP(A233,'ZDET-PRICE'!Z:AE,6,0),"")</f>
        <v/>
      </c>
    </row>
    <row r="234" spans="1:2" x14ac:dyDescent="0.25">
      <c r="A234" s="7"/>
      <c r="B234" s="7" t="str">
        <f>IFERROR(VLOOKUP(A234,'ZDET-PRICE'!Z:AE,6,0),"")</f>
        <v/>
      </c>
    </row>
    <row r="235" spans="1:2" x14ac:dyDescent="0.25">
      <c r="A235" s="7"/>
      <c r="B235" s="7" t="str">
        <f>IFERROR(VLOOKUP(A235,'ZDET-PRICE'!Z:AE,6,0),"")</f>
        <v/>
      </c>
    </row>
    <row r="236" spans="1:2" x14ac:dyDescent="0.25">
      <c r="A236" s="7"/>
      <c r="B236" s="7" t="str">
        <f>IFERROR(VLOOKUP(A236,'ZDET-PRICE'!Z:AE,6,0),"")</f>
        <v/>
      </c>
    </row>
    <row r="237" spans="1:2" x14ac:dyDescent="0.25">
      <c r="A237" s="7"/>
      <c r="B237" s="7" t="str">
        <f>IFERROR(VLOOKUP(A237,'ZDET-PRICE'!Z:AE,6,0),"")</f>
        <v/>
      </c>
    </row>
    <row r="238" spans="1:2" x14ac:dyDescent="0.25">
      <c r="A238" s="7"/>
      <c r="B238" s="7" t="str">
        <f>IFERROR(VLOOKUP(A238,'ZDET-PRICE'!Z:AE,6,0),"")</f>
        <v/>
      </c>
    </row>
    <row r="239" spans="1:2" x14ac:dyDescent="0.25">
      <c r="A239" s="7"/>
      <c r="B239" s="7" t="str">
        <f>IFERROR(VLOOKUP(A239,'ZDET-PRICE'!Z:AE,6,0),"")</f>
        <v/>
      </c>
    </row>
    <row r="240" spans="1:2" x14ac:dyDescent="0.25">
      <c r="A240" s="7"/>
      <c r="B240" s="7" t="str">
        <f>IFERROR(VLOOKUP(A240,'ZDET-PRICE'!Z:AE,6,0),"")</f>
        <v/>
      </c>
    </row>
    <row r="241" spans="1:2" x14ac:dyDescent="0.25">
      <c r="A241" s="7"/>
      <c r="B241" s="7" t="str">
        <f>IFERROR(VLOOKUP(A241,'ZDET-PRICE'!Z:AE,6,0),"")</f>
        <v/>
      </c>
    </row>
    <row r="242" spans="1:2" x14ac:dyDescent="0.25">
      <c r="A242" s="7"/>
      <c r="B242" s="7" t="str">
        <f>IFERROR(VLOOKUP(A242,'ZDET-PRICE'!Z:AE,6,0),"")</f>
        <v/>
      </c>
    </row>
    <row r="243" spans="1:2" x14ac:dyDescent="0.25">
      <c r="A243" s="7"/>
      <c r="B243" s="7" t="str">
        <f>IFERROR(VLOOKUP(A243,'ZDET-PRICE'!Z:AE,6,0),"")</f>
        <v/>
      </c>
    </row>
    <row r="244" spans="1:2" x14ac:dyDescent="0.25">
      <c r="A244" s="7"/>
      <c r="B244" s="7" t="str">
        <f>IFERROR(VLOOKUP(A244,'ZDET-PRICE'!Z:AE,6,0),"")</f>
        <v/>
      </c>
    </row>
    <row r="245" spans="1:2" x14ac:dyDescent="0.25">
      <c r="A245" s="7"/>
      <c r="B245" s="7" t="str">
        <f>IFERROR(VLOOKUP(A245,'ZDET-PRICE'!Z:AE,6,0),"")</f>
        <v/>
      </c>
    </row>
    <row r="246" spans="1:2" x14ac:dyDescent="0.25">
      <c r="A246" s="7"/>
      <c r="B246" s="7" t="str">
        <f>IFERROR(VLOOKUP(A246,'ZDET-PRICE'!Z:AE,6,0),"")</f>
        <v/>
      </c>
    </row>
    <row r="247" spans="1:2" x14ac:dyDescent="0.25">
      <c r="A247" s="7"/>
      <c r="B247" s="7" t="str">
        <f>IFERROR(VLOOKUP(A247,'ZDET-PRICE'!Z:AE,6,0),"")</f>
        <v/>
      </c>
    </row>
    <row r="248" spans="1:2" x14ac:dyDescent="0.25">
      <c r="A248" s="7"/>
      <c r="B248" s="7" t="str">
        <f>IFERROR(VLOOKUP(A248,'ZDET-PRICE'!Z:AE,6,0),"")</f>
        <v/>
      </c>
    </row>
    <row r="249" spans="1:2" x14ac:dyDescent="0.25">
      <c r="A249" s="7"/>
      <c r="B249" s="7" t="str">
        <f>IFERROR(VLOOKUP(A249,'ZDET-PRICE'!Z:AE,6,0),"")</f>
        <v/>
      </c>
    </row>
    <row r="250" spans="1:2" x14ac:dyDescent="0.25">
      <c r="A250" s="7"/>
      <c r="B250" s="7" t="str">
        <f>IFERROR(VLOOKUP(A250,'ZDET-PRICE'!Z:AE,6,0),"")</f>
        <v/>
      </c>
    </row>
    <row r="251" spans="1:2" x14ac:dyDescent="0.25">
      <c r="A251" s="7"/>
      <c r="B251" s="7" t="str">
        <f>IFERROR(VLOOKUP(A251,'ZDET-PRICE'!Z:AE,6,0),"")</f>
        <v/>
      </c>
    </row>
    <row r="252" spans="1:2" x14ac:dyDescent="0.25">
      <c r="A252" s="7"/>
      <c r="B252" s="7" t="str">
        <f>IFERROR(VLOOKUP(A252,'ZDET-PRICE'!Z:AE,6,0),"")</f>
        <v/>
      </c>
    </row>
    <row r="253" spans="1:2" x14ac:dyDescent="0.25">
      <c r="A253" s="7"/>
      <c r="B253" s="7" t="str">
        <f>IFERROR(VLOOKUP(A253,'ZDET-PRICE'!Z:AE,6,0),"")</f>
        <v/>
      </c>
    </row>
    <row r="254" spans="1:2" x14ac:dyDescent="0.25">
      <c r="A254" s="7"/>
      <c r="B254" s="7" t="str">
        <f>IFERROR(VLOOKUP(A254,'ZDET-PRICE'!Z:AE,6,0),"")</f>
        <v/>
      </c>
    </row>
    <row r="255" spans="1:2" x14ac:dyDescent="0.25">
      <c r="A255" s="7"/>
      <c r="B255" s="7" t="str">
        <f>IFERROR(VLOOKUP(A255,'ZDET-PRICE'!Z:AE,6,0),"")</f>
        <v/>
      </c>
    </row>
    <row r="256" spans="1:2" x14ac:dyDescent="0.25">
      <c r="A256" s="7"/>
      <c r="B256" s="7" t="str">
        <f>IFERROR(VLOOKUP(A256,'ZDET-PRICE'!Z:AE,6,0),"")</f>
        <v/>
      </c>
    </row>
    <row r="257" spans="1:2" x14ac:dyDescent="0.25">
      <c r="A257" s="7"/>
      <c r="B257" s="7" t="str">
        <f>IFERROR(VLOOKUP(A257,'ZDET-PRICE'!Z:AE,6,0),"")</f>
        <v/>
      </c>
    </row>
    <row r="258" spans="1:2" x14ac:dyDescent="0.25">
      <c r="A258" s="7"/>
      <c r="B258" s="7" t="str">
        <f>IFERROR(VLOOKUP(A258,'ZDET-PRICE'!Z:AE,6,0),"")</f>
        <v/>
      </c>
    </row>
    <row r="259" spans="1:2" x14ac:dyDescent="0.25">
      <c r="A259" s="7"/>
      <c r="B259" s="7" t="str">
        <f>IFERROR(VLOOKUP(A259,'ZDET-PRICE'!Z:AE,6,0),"")</f>
        <v/>
      </c>
    </row>
    <row r="260" spans="1:2" x14ac:dyDescent="0.25">
      <c r="A260" s="7"/>
      <c r="B260" s="7" t="str">
        <f>IFERROR(VLOOKUP(A260,'ZDET-PRICE'!Z:AE,6,0),"")</f>
        <v/>
      </c>
    </row>
    <row r="261" spans="1:2" x14ac:dyDescent="0.25">
      <c r="A261" s="7"/>
      <c r="B261" s="7" t="str">
        <f>IFERROR(VLOOKUP(A261,'ZDET-PRICE'!Z:AE,6,0),"")</f>
        <v/>
      </c>
    </row>
    <row r="262" spans="1:2" x14ac:dyDescent="0.25">
      <c r="A262" s="7"/>
      <c r="B262" s="7" t="str">
        <f>IFERROR(VLOOKUP(A262,'ZDET-PRICE'!Z:AE,6,0),"")</f>
        <v/>
      </c>
    </row>
    <row r="263" spans="1:2" x14ac:dyDescent="0.25">
      <c r="A263" s="7"/>
      <c r="B263" s="7" t="str">
        <f>IFERROR(VLOOKUP(A263,'ZDET-PRICE'!Z:AE,6,0),"")</f>
        <v/>
      </c>
    </row>
    <row r="264" spans="1:2" x14ac:dyDescent="0.25">
      <c r="A264" s="7"/>
      <c r="B264" s="7" t="str">
        <f>IFERROR(VLOOKUP(A264,'ZDET-PRICE'!Z:AE,6,0),"")</f>
        <v/>
      </c>
    </row>
    <row r="265" spans="1:2" x14ac:dyDescent="0.25">
      <c r="A265" s="7"/>
      <c r="B265" s="7" t="str">
        <f>IFERROR(VLOOKUP(A265,'ZDET-PRICE'!Z:AE,6,0),"")</f>
        <v/>
      </c>
    </row>
    <row r="266" spans="1:2" x14ac:dyDescent="0.25">
      <c r="A266" s="7"/>
      <c r="B266" s="7" t="str">
        <f>IFERROR(VLOOKUP(A266,'ZDET-PRICE'!Z:AE,6,0),"")</f>
        <v/>
      </c>
    </row>
    <row r="267" spans="1:2" x14ac:dyDescent="0.25">
      <c r="A267" s="7"/>
      <c r="B267" s="7" t="str">
        <f>IFERROR(VLOOKUP(A267,'ZDET-PRICE'!Z:AE,6,0),"")</f>
        <v/>
      </c>
    </row>
    <row r="268" spans="1:2" x14ac:dyDescent="0.25">
      <c r="A268" s="7"/>
      <c r="B268" s="7" t="str">
        <f>IFERROR(VLOOKUP(A268,'ZDET-PRICE'!Z:AE,6,0),"")</f>
        <v/>
      </c>
    </row>
    <row r="269" spans="1:2" x14ac:dyDescent="0.25">
      <c r="A269" s="7"/>
      <c r="B269" s="7" t="str">
        <f>IFERROR(VLOOKUP(A269,'ZDET-PRICE'!Z:AE,6,0),"")</f>
        <v/>
      </c>
    </row>
    <row r="270" spans="1:2" x14ac:dyDescent="0.25">
      <c r="A270" s="7"/>
      <c r="B270" s="7" t="str">
        <f>IFERROR(VLOOKUP(A270,'ZDET-PRICE'!Z:AE,6,0),"")</f>
        <v/>
      </c>
    </row>
    <row r="271" spans="1:2" x14ac:dyDescent="0.25">
      <c r="A271" s="7"/>
      <c r="B271" s="7" t="str">
        <f>IFERROR(VLOOKUP(A271,'ZDET-PRICE'!Z:AE,6,0),"")</f>
        <v/>
      </c>
    </row>
    <row r="272" spans="1:2" x14ac:dyDescent="0.25">
      <c r="A272" s="7"/>
      <c r="B272" s="7" t="str">
        <f>IFERROR(VLOOKUP(A272,'ZDET-PRICE'!Z:AE,6,0),"")</f>
        <v/>
      </c>
    </row>
    <row r="273" spans="1:2" x14ac:dyDescent="0.25">
      <c r="A273" s="7"/>
      <c r="B273" s="7" t="str">
        <f>IFERROR(VLOOKUP(A273,'ZDET-PRICE'!Z:AE,6,0),"")</f>
        <v/>
      </c>
    </row>
    <row r="274" spans="1:2" x14ac:dyDescent="0.25">
      <c r="A274" s="7"/>
      <c r="B274" s="7" t="str">
        <f>IFERROR(VLOOKUP(A274,'ZDET-PRICE'!Z:AE,6,0),"")</f>
        <v/>
      </c>
    </row>
    <row r="275" spans="1:2" x14ac:dyDescent="0.25">
      <c r="A275" s="7"/>
      <c r="B275" s="7" t="str">
        <f>IFERROR(VLOOKUP(A275,'ZDET-PRICE'!Z:AE,6,0),"")</f>
        <v/>
      </c>
    </row>
    <row r="276" spans="1:2" x14ac:dyDescent="0.25">
      <c r="A276" s="7"/>
      <c r="B276" s="7" t="str">
        <f>IFERROR(VLOOKUP(A276,'ZDET-PRICE'!Z:AE,6,0),"")</f>
        <v/>
      </c>
    </row>
    <row r="277" spans="1:2" x14ac:dyDescent="0.25">
      <c r="A277" s="7"/>
      <c r="B277" s="7" t="str">
        <f>IFERROR(VLOOKUP(A277,'ZDET-PRICE'!Z:AE,6,0),"")</f>
        <v/>
      </c>
    </row>
    <row r="278" spans="1:2" x14ac:dyDescent="0.25">
      <c r="A278" s="7"/>
      <c r="B278" s="7" t="str">
        <f>IFERROR(VLOOKUP(A278,'ZDET-PRICE'!Z:AE,6,0),"")</f>
        <v/>
      </c>
    </row>
    <row r="279" spans="1:2" s="14" customFormat="1" x14ac:dyDescent="0.25">
      <c r="A279" s="13"/>
      <c r="B279" s="7" t="str">
        <f>IFERROR(VLOOKUP(A279,'ZDET-PRICE'!Z:AE,6,0),"")</f>
        <v/>
      </c>
    </row>
    <row r="280" spans="1:2" x14ac:dyDescent="0.25">
      <c r="A280" s="7"/>
      <c r="B280" s="7" t="str">
        <f>IFERROR(VLOOKUP(A280,'ZDET-PRICE'!Z:AE,6,0),"")</f>
        <v/>
      </c>
    </row>
    <row r="281" spans="1:2" x14ac:dyDescent="0.25">
      <c r="A281" s="7"/>
      <c r="B281" s="7" t="str">
        <f>IFERROR(VLOOKUP(A281,'ZDET-PRICE'!Z:AE,6,0),"")</f>
        <v/>
      </c>
    </row>
    <row r="282" spans="1:2" x14ac:dyDescent="0.25">
      <c r="A282" s="7"/>
      <c r="B282" s="7" t="str">
        <f>IFERROR(VLOOKUP(A282,'ZDET-PRICE'!Z:AE,6,0),"")</f>
        <v/>
      </c>
    </row>
    <row r="283" spans="1:2" x14ac:dyDescent="0.25">
      <c r="A283" s="7"/>
      <c r="B283" s="7" t="str">
        <f>IFERROR(VLOOKUP(A283,'ZDET-PRICE'!Z:AE,6,0),"")</f>
        <v/>
      </c>
    </row>
    <row r="284" spans="1:2" x14ac:dyDescent="0.25">
      <c r="A284" s="7"/>
      <c r="B284" s="7" t="str">
        <f>IFERROR(VLOOKUP(A284,'ZDET-PRICE'!Z:AE,6,0),"")</f>
        <v/>
      </c>
    </row>
    <row r="285" spans="1:2" x14ac:dyDescent="0.25">
      <c r="A285" s="7"/>
      <c r="B285" s="7" t="str">
        <f>IFERROR(VLOOKUP(A285,'ZDET-PRICE'!Z:AE,6,0),"")</f>
        <v/>
      </c>
    </row>
    <row r="286" spans="1:2" x14ac:dyDescent="0.25">
      <c r="A286" s="7"/>
      <c r="B286" s="7" t="str">
        <f>IFERROR(VLOOKUP(A286,'ZDET-PRICE'!Z:AE,6,0),"")</f>
        <v/>
      </c>
    </row>
    <row r="287" spans="1:2" x14ac:dyDescent="0.25">
      <c r="A287" s="7"/>
      <c r="B287" s="7" t="str">
        <f>IFERROR(VLOOKUP(A287,'ZDET-PRICE'!Z:AE,6,0),"")</f>
        <v/>
      </c>
    </row>
    <row r="288" spans="1:2" x14ac:dyDescent="0.25">
      <c r="A288" s="7"/>
      <c r="B288" s="7" t="str">
        <f>IFERROR(VLOOKUP(A288,'ZDET-PRICE'!Z:AE,6,0),"")</f>
        <v/>
      </c>
    </row>
    <row r="289" spans="1:2" x14ac:dyDescent="0.25">
      <c r="A289" s="7"/>
      <c r="B289" s="7" t="str">
        <f>IFERROR(VLOOKUP(A289,'ZDET-PRICE'!Z:AE,6,0),"")</f>
        <v/>
      </c>
    </row>
    <row r="290" spans="1:2" x14ac:dyDescent="0.25">
      <c r="A290" s="7"/>
      <c r="B290" s="7" t="str">
        <f>IFERROR(VLOOKUP(A290,'ZDET-PRICE'!Z:AE,6,0),"")</f>
        <v/>
      </c>
    </row>
    <row r="291" spans="1:2" x14ac:dyDescent="0.25">
      <c r="A291" s="7"/>
      <c r="B291" s="7" t="str">
        <f>IFERROR(VLOOKUP(A291,'ZDET-PRICE'!Z:AE,6,0),"")</f>
        <v/>
      </c>
    </row>
    <row r="292" spans="1:2" x14ac:dyDescent="0.25">
      <c r="A292" s="7"/>
      <c r="B292" s="7" t="str">
        <f>IFERROR(VLOOKUP(A292,'ZDET-PRICE'!Z:AE,6,0),"")</f>
        <v/>
      </c>
    </row>
    <row r="293" spans="1:2" x14ac:dyDescent="0.25">
      <c r="A293" s="7"/>
      <c r="B293" s="7" t="str">
        <f>IFERROR(VLOOKUP(A293,'ZDET-PRICE'!Z:AE,6,0),"")</f>
        <v/>
      </c>
    </row>
    <row r="294" spans="1:2" x14ac:dyDescent="0.25">
      <c r="A294" s="7"/>
      <c r="B294" s="7" t="str">
        <f>IFERROR(VLOOKUP(A294,'ZDET-PRICE'!Z:AE,6,0),"")</f>
        <v/>
      </c>
    </row>
    <row r="295" spans="1:2" x14ac:dyDescent="0.25">
      <c r="A295" s="7"/>
      <c r="B295" s="7" t="str">
        <f>IFERROR(VLOOKUP(A295,'ZDET-PRICE'!Z:AE,6,0),"")</f>
        <v/>
      </c>
    </row>
    <row r="296" spans="1:2" x14ac:dyDescent="0.25">
      <c r="A296" s="7"/>
      <c r="B296" s="7" t="str">
        <f>IFERROR(VLOOKUP(A296,'ZDET-PRICE'!Z:AE,6,0),"")</f>
        <v/>
      </c>
    </row>
    <row r="297" spans="1:2" x14ac:dyDescent="0.25">
      <c r="A297" s="7"/>
      <c r="B297" s="7" t="str">
        <f>IFERROR(VLOOKUP(A297,'ZDET-PRICE'!Z:AE,6,0),"")</f>
        <v/>
      </c>
    </row>
    <row r="298" spans="1:2" x14ac:dyDescent="0.25">
      <c r="A298" s="7"/>
      <c r="B298" s="7" t="str">
        <f>IFERROR(VLOOKUP(A298,'ZDET-PRICE'!Z:AE,6,0),"")</f>
        <v/>
      </c>
    </row>
    <row r="299" spans="1:2" x14ac:dyDescent="0.25">
      <c r="A299" s="7"/>
      <c r="B299" s="7" t="str">
        <f>IFERROR(VLOOKUP(A299,'ZDET-PRICE'!Z:AE,6,0),"")</f>
        <v/>
      </c>
    </row>
    <row r="300" spans="1:2" x14ac:dyDescent="0.25">
      <c r="A300" s="7"/>
      <c r="B300" s="7" t="str">
        <f>IFERROR(VLOOKUP(A300,'ZDET-PRICE'!Z:AE,6,0),"")</f>
        <v/>
      </c>
    </row>
    <row r="301" spans="1:2" x14ac:dyDescent="0.25">
      <c r="A301" s="7"/>
      <c r="B301" s="7" t="str">
        <f>IFERROR(VLOOKUP(A301,'ZDET-PRICE'!Z:AE,6,0),"")</f>
        <v/>
      </c>
    </row>
    <row r="302" spans="1:2" x14ac:dyDescent="0.25">
      <c r="A302" s="10"/>
      <c r="B302" s="7" t="str">
        <f>IFERROR(VLOOKUP(A302,'ZDET-PRICE'!Z:AE,6,0),"")</f>
        <v/>
      </c>
    </row>
    <row r="303" spans="1:2" x14ac:dyDescent="0.25">
      <c r="A303" s="10"/>
      <c r="B303" s="7" t="str">
        <f>IFERROR(VLOOKUP(A303,'ZDET-PRICE'!Z:AE,6,0),"")</f>
        <v/>
      </c>
    </row>
    <row r="304" spans="1:2" x14ac:dyDescent="0.25">
      <c r="B304" s="7" t="str">
        <f>IFERROR(VLOOKUP(A304,'ZDET-PRICE'!Z:AE,6,0),"")</f>
        <v/>
      </c>
    </row>
    <row r="305" spans="2:2" x14ac:dyDescent="0.25">
      <c r="B305" s="7" t="str">
        <f>IFERROR(VLOOKUP(A305,'ZDET-PRICE'!Z:AE,6,0),"")</f>
        <v/>
      </c>
    </row>
    <row r="306" spans="2:2" x14ac:dyDescent="0.25">
      <c r="B306" s="7" t="str">
        <f>IFERROR(VLOOKUP(A306,'ZDET-PRICE'!Z:AE,6,0),"")</f>
        <v/>
      </c>
    </row>
    <row r="307" spans="2:2" x14ac:dyDescent="0.25">
      <c r="B307" s="7" t="str">
        <f>IFERROR(VLOOKUP(A307,'ZDET-PRICE'!Z:AE,6,0),"")</f>
        <v/>
      </c>
    </row>
    <row r="308" spans="2:2" x14ac:dyDescent="0.25">
      <c r="B308" s="7" t="str">
        <f>IFERROR(VLOOKUP(A308,'ZDET-PRICE'!Z:AE,6,0),"")</f>
        <v/>
      </c>
    </row>
    <row r="309" spans="2:2" x14ac:dyDescent="0.25">
      <c r="B309" s="7" t="str">
        <f>IFERROR(VLOOKUP(A309,'ZDET-PRICE'!Z:AE,6,0),"")</f>
        <v/>
      </c>
    </row>
    <row r="310" spans="2:2" x14ac:dyDescent="0.25">
      <c r="B310" s="7" t="str">
        <f>IFERROR(VLOOKUP(A310,'ZDET-PRICE'!Z:AE,6,0),"")</f>
        <v/>
      </c>
    </row>
    <row r="311" spans="2:2" x14ac:dyDescent="0.25">
      <c r="B311" s="7" t="str">
        <f>IFERROR(VLOOKUP(A311,'ZDET-PRICE'!Z:AE,6,0),"")</f>
        <v/>
      </c>
    </row>
    <row r="312" spans="2:2" s="14" customFormat="1" x14ac:dyDescent="0.25">
      <c r="B312" s="7" t="str">
        <f>IFERROR(VLOOKUP(A312,'ZDET-PRICE'!Z:AE,6,0),"")</f>
        <v/>
      </c>
    </row>
    <row r="313" spans="2:2" s="14" customFormat="1" x14ac:dyDescent="0.25">
      <c r="B313" s="7" t="str">
        <f>IFERROR(VLOOKUP(A313,'ZDET-PRICE'!Z:AE,6,0),"")</f>
        <v/>
      </c>
    </row>
    <row r="314" spans="2:2" s="14" customFormat="1" x14ac:dyDescent="0.25">
      <c r="B314" s="7" t="str">
        <f>IFERROR(VLOOKUP(A314,'ZDET-PRICE'!Z:AE,6,0),"")</f>
        <v/>
      </c>
    </row>
    <row r="315" spans="2:2" s="14" customFormat="1" x14ac:dyDescent="0.25">
      <c r="B315" s="7" t="str">
        <f>IFERROR(VLOOKUP(A315,'ZDET-PRICE'!Z:AE,6,0),"")</f>
        <v/>
      </c>
    </row>
    <row r="316" spans="2:2" s="14" customFormat="1" x14ac:dyDescent="0.25">
      <c r="B316" s="7" t="str">
        <f>IFERROR(VLOOKUP(A316,'ZDET-PRICE'!Z:AE,6,0),"")</f>
        <v/>
      </c>
    </row>
    <row r="317" spans="2:2" x14ac:dyDescent="0.25">
      <c r="B317" s="7" t="str">
        <f>IFERROR(VLOOKUP(A317,'ZDET-PRICE'!Z:AE,6,0),"")</f>
        <v/>
      </c>
    </row>
    <row r="318" spans="2:2" x14ac:dyDescent="0.25">
      <c r="B318" s="7" t="str">
        <f>IFERROR(VLOOKUP(A318,'ZDET-PRICE'!Z:AE,6,0),"")</f>
        <v/>
      </c>
    </row>
    <row r="319" spans="2:2" x14ac:dyDescent="0.25">
      <c r="B319" s="7" t="str">
        <f>IFERROR(VLOOKUP(A319,'ZDET-PRICE'!Z:AE,6,0),"")</f>
        <v/>
      </c>
    </row>
    <row r="320" spans="2:2" x14ac:dyDescent="0.25">
      <c r="B320" s="7" t="str">
        <f>IFERROR(VLOOKUP(A320,'ZDET-PRICE'!Z:AE,6,0),"")</f>
        <v/>
      </c>
    </row>
    <row r="321" spans="2:2" x14ac:dyDescent="0.25">
      <c r="B321" s="7" t="str">
        <f>IFERROR(VLOOKUP(A321,'ZDET-PRICE'!Z:AE,6,0),"")</f>
        <v/>
      </c>
    </row>
    <row r="322" spans="2:2" x14ac:dyDescent="0.25">
      <c r="B322" s="7" t="str">
        <f>IFERROR(VLOOKUP(A322,'ZDET-PRICE'!Z:AE,6,0),"")</f>
        <v/>
      </c>
    </row>
    <row r="323" spans="2:2" x14ac:dyDescent="0.25">
      <c r="B323" s="7" t="str">
        <f>IFERROR(VLOOKUP(A323,'ZDET-PRICE'!Z:AE,6,0),"")</f>
        <v/>
      </c>
    </row>
    <row r="324" spans="2:2" x14ac:dyDescent="0.25">
      <c r="B324" s="7" t="str">
        <f>IFERROR(VLOOKUP(A324,'ZDET-PRICE'!Z:AE,6,0),"")</f>
        <v/>
      </c>
    </row>
    <row r="325" spans="2:2" x14ac:dyDescent="0.25">
      <c r="B325" s="7" t="str">
        <f>IFERROR(VLOOKUP(A325,'ZDET-PRICE'!Z:AE,6,0),"")</f>
        <v/>
      </c>
    </row>
    <row r="326" spans="2:2" x14ac:dyDescent="0.25">
      <c r="B326" s="7" t="str">
        <f>IFERROR(VLOOKUP(A326,'ZDET-PRICE'!Z:AE,6,0),"")</f>
        <v/>
      </c>
    </row>
    <row r="327" spans="2:2" x14ac:dyDescent="0.25">
      <c r="B327" s="7" t="str">
        <f>IFERROR(VLOOKUP(A327,'ZDET-PRICE'!Z:AE,6,0),"")</f>
        <v/>
      </c>
    </row>
    <row r="328" spans="2:2" x14ac:dyDescent="0.25">
      <c r="B328" s="7" t="str">
        <f>IFERROR(VLOOKUP(A328,'ZDET-PRICE'!Z:AE,6,0),"")</f>
        <v/>
      </c>
    </row>
    <row r="329" spans="2:2" x14ac:dyDescent="0.25">
      <c r="B329" s="7" t="str">
        <f>IFERROR(VLOOKUP(A329,'ZDET-PRICE'!Z:AE,6,0),"")</f>
        <v/>
      </c>
    </row>
    <row r="330" spans="2:2" x14ac:dyDescent="0.25">
      <c r="B330" s="7" t="str">
        <f>IFERROR(VLOOKUP(A330,'ZDET-PRICE'!Z:AE,6,0),"")</f>
        <v/>
      </c>
    </row>
    <row r="331" spans="2:2" x14ac:dyDescent="0.25">
      <c r="B331" s="7" t="str">
        <f>IFERROR(VLOOKUP(A331,'ZDET-PRICE'!Z:AE,6,0),"")</f>
        <v/>
      </c>
    </row>
    <row r="332" spans="2:2" x14ac:dyDescent="0.25">
      <c r="B332" s="7" t="str">
        <f>IFERROR(VLOOKUP(A332,'ZDET-PRICE'!Z:AE,6,0),"")</f>
        <v/>
      </c>
    </row>
    <row r="333" spans="2:2" x14ac:dyDescent="0.25">
      <c r="B333" s="7" t="str">
        <f>IFERROR(VLOOKUP(A333,'ZDET-PRICE'!Z:AE,6,0),"")</f>
        <v/>
      </c>
    </row>
    <row r="334" spans="2:2" x14ac:dyDescent="0.25">
      <c r="B334" s="7" t="str">
        <f>IFERROR(VLOOKUP(A334,'ZDET-PRICE'!Z:AE,6,0),"")</f>
        <v/>
      </c>
    </row>
    <row r="335" spans="2:2" x14ac:dyDescent="0.25">
      <c r="B335" s="7" t="str">
        <f>IFERROR(VLOOKUP(A335,'ZDET-PRICE'!Z:AE,6,0),"")</f>
        <v/>
      </c>
    </row>
    <row r="336" spans="2:2" x14ac:dyDescent="0.25">
      <c r="B336" s="7" t="str">
        <f>IFERROR(VLOOKUP(A336,'ZDET-PRICE'!Z:AE,6,0),"")</f>
        <v/>
      </c>
    </row>
    <row r="337" spans="2:2" x14ac:dyDescent="0.25">
      <c r="B337" s="7" t="str">
        <f>IFERROR(VLOOKUP(A337,'ZDET-PRICE'!Z:AE,6,0),"")</f>
        <v/>
      </c>
    </row>
    <row r="338" spans="2:2" x14ac:dyDescent="0.25">
      <c r="B338" s="7" t="str">
        <f>IFERROR(VLOOKUP(A338,'ZDET-PRICE'!Z:AE,6,0),"")</f>
        <v/>
      </c>
    </row>
    <row r="339" spans="2:2" x14ac:dyDescent="0.25">
      <c r="B339" s="7" t="str">
        <f>IFERROR(VLOOKUP(A339,'ZDET-PRICE'!Z:AE,6,0),"")</f>
        <v/>
      </c>
    </row>
    <row r="340" spans="2:2" x14ac:dyDescent="0.25">
      <c r="B340" s="7" t="str">
        <f>IFERROR(VLOOKUP(A340,'ZDET-PRICE'!Z:AE,6,0),"")</f>
        <v/>
      </c>
    </row>
    <row r="341" spans="2:2" x14ac:dyDescent="0.25">
      <c r="B341" s="7" t="str">
        <f>IFERROR(VLOOKUP(A341,'ZDET-PRICE'!Z:AE,6,0),"")</f>
        <v/>
      </c>
    </row>
    <row r="342" spans="2:2" x14ac:dyDescent="0.25">
      <c r="B342" s="7" t="str">
        <f>IFERROR(VLOOKUP(A342,'ZDET-PRICE'!Z:AE,6,0),"")</f>
        <v/>
      </c>
    </row>
    <row r="343" spans="2:2" x14ac:dyDescent="0.25">
      <c r="B343" s="7" t="str">
        <f>IFERROR(VLOOKUP(A343,'ZDET-PRICE'!Z:AE,6,0),"")</f>
        <v/>
      </c>
    </row>
    <row r="344" spans="2:2" x14ac:dyDescent="0.25">
      <c r="B344" s="7" t="str">
        <f>IFERROR(VLOOKUP(A344,'ZDET-PRICE'!Z:AE,6,0),"")</f>
        <v/>
      </c>
    </row>
    <row r="345" spans="2:2" x14ac:dyDescent="0.25">
      <c r="B345" s="7" t="str">
        <f>IFERROR(VLOOKUP(A345,'ZDET-PRICE'!Z:AE,6,0),"")</f>
        <v/>
      </c>
    </row>
    <row r="346" spans="2:2" x14ac:dyDescent="0.25">
      <c r="B346" s="7" t="str">
        <f>IFERROR(VLOOKUP(A346,'ZDET-PRICE'!Z:AE,6,0),"")</f>
        <v/>
      </c>
    </row>
    <row r="347" spans="2:2" x14ac:dyDescent="0.25">
      <c r="B347" s="7" t="str">
        <f>IFERROR(VLOOKUP(A347,'ZDET-PRICE'!Z:AE,6,0),"")</f>
        <v/>
      </c>
    </row>
    <row r="348" spans="2:2" x14ac:dyDescent="0.25">
      <c r="B348" s="7" t="str">
        <f>IFERROR(VLOOKUP(A348,'ZDET-PRICE'!Z:AE,6,0),"")</f>
        <v/>
      </c>
    </row>
    <row r="349" spans="2:2" x14ac:dyDescent="0.25">
      <c r="B349" s="7" t="str">
        <f>IFERROR(VLOOKUP(A349,'ZDET-PRICE'!Z:AE,6,0),"")</f>
        <v/>
      </c>
    </row>
    <row r="350" spans="2:2" x14ac:dyDescent="0.25">
      <c r="B350" s="7" t="str">
        <f>IFERROR(VLOOKUP(A350,'ZDET-PRICE'!Z:AE,6,0),"")</f>
        <v/>
      </c>
    </row>
    <row r="351" spans="2:2" x14ac:dyDescent="0.25">
      <c r="B351" s="7" t="str">
        <f>IFERROR(VLOOKUP(A351,'ZDET-PRICE'!Z:AE,6,0),"")</f>
        <v/>
      </c>
    </row>
    <row r="352" spans="2:2" x14ac:dyDescent="0.25">
      <c r="B352" s="7" t="str">
        <f>IFERROR(VLOOKUP(A352,'ZDET-PRICE'!Z:AE,6,0),"")</f>
        <v/>
      </c>
    </row>
    <row r="353" spans="2:2" x14ac:dyDescent="0.25">
      <c r="B353" s="7" t="str">
        <f>IFERROR(VLOOKUP(A353,'ZDET-PRICE'!Z:AE,6,0),"")</f>
        <v/>
      </c>
    </row>
    <row r="354" spans="2:2" x14ac:dyDescent="0.25">
      <c r="B354" s="7" t="str">
        <f>IFERROR(VLOOKUP(A354,'ZDET-PRICE'!Z:AE,6,0),"")</f>
        <v/>
      </c>
    </row>
    <row r="355" spans="2:2" x14ac:dyDescent="0.25">
      <c r="B355" s="7" t="str">
        <f>IFERROR(VLOOKUP(A355,'ZDET-PRICE'!Z:AE,6,0),"")</f>
        <v/>
      </c>
    </row>
    <row r="356" spans="2:2" x14ac:dyDescent="0.25">
      <c r="B356" s="7" t="str">
        <f>IFERROR(VLOOKUP(A356,'ZDET-PRICE'!Z:AE,6,0),"")</f>
        <v/>
      </c>
    </row>
    <row r="357" spans="2:2" x14ac:dyDescent="0.25">
      <c r="B357" s="7" t="str">
        <f>IFERROR(VLOOKUP(A357,'ZDET-PRICE'!Z:AE,6,0),"")</f>
        <v/>
      </c>
    </row>
    <row r="358" spans="2:2" x14ac:dyDescent="0.25">
      <c r="B358" s="7" t="str">
        <f>IFERROR(VLOOKUP(A358,'ZDET-PRICE'!Z:AE,6,0),"")</f>
        <v/>
      </c>
    </row>
    <row r="359" spans="2:2" x14ac:dyDescent="0.25">
      <c r="B359" s="7" t="str">
        <f>IFERROR(VLOOKUP(A359,'ZDET-PRICE'!Z:AE,6,0),"")</f>
        <v/>
      </c>
    </row>
    <row r="360" spans="2:2" x14ac:dyDescent="0.25">
      <c r="B360" s="7" t="str">
        <f>IFERROR(VLOOKUP(A360,'ZDET-PRICE'!Z:AE,6,0),"")</f>
        <v/>
      </c>
    </row>
    <row r="361" spans="2:2" x14ac:dyDescent="0.25">
      <c r="B361" s="7" t="str">
        <f>IFERROR(VLOOKUP(A361,'ZDET-PRICE'!Z:AE,6,0),"")</f>
        <v/>
      </c>
    </row>
    <row r="362" spans="2:2" x14ac:dyDescent="0.25">
      <c r="B362" s="7" t="str">
        <f>IFERROR(VLOOKUP(A362,'ZDET-PRICE'!Z:AE,6,0),"")</f>
        <v/>
      </c>
    </row>
    <row r="363" spans="2:2" x14ac:dyDescent="0.25">
      <c r="B363" s="7" t="str">
        <f>IFERROR(VLOOKUP(A363,'ZDET-PRICE'!Z:AE,6,0),"")</f>
        <v/>
      </c>
    </row>
    <row r="364" spans="2:2" x14ac:dyDescent="0.25">
      <c r="B364" s="7" t="str">
        <f>IFERROR(VLOOKUP(A364,'ZDET-PRICE'!Z:AE,6,0),"")</f>
        <v/>
      </c>
    </row>
    <row r="365" spans="2:2" x14ac:dyDescent="0.25">
      <c r="B365" s="7" t="str">
        <f>IFERROR(VLOOKUP(A365,'ZDET-PRICE'!Z:AE,6,0),"")</f>
        <v/>
      </c>
    </row>
    <row r="366" spans="2:2" x14ac:dyDescent="0.25">
      <c r="B366" s="7" t="str">
        <f>IFERROR(VLOOKUP(A366,'ZDET-PRICE'!Z:AE,6,0),"")</f>
        <v/>
      </c>
    </row>
    <row r="367" spans="2:2" x14ac:dyDescent="0.25">
      <c r="B367" s="7" t="str">
        <f>IFERROR(VLOOKUP(A367,'ZDET-PRICE'!Z:AE,6,0),"")</f>
        <v/>
      </c>
    </row>
    <row r="368" spans="2:2" x14ac:dyDescent="0.25">
      <c r="B368" s="7" t="str">
        <f>IFERROR(VLOOKUP(A368,'ZDET-PRICE'!Z:AE,6,0),"")</f>
        <v/>
      </c>
    </row>
    <row r="369" spans="2:2" x14ac:dyDescent="0.25">
      <c r="B369" s="7" t="str">
        <f>IFERROR(VLOOKUP(A369,'ZDET-PRICE'!Z:AE,6,0),"")</f>
        <v/>
      </c>
    </row>
    <row r="370" spans="2:2" x14ac:dyDescent="0.25">
      <c r="B370" s="7" t="str">
        <f>IFERROR(VLOOKUP(A370,'ZDET-PRICE'!Z:AE,6,0),"")</f>
        <v/>
      </c>
    </row>
    <row r="371" spans="2:2" x14ac:dyDescent="0.25">
      <c r="B371" s="7" t="str">
        <f>IFERROR(VLOOKUP(A371,'ZDET-PRICE'!Z:AE,6,0),"")</f>
        <v/>
      </c>
    </row>
    <row r="372" spans="2:2" x14ac:dyDescent="0.25">
      <c r="B372" s="7" t="str">
        <f>IFERROR(VLOOKUP(A372,'ZDET-PRICE'!Z:AE,6,0),"")</f>
        <v/>
      </c>
    </row>
    <row r="373" spans="2:2" x14ac:dyDescent="0.25">
      <c r="B373" s="7" t="str">
        <f>IFERROR(VLOOKUP(A373,'ZDET-PRICE'!Z:AE,6,0),"")</f>
        <v/>
      </c>
    </row>
    <row r="374" spans="2:2" x14ac:dyDescent="0.25">
      <c r="B374" s="7" t="str">
        <f>IFERROR(VLOOKUP(A374,'ZDET-PRICE'!Z:AE,6,0),"")</f>
        <v/>
      </c>
    </row>
    <row r="375" spans="2:2" x14ac:dyDescent="0.25">
      <c r="B375" s="7" t="str">
        <f>IFERROR(VLOOKUP(A375,'ZDET-PRICE'!Z:AE,6,0),"")</f>
        <v/>
      </c>
    </row>
    <row r="376" spans="2:2" x14ac:dyDescent="0.25">
      <c r="B376" s="7" t="str">
        <f>IFERROR(VLOOKUP(A376,'ZDET-PRICE'!Z:AE,6,0),"")</f>
        <v/>
      </c>
    </row>
    <row r="377" spans="2:2" x14ac:dyDescent="0.25">
      <c r="B377" s="7" t="str">
        <f>IFERROR(VLOOKUP(A377,'ZDET-PRICE'!Z:AE,6,0),"")</f>
        <v/>
      </c>
    </row>
    <row r="378" spans="2:2" x14ac:dyDescent="0.25">
      <c r="B378" s="7" t="str">
        <f>IFERROR(VLOOKUP(A378,'ZDET-PRICE'!Z:AE,6,0),"")</f>
        <v/>
      </c>
    </row>
    <row r="379" spans="2:2" x14ac:dyDescent="0.25">
      <c r="B379" s="7" t="str">
        <f>IFERROR(VLOOKUP(A379,'ZDET-PRICE'!Z:AE,6,0),"")</f>
        <v/>
      </c>
    </row>
    <row r="380" spans="2:2" x14ac:dyDescent="0.25">
      <c r="B380" s="7" t="str">
        <f>IFERROR(VLOOKUP(A380,'ZDET-PRICE'!Z:AE,6,0),"")</f>
        <v/>
      </c>
    </row>
    <row r="381" spans="2:2" x14ac:dyDescent="0.25">
      <c r="B381" s="7" t="str">
        <f>IFERROR(VLOOKUP(A381,'ZDET-PRICE'!Z:AE,6,0),"")</f>
        <v/>
      </c>
    </row>
    <row r="382" spans="2:2" x14ac:dyDescent="0.25">
      <c r="B382" s="7" t="str">
        <f>IFERROR(VLOOKUP(A382,'ZDET-PRICE'!Z:AE,6,0),"")</f>
        <v/>
      </c>
    </row>
    <row r="383" spans="2:2" x14ac:dyDescent="0.25">
      <c r="B383" s="7" t="str">
        <f>IFERROR(VLOOKUP(A383,'ZDET-PRICE'!Z:AE,6,0),"")</f>
        <v/>
      </c>
    </row>
    <row r="384" spans="2:2" x14ac:dyDescent="0.25">
      <c r="B384" s="7" t="str">
        <f>IFERROR(VLOOKUP(A384,'ZDET-PRICE'!Z:AE,6,0),"")</f>
        <v/>
      </c>
    </row>
    <row r="385" spans="2:2" x14ac:dyDescent="0.25">
      <c r="B385" s="7" t="str">
        <f>IFERROR(VLOOKUP(A385,'ZDET-PRICE'!Z:AE,6,0),"")</f>
        <v/>
      </c>
    </row>
    <row r="386" spans="2:2" x14ac:dyDescent="0.25">
      <c r="B386" s="7" t="str">
        <f>IFERROR(VLOOKUP(A386,'ZDET-PRICE'!Z:AE,6,0),"")</f>
        <v/>
      </c>
    </row>
    <row r="387" spans="2:2" x14ac:dyDescent="0.25">
      <c r="B387" s="7" t="str">
        <f>IFERROR(VLOOKUP(A387,'ZDET-PRICE'!Z:AE,6,0),"")</f>
        <v/>
      </c>
    </row>
    <row r="388" spans="2:2" x14ac:dyDescent="0.25">
      <c r="B388" s="7" t="str">
        <f>IFERROR(VLOOKUP(A388,'ZDET-PRICE'!Z:AE,6,0),"")</f>
        <v/>
      </c>
    </row>
    <row r="389" spans="2:2" x14ac:dyDescent="0.25">
      <c r="B389" s="7" t="str">
        <f>IFERROR(VLOOKUP(A389,'ZDET-PRICE'!Z:AE,6,0),"")</f>
        <v/>
      </c>
    </row>
    <row r="390" spans="2:2" x14ac:dyDescent="0.25">
      <c r="B390" s="7" t="str">
        <f>IFERROR(VLOOKUP(A390,'ZDET-PRICE'!Z:AE,6,0),"")</f>
        <v/>
      </c>
    </row>
    <row r="391" spans="2:2" x14ac:dyDescent="0.25">
      <c r="B391" s="7" t="str">
        <f>IFERROR(VLOOKUP(A391,'ZDET-PRICE'!Z:AE,6,0),"")</f>
        <v/>
      </c>
    </row>
    <row r="392" spans="2:2" x14ac:dyDescent="0.25">
      <c r="B392" s="7" t="str">
        <f>IFERROR(VLOOKUP(A392,'ZDET-PRICE'!Z:AE,6,0),"")</f>
        <v/>
      </c>
    </row>
    <row r="393" spans="2:2" x14ac:dyDescent="0.25">
      <c r="B393" s="7" t="str">
        <f>IFERROR(VLOOKUP(A393,'ZDET-PRICE'!Z:AE,6,0),"")</f>
        <v/>
      </c>
    </row>
    <row r="394" spans="2:2" x14ac:dyDescent="0.25">
      <c r="B394" s="7" t="str">
        <f>IFERROR(VLOOKUP(A394,'ZDET-PRICE'!Z:AE,6,0),"")</f>
        <v/>
      </c>
    </row>
    <row r="395" spans="2:2" x14ac:dyDescent="0.25">
      <c r="B395" s="7" t="str">
        <f>IFERROR(VLOOKUP(A395,'ZDET-PRICE'!Z:AE,6,0),"")</f>
        <v/>
      </c>
    </row>
    <row r="396" spans="2:2" x14ac:dyDescent="0.25">
      <c r="B396" s="7" t="str">
        <f>IFERROR(VLOOKUP(A396,'ZDET-PRICE'!Z:AE,6,0),"")</f>
        <v/>
      </c>
    </row>
    <row r="397" spans="2:2" x14ac:dyDescent="0.25">
      <c r="B397" s="7" t="str">
        <f>IFERROR(VLOOKUP(A397,'ZDET-PRICE'!Z:AE,6,0),"")</f>
        <v/>
      </c>
    </row>
    <row r="398" spans="2:2" x14ac:dyDescent="0.25">
      <c r="B398" s="7" t="str">
        <f>IFERROR(VLOOKUP(A398,'ZDET-PRICE'!Z:AE,6,0),"")</f>
        <v/>
      </c>
    </row>
    <row r="399" spans="2:2" x14ac:dyDescent="0.25">
      <c r="B399" s="7" t="str">
        <f>IFERROR(VLOOKUP(A399,'ZDET-PRICE'!Z:AE,6,0),"")</f>
        <v/>
      </c>
    </row>
    <row r="400" spans="2:2" x14ac:dyDescent="0.25">
      <c r="B400" s="7" t="str">
        <f>IFERROR(VLOOKUP(A400,'ZDET-PRICE'!Z:AE,6,0),"")</f>
        <v/>
      </c>
    </row>
    <row r="401" spans="2:2" x14ac:dyDescent="0.25">
      <c r="B401" s="7" t="str">
        <f>IFERROR(VLOOKUP(A401,'ZDET-PRICE'!Z:AE,6,0),"")</f>
        <v/>
      </c>
    </row>
    <row r="402" spans="2:2" x14ac:dyDescent="0.25">
      <c r="B402" s="7" t="str">
        <f>IFERROR(VLOOKUP(A402,'ZDET-PRICE'!Z:AE,6,0),"")</f>
        <v/>
      </c>
    </row>
    <row r="403" spans="2:2" x14ac:dyDescent="0.25">
      <c r="B403" s="7" t="str">
        <f>IFERROR(VLOOKUP(A403,'ZDET-PRICE'!Z:AE,6,0),"")</f>
        <v/>
      </c>
    </row>
    <row r="404" spans="2:2" x14ac:dyDescent="0.25">
      <c r="B404" s="7" t="str">
        <f>IFERROR(VLOOKUP(A404,'ZDET-PRICE'!Z:AE,6,0),"")</f>
        <v/>
      </c>
    </row>
    <row r="405" spans="2:2" x14ac:dyDescent="0.25">
      <c r="B405" s="7" t="str">
        <f>IFERROR(VLOOKUP(A405,'ZDET-PRICE'!Z:AE,6,0),"")</f>
        <v/>
      </c>
    </row>
    <row r="406" spans="2:2" x14ac:dyDescent="0.25">
      <c r="B406" s="7" t="str">
        <f>IFERROR(VLOOKUP(A406,'ZDET-PRICE'!Z:AE,6,0),"")</f>
        <v/>
      </c>
    </row>
    <row r="407" spans="2:2" x14ac:dyDescent="0.25">
      <c r="B407" s="7" t="str">
        <f>IFERROR(VLOOKUP(A407,'ZDET-PRICE'!Z:AE,6,0),"")</f>
        <v/>
      </c>
    </row>
    <row r="408" spans="2:2" x14ac:dyDescent="0.25">
      <c r="B408" s="7" t="str">
        <f>IFERROR(VLOOKUP(A408,'ZDET-PRICE'!Z:AE,6,0),"")</f>
        <v/>
      </c>
    </row>
    <row r="409" spans="2:2" x14ac:dyDescent="0.25">
      <c r="B409" s="7" t="str">
        <f>IFERROR(VLOOKUP(A409,'ZDET-PRICE'!Z:AE,6,0),"")</f>
        <v/>
      </c>
    </row>
    <row r="410" spans="2:2" x14ac:dyDescent="0.25">
      <c r="B410" s="7" t="str">
        <f>IFERROR(VLOOKUP(A410,'ZDET-PRICE'!Z:AE,6,0),"")</f>
        <v/>
      </c>
    </row>
    <row r="411" spans="2:2" x14ac:dyDescent="0.25">
      <c r="B411" s="7" t="str">
        <f>IFERROR(VLOOKUP(A411,'ZDET-PRICE'!Z:AE,6,0),"")</f>
        <v/>
      </c>
    </row>
    <row r="412" spans="2:2" x14ac:dyDescent="0.25">
      <c r="B412" s="7" t="str">
        <f>IFERROR(VLOOKUP(A412,'ZDET-PRICE'!Z:AE,6,0),"")</f>
        <v/>
      </c>
    </row>
    <row r="413" spans="2:2" x14ac:dyDescent="0.25">
      <c r="B413" s="7" t="str">
        <f>IFERROR(VLOOKUP(A413,'ZDET-PRICE'!Z:AE,6,0),"")</f>
        <v/>
      </c>
    </row>
    <row r="414" spans="2:2" x14ac:dyDescent="0.25">
      <c r="B414" s="7" t="str">
        <f>IFERROR(VLOOKUP(A414,'ZDET-PRICE'!Z:AE,6,0),"")</f>
        <v/>
      </c>
    </row>
    <row r="415" spans="2:2" s="14" customFormat="1" x14ac:dyDescent="0.25">
      <c r="B415" s="13" t="str">
        <f>IFERROR(VLOOKUP(A415,'ZDET-PRICE'!Z:AE,6,0),"")</f>
        <v/>
      </c>
    </row>
    <row r="416" spans="2:2" x14ac:dyDescent="0.25">
      <c r="B416" s="7" t="str">
        <f>IFERROR(VLOOKUP(A416,'ZDET-PRICE'!Z:AE,6,0),"")</f>
        <v/>
      </c>
    </row>
    <row r="417" spans="2:2" x14ac:dyDescent="0.25">
      <c r="B417" s="7" t="str">
        <f>IFERROR(VLOOKUP(A417,'ZDET-PRICE'!Z:AE,6,0),"")</f>
        <v/>
      </c>
    </row>
    <row r="418" spans="2:2" x14ac:dyDescent="0.25">
      <c r="B418" s="7" t="str">
        <f>IFERROR(VLOOKUP(A418,'ZDET-PRICE'!Z:AE,6,0),"")</f>
        <v/>
      </c>
    </row>
    <row r="419" spans="2:2" s="14" customFormat="1" x14ac:dyDescent="0.25">
      <c r="B419" s="13" t="str">
        <f>IFERROR(VLOOKUP(A419,'ZDET-PRICE'!Z:AE,6,0),"")</f>
        <v/>
      </c>
    </row>
    <row r="420" spans="2:2" x14ac:dyDescent="0.25">
      <c r="B420" s="7" t="str">
        <f>IFERROR(VLOOKUP(A420,'ZDET-PRICE'!Z:AE,6,0),"")</f>
        <v/>
      </c>
    </row>
    <row r="421" spans="2:2" x14ac:dyDescent="0.25">
      <c r="B421" s="7" t="str">
        <f>IFERROR(VLOOKUP(A421,'ZDET-PRICE'!Z:AE,6,0),"")</f>
        <v/>
      </c>
    </row>
    <row r="422" spans="2:2" x14ac:dyDescent="0.25">
      <c r="B422" s="7" t="str">
        <f>IFERROR(VLOOKUP(A422,'ZDET-PRICE'!Z:AE,6,0),"")</f>
        <v/>
      </c>
    </row>
    <row r="423" spans="2:2" x14ac:dyDescent="0.25">
      <c r="B423" s="7" t="str">
        <f>IFERROR(VLOOKUP(A423,'ZDET-PRICE'!Z:AE,6,0),"")</f>
        <v/>
      </c>
    </row>
    <row r="424" spans="2:2" x14ac:dyDescent="0.25">
      <c r="B424" s="7" t="str">
        <f>IFERROR(VLOOKUP(A424,'ZDET-PRICE'!Z:AE,6,0),"")</f>
        <v/>
      </c>
    </row>
    <row r="425" spans="2:2" x14ac:dyDescent="0.25">
      <c r="B425" s="7" t="str">
        <f>IFERROR(VLOOKUP(A425,'ZDET-PRICE'!Z:AE,6,0),"")</f>
        <v/>
      </c>
    </row>
    <row r="426" spans="2:2" x14ac:dyDescent="0.25">
      <c r="B426" s="7" t="str">
        <f>IFERROR(VLOOKUP(A426,'ZDET-PRICE'!Z:AE,6,0),"")</f>
        <v/>
      </c>
    </row>
    <row r="427" spans="2:2" x14ac:dyDescent="0.25">
      <c r="B427" s="7" t="str">
        <f>IFERROR(VLOOKUP(A427,'ZDET-PRICE'!Z:AE,6,0),"")</f>
        <v/>
      </c>
    </row>
    <row r="428" spans="2:2" x14ac:dyDescent="0.25">
      <c r="B428" s="7" t="str">
        <f>IFERROR(VLOOKUP(A428,'ZDET-PRICE'!Z:AE,6,0),"")</f>
        <v/>
      </c>
    </row>
    <row r="429" spans="2:2" x14ac:dyDescent="0.25">
      <c r="B429" s="7" t="str">
        <f>IFERROR(VLOOKUP(A429,'ZDET-PRICE'!Z:AE,6,0),"")</f>
        <v/>
      </c>
    </row>
    <row r="430" spans="2:2" x14ac:dyDescent="0.25">
      <c r="B430" s="7" t="str">
        <f>IFERROR(VLOOKUP(A430,'ZDET-PRICE'!Z:AE,6,0),"")</f>
        <v/>
      </c>
    </row>
    <row r="431" spans="2:2" x14ac:dyDescent="0.25">
      <c r="B431" s="7" t="str">
        <f>IFERROR(VLOOKUP(A431,'ZDET-PRICE'!Z:AE,6,0),"")</f>
        <v/>
      </c>
    </row>
    <row r="432" spans="2:2" x14ac:dyDescent="0.25">
      <c r="B432" s="7" t="str">
        <f>IFERROR(VLOOKUP(A432,'ZDET-PRICE'!Z:AE,6,0),"")</f>
        <v/>
      </c>
    </row>
    <row r="433" spans="2:2" x14ac:dyDescent="0.25">
      <c r="B433" s="7" t="str">
        <f>IFERROR(VLOOKUP(A433,'ZDET-PRICE'!Z:AE,6,0),"")</f>
        <v/>
      </c>
    </row>
    <row r="434" spans="2:2" x14ac:dyDescent="0.25">
      <c r="B434" s="7" t="str">
        <f>IFERROR(VLOOKUP(A434,'ZDET-PRICE'!Z:AE,6,0),"")</f>
        <v/>
      </c>
    </row>
    <row r="435" spans="2:2" x14ac:dyDescent="0.25">
      <c r="B435" s="7" t="str">
        <f>IFERROR(VLOOKUP(A435,'ZDET-PRICE'!Z:AE,6,0),"")</f>
        <v/>
      </c>
    </row>
    <row r="436" spans="2:2" x14ac:dyDescent="0.25">
      <c r="B436" s="7" t="str">
        <f>IFERROR(VLOOKUP(A436,'ZDET-PRICE'!Z:AE,6,0),"")</f>
        <v/>
      </c>
    </row>
    <row r="437" spans="2:2" x14ac:dyDescent="0.25">
      <c r="B437" s="7" t="str">
        <f>IFERROR(VLOOKUP(A437,'ZDET-PRICE'!Z:AE,6,0),"")</f>
        <v/>
      </c>
    </row>
    <row r="438" spans="2:2" x14ac:dyDescent="0.25">
      <c r="B438" s="7" t="str">
        <f>IFERROR(VLOOKUP(A438,'ZDET-PRICE'!Z:AE,6,0),"")</f>
        <v/>
      </c>
    </row>
    <row r="439" spans="2:2" x14ac:dyDescent="0.25">
      <c r="B439" s="7" t="str">
        <f>IFERROR(VLOOKUP(A439,'ZDET-PRICE'!Z:AE,6,0),"")</f>
        <v/>
      </c>
    </row>
    <row r="440" spans="2:2" x14ac:dyDescent="0.25">
      <c r="B440" s="7" t="str">
        <f>IFERROR(VLOOKUP(A440,'ZDET-PRICE'!Z:AE,6,0),"")</f>
        <v/>
      </c>
    </row>
    <row r="441" spans="2:2" x14ac:dyDescent="0.25">
      <c r="B441" s="7" t="str">
        <f>IFERROR(VLOOKUP(A441,'ZDET-PRICE'!Z:AE,6,0),"")</f>
        <v/>
      </c>
    </row>
    <row r="442" spans="2:2" x14ac:dyDescent="0.25">
      <c r="B442" s="7" t="str">
        <f>IFERROR(VLOOKUP(A442,'ZDET-PRICE'!Z:AE,6,0),"")</f>
        <v/>
      </c>
    </row>
    <row r="443" spans="2:2" x14ac:dyDescent="0.25">
      <c r="B443" s="7" t="str">
        <f>IFERROR(VLOOKUP(A443,'ZDET-PRICE'!Z:AE,6,0),"")</f>
        <v/>
      </c>
    </row>
    <row r="444" spans="2:2" x14ac:dyDescent="0.25">
      <c r="B444" s="7" t="str">
        <f>IFERROR(VLOOKUP(A444,'ZDET-PRICE'!Z:AE,6,0),"")</f>
        <v/>
      </c>
    </row>
    <row r="445" spans="2:2" x14ac:dyDescent="0.25">
      <c r="B445" s="7" t="str">
        <f>IFERROR(VLOOKUP(A445,'ZDET-PRICE'!Z:AE,6,0),"")</f>
        <v/>
      </c>
    </row>
    <row r="446" spans="2:2" x14ac:dyDescent="0.25">
      <c r="B446" s="7" t="str">
        <f>IFERROR(VLOOKUP(A446,'ZDET-PRICE'!Z:AE,6,0),"")</f>
        <v/>
      </c>
    </row>
    <row r="447" spans="2:2" x14ac:dyDescent="0.25">
      <c r="B447" s="7" t="str">
        <f>IFERROR(VLOOKUP(A447,'ZDET-PRICE'!Z:AE,6,0),"")</f>
        <v/>
      </c>
    </row>
    <row r="448" spans="2:2" x14ac:dyDescent="0.25">
      <c r="B448" s="7" t="str">
        <f>IFERROR(VLOOKUP(A448,'ZDET-PRICE'!Z:AE,6,0),"")</f>
        <v/>
      </c>
    </row>
    <row r="449" spans="2:2" x14ac:dyDescent="0.25">
      <c r="B449" s="7" t="str">
        <f>IFERROR(VLOOKUP(A449,'ZDET-PRICE'!Z:AE,6,0),"")</f>
        <v/>
      </c>
    </row>
    <row r="450" spans="2:2" x14ac:dyDescent="0.25">
      <c r="B450" s="7" t="str">
        <f>IFERROR(VLOOKUP(A450,'ZDET-PRICE'!Z:AE,6,0),"")</f>
        <v/>
      </c>
    </row>
    <row r="451" spans="2:2" x14ac:dyDescent="0.25">
      <c r="B451" s="7" t="str">
        <f>IFERROR(VLOOKUP(A451,'ZDET-PRICE'!Z:AE,6,0),"")</f>
        <v/>
      </c>
    </row>
    <row r="452" spans="2:2" x14ac:dyDescent="0.25">
      <c r="B452" s="7" t="str">
        <f>IFERROR(VLOOKUP(A452,'ZDET-PRICE'!Z:AE,6,0),"")</f>
        <v/>
      </c>
    </row>
    <row r="453" spans="2:2" x14ac:dyDescent="0.25">
      <c r="B453" s="7" t="str">
        <f>IFERROR(VLOOKUP(A453,'ZDET-PRICE'!Z:AE,6,0),"")</f>
        <v/>
      </c>
    </row>
    <row r="454" spans="2:2" x14ac:dyDescent="0.25">
      <c r="B454" s="7" t="str">
        <f>IFERROR(VLOOKUP(A454,'ZDET-PRICE'!Z:AE,6,0),"")</f>
        <v/>
      </c>
    </row>
    <row r="455" spans="2:2" x14ac:dyDescent="0.25">
      <c r="B455" s="7" t="str">
        <f>IFERROR(VLOOKUP(A455,'ZDET-PRICE'!Z:AE,6,0),"")</f>
        <v/>
      </c>
    </row>
    <row r="456" spans="2:2" x14ac:dyDescent="0.25">
      <c r="B456" s="7" t="str">
        <f>IFERROR(VLOOKUP(A456,'ZDET-PRICE'!Z:AE,6,0),"")</f>
        <v/>
      </c>
    </row>
    <row r="457" spans="2:2" x14ac:dyDescent="0.25">
      <c r="B457" s="7" t="str">
        <f>IFERROR(VLOOKUP(A457,'ZDET-PRICE'!Z:AE,6,0),"")</f>
        <v/>
      </c>
    </row>
    <row r="458" spans="2:2" x14ac:dyDescent="0.25">
      <c r="B458" s="7" t="str">
        <f>IFERROR(VLOOKUP(A458,'ZDET-PRICE'!Z:AE,6,0),"")</f>
        <v/>
      </c>
    </row>
    <row r="459" spans="2:2" x14ac:dyDescent="0.25">
      <c r="B459" s="7" t="str">
        <f>IFERROR(VLOOKUP(A459,'ZDET-PRICE'!Z:AE,6,0),"")</f>
        <v/>
      </c>
    </row>
    <row r="460" spans="2:2" x14ac:dyDescent="0.25">
      <c r="B460" s="7" t="str">
        <f>IFERROR(VLOOKUP(A460,'ZDET-PRICE'!Z:AE,6,0),"")</f>
        <v/>
      </c>
    </row>
    <row r="461" spans="2:2" x14ac:dyDescent="0.25">
      <c r="B461" s="7" t="str">
        <f>IFERROR(VLOOKUP(A461,'ZDET-PRICE'!Z:AE,6,0),"")</f>
        <v/>
      </c>
    </row>
    <row r="462" spans="2:2" x14ac:dyDescent="0.25">
      <c r="B462" s="7" t="str">
        <f>IFERROR(VLOOKUP(A462,'ZDET-PRICE'!Z:AE,6,0),"")</f>
        <v/>
      </c>
    </row>
    <row r="463" spans="2:2" x14ac:dyDescent="0.25">
      <c r="B463" s="7" t="str">
        <f>IFERROR(VLOOKUP(A463,'ZDET-PRICE'!Z:AE,6,0),"")</f>
        <v/>
      </c>
    </row>
    <row r="464" spans="2:2" x14ac:dyDescent="0.25">
      <c r="B464" s="7" t="str">
        <f>IFERROR(VLOOKUP(A464,'ZDET-PRICE'!Z:AE,6,0),"")</f>
        <v/>
      </c>
    </row>
    <row r="465" spans="2:2" x14ac:dyDescent="0.25">
      <c r="B465" s="7" t="str">
        <f>IFERROR(VLOOKUP(A465,'ZDET-PRICE'!Z:AE,6,0),"")</f>
        <v/>
      </c>
    </row>
    <row r="466" spans="2:2" x14ac:dyDescent="0.25">
      <c r="B466" s="7" t="str">
        <f>IFERROR(VLOOKUP(A466,'ZDET-PRICE'!Z:AE,6,0),"")</f>
        <v/>
      </c>
    </row>
    <row r="467" spans="2:2" x14ac:dyDescent="0.25">
      <c r="B467" s="7" t="str">
        <f>IFERROR(VLOOKUP(A467,'ZDET-PRICE'!Z:AE,6,0),"")</f>
        <v/>
      </c>
    </row>
    <row r="468" spans="2:2" x14ac:dyDescent="0.25">
      <c r="B468" s="7" t="str">
        <f>IFERROR(VLOOKUP(A468,'ZDET-PRICE'!Z:AE,6,0),"")</f>
        <v/>
      </c>
    </row>
    <row r="469" spans="2:2" x14ac:dyDescent="0.25">
      <c r="B469" s="7" t="str">
        <f>IFERROR(VLOOKUP(A469,'ZDET-PRICE'!Z:AE,6,0),"")</f>
        <v/>
      </c>
    </row>
    <row r="470" spans="2:2" x14ac:dyDescent="0.25">
      <c r="B470" s="7" t="str">
        <f>IFERROR(VLOOKUP(A470,'ZDET-PRICE'!Z:AE,6,0),"")</f>
        <v/>
      </c>
    </row>
    <row r="471" spans="2:2" x14ac:dyDescent="0.25">
      <c r="B471" s="7" t="str">
        <f>IFERROR(VLOOKUP(A471,'ZDET-PRICE'!Z:AE,6,0),"")</f>
        <v/>
      </c>
    </row>
    <row r="472" spans="2:2" x14ac:dyDescent="0.25">
      <c r="B472" s="7" t="str">
        <f>IFERROR(VLOOKUP(A472,'ZDET-PRICE'!Z:AE,6,0),"")</f>
        <v/>
      </c>
    </row>
    <row r="473" spans="2:2" x14ac:dyDescent="0.25">
      <c r="B473" s="7" t="str">
        <f>IFERROR(VLOOKUP(A473,'ZDET-PRICE'!Z:AE,6,0),"")</f>
        <v/>
      </c>
    </row>
    <row r="474" spans="2:2" x14ac:dyDescent="0.25">
      <c r="B474" s="7" t="str">
        <f>IFERROR(VLOOKUP(A474,'ZDET-PRICE'!Z:AE,6,0),"")</f>
        <v/>
      </c>
    </row>
    <row r="475" spans="2:2" x14ac:dyDescent="0.25">
      <c r="B475" s="7" t="str">
        <f>IFERROR(VLOOKUP(A475,'ZDET-PRICE'!Z:AE,6,0),"")</f>
        <v/>
      </c>
    </row>
    <row r="476" spans="2:2" x14ac:dyDescent="0.25">
      <c r="B476" s="7" t="str">
        <f>IFERROR(VLOOKUP(A476,'ZDET-PRICE'!Z:AE,6,0),"")</f>
        <v/>
      </c>
    </row>
    <row r="477" spans="2:2" x14ac:dyDescent="0.25">
      <c r="B477" s="7" t="str">
        <f>IFERROR(VLOOKUP(A477,'ZDET-PRICE'!Z:AE,6,0),"")</f>
        <v/>
      </c>
    </row>
    <row r="478" spans="2:2" x14ac:dyDescent="0.25">
      <c r="B478" s="7" t="str">
        <f>IFERROR(VLOOKUP(A478,'ZDET-PRICE'!Z:AE,6,0),"")</f>
        <v/>
      </c>
    </row>
    <row r="479" spans="2:2" x14ac:dyDescent="0.25">
      <c r="B479" s="7" t="str">
        <f>IFERROR(VLOOKUP(A479,'ZDET-PRICE'!Z:AE,6,0),"")</f>
        <v/>
      </c>
    </row>
    <row r="480" spans="2:2" x14ac:dyDescent="0.25">
      <c r="B480" s="7" t="str">
        <f>IFERROR(VLOOKUP(A480,'ZDET-PRICE'!Z:AE,6,0),"")</f>
        <v/>
      </c>
    </row>
    <row r="481" spans="2:2" x14ac:dyDescent="0.25">
      <c r="B481" s="7" t="str">
        <f>IFERROR(VLOOKUP(A481,'ZDET-PRICE'!Z:AE,6,0),"")</f>
        <v/>
      </c>
    </row>
    <row r="482" spans="2:2" x14ac:dyDescent="0.25">
      <c r="B482" s="7" t="str">
        <f>IFERROR(VLOOKUP(A482,'ZDET-PRICE'!Z:AE,6,0),"")</f>
        <v/>
      </c>
    </row>
    <row r="483" spans="2:2" x14ac:dyDescent="0.25">
      <c r="B483" s="7" t="str">
        <f>IFERROR(VLOOKUP(A483,'ZDET-PRICE'!Z:AE,6,0),"")</f>
        <v/>
      </c>
    </row>
    <row r="484" spans="2:2" x14ac:dyDescent="0.25">
      <c r="B484" s="7" t="str">
        <f>IFERROR(VLOOKUP(A484,'ZDET-PRICE'!Z:AE,6,0),"")</f>
        <v/>
      </c>
    </row>
    <row r="485" spans="2:2" x14ac:dyDescent="0.25">
      <c r="B485" s="7" t="str">
        <f>IFERROR(VLOOKUP(A485,'ZDET-PRICE'!Z:AE,6,0),"")</f>
        <v/>
      </c>
    </row>
    <row r="486" spans="2:2" x14ac:dyDescent="0.25">
      <c r="B486" s="7" t="str">
        <f>IFERROR(VLOOKUP(A486,'ZDET-PRICE'!Z:AE,6,0),"")</f>
        <v/>
      </c>
    </row>
    <row r="487" spans="2:2" x14ac:dyDescent="0.25">
      <c r="B487" s="7" t="str">
        <f>IFERROR(VLOOKUP(A487,'ZDET-PRICE'!Z:AE,6,0),"")</f>
        <v/>
      </c>
    </row>
    <row r="488" spans="2:2" x14ac:dyDescent="0.25">
      <c r="B488" s="7" t="str">
        <f>IFERROR(VLOOKUP(A488,'ZDET-PRICE'!Z:AE,6,0),"")</f>
        <v/>
      </c>
    </row>
    <row r="489" spans="2:2" x14ac:dyDescent="0.25">
      <c r="B489" s="7" t="str">
        <f>IFERROR(VLOOKUP(A489,'ZDET-PRICE'!Z:AE,6,0),"")</f>
        <v/>
      </c>
    </row>
    <row r="490" spans="2:2" x14ac:dyDescent="0.25">
      <c r="B490" s="7" t="str">
        <f>IFERROR(VLOOKUP(A490,'ZDET-PRICE'!Z:AE,6,0),"")</f>
        <v/>
      </c>
    </row>
    <row r="491" spans="2:2" x14ac:dyDescent="0.25">
      <c r="B491" s="7" t="str">
        <f>IFERROR(VLOOKUP(A491,'ZDET-PRICE'!Z:AE,6,0),"")</f>
        <v/>
      </c>
    </row>
    <row r="492" spans="2:2" x14ac:dyDescent="0.25">
      <c r="B492" s="7" t="str">
        <f>IFERROR(VLOOKUP(A492,'ZDET-PRICE'!Z:AE,6,0),"")</f>
        <v/>
      </c>
    </row>
    <row r="493" spans="2:2" x14ac:dyDescent="0.25">
      <c r="B493" s="7" t="str">
        <f>IFERROR(VLOOKUP(A493,'ZDET-PRICE'!Z:AE,6,0),"")</f>
        <v/>
      </c>
    </row>
    <row r="494" spans="2:2" x14ac:dyDescent="0.25">
      <c r="B494" s="7" t="str">
        <f>IFERROR(VLOOKUP(A494,'ZDET-PRICE'!Z:AE,6,0),"")</f>
        <v/>
      </c>
    </row>
    <row r="495" spans="2:2" x14ac:dyDescent="0.25">
      <c r="B495" s="7" t="str">
        <f>IFERROR(VLOOKUP(A495,'ZDET-PRICE'!Z:AE,6,0),"")</f>
        <v/>
      </c>
    </row>
    <row r="496" spans="2:2" x14ac:dyDescent="0.25">
      <c r="B496" s="7" t="str">
        <f>IFERROR(VLOOKUP(A496,'ZDET-PRICE'!Z:AE,6,0),"")</f>
        <v/>
      </c>
    </row>
    <row r="497" spans="2:2" x14ac:dyDescent="0.25">
      <c r="B497" s="7" t="str">
        <f>IFERROR(VLOOKUP(A497,'ZDET-PRICE'!Z:AE,6,0),"")</f>
        <v/>
      </c>
    </row>
    <row r="498" spans="2:2" x14ac:dyDescent="0.25">
      <c r="B498" s="7" t="str">
        <f>IFERROR(VLOOKUP(A498,'ZDET-PRICE'!Z:AE,6,0),"")</f>
        <v/>
      </c>
    </row>
    <row r="499" spans="2:2" x14ac:dyDescent="0.25">
      <c r="B499" s="7" t="str">
        <f>IFERROR(VLOOKUP(A499,'ZDET-PRICE'!Z:AE,6,0),"")</f>
        <v/>
      </c>
    </row>
    <row r="500" spans="2:2" x14ac:dyDescent="0.25">
      <c r="B500" s="7" t="str">
        <f>IFERROR(VLOOKUP(A500,'ZDET-PRICE'!Z:AE,6,0),"")</f>
        <v/>
      </c>
    </row>
    <row r="501" spans="2:2" x14ac:dyDescent="0.25">
      <c r="B501" s="7" t="str">
        <f>IFERROR(VLOOKUP(A501,'ZDET-PRICE'!Z:AE,6,0),"")</f>
        <v/>
      </c>
    </row>
    <row r="502" spans="2:2" x14ac:dyDescent="0.25">
      <c r="B502" s="7" t="str">
        <f>IFERROR(VLOOKUP(A502,'ZDET-PRICE'!Z:AE,6,0),"")</f>
        <v/>
      </c>
    </row>
    <row r="503" spans="2:2" x14ac:dyDescent="0.25">
      <c r="B503" s="7" t="str">
        <f>IFERROR(VLOOKUP(A503,'ZDET-PRICE'!Z:AE,6,0),"")</f>
        <v/>
      </c>
    </row>
    <row r="504" spans="2:2" x14ac:dyDescent="0.25">
      <c r="B504" s="7" t="str">
        <f>IFERROR(VLOOKUP(A504,'ZDET-PRICE'!Z:AE,6,0),"")</f>
        <v/>
      </c>
    </row>
    <row r="505" spans="2:2" x14ac:dyDescent="0.25">
      <c r="B505" s="7" t="str">
        <f>IFERROR(VLOOKUP(A505,'ZDET-PRICE'!Z:AE,6,0),"")</f>
        <v/>
      </c>
    </row>
    <row r="506" spans="2:2" x14ac:dyDescent="0.25">
      <c r="B506" s="7" t="str">
        <f>IFERROR(VLOOKUP(A506,'ZDET-PRICE'!Z:AE,6,0),"")</f>
        <v/>
      </c>
    </row>
    <row r="507" spans="2:2" s="14" customFormat="1" x14ac:dyDescent="0.25">
      <c r="B507" s="13" t="str">
        <f>IFERROR(VLOOKUP(A507,'ZDET-PRICE'!Z:AE,6,0),"")</f>
        <v/>
      </c>
    </row>
    <row r="508" spans="2:2" x14ac:dyDescent="0.25">
      <c r="B508" s="7" t="str">
        <f>IFERROR(VLOOKUP(A508,'ZDET-PRICE'!Z:AE,6,0),"")</f>
        <v/>
      </c>
    </row>
    <row r="509" spans="2:2" x14ac:dyDescent="0.25">
      <c r="B509" s="7" t="str">
        <f>IFERROR(VLOOKUP(A509,'ZDET-PRICE'!Z:AE,6,0),"")</f>
        <v/>
      </c>
    </row>
    <row r="510" spans="2:2" x14ac:dyDescent="0.25">
      <c r="B510" s="7" t="str">
        <f>IFERROR(VLOOKUP(A510,'ZDET-PRICE'!Z:AE,6,0),"")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63"/>
  <sheetViews>
    <sheetView tabSelected="1" workbookViewId="0">
      <pane xSplit="3" ySplit="2" topLeftCell="D13" activePane="bottomRight" state="frozen"/>
      <selection pane="topRight" activeCell="D1" sqref="D1"/>
      <selection pane="bottomLeft" activeCell="A3" sqref="A3"/>
      <selection pane="bottomRight" activeCell="J14" sqref="J14"/>
    </sheetView>
  </sheetViews>
  <sheetFormatPr defaultRowHeight="15" x14ac:dyDescent="0.25"/>
  <cols>
    <col min="1" max="1" width="9.140625" bestFit="1" customWidth="1"/>
    <col min="2" max="2" width="43.140625" bestFit="1" customWidth="1"/>
    <col min="3" max="3" width="24.42578125" bestFit="1" customWidth="1"/>
    <col min="4" max="4" width="15.140625" customWidth="1"/>
    <col min="5" max="5" width="16.85546875" bestFit="1" customWidth="1"/>
    <col min="6" max="6" width="7.85546875" customWidth="1"/>
    <col min="7" max="7" width="8.85546875" customWidth="1"/>
    <col min="8" max="8" width="8.140625" bestFit="1" customWidth="1"/>
    <col min="9" max="9" width="5.140625" customWidth="1"/>
    <col min="10" max="10" width="8" customWidth="1"/>
    <col min="11" max="11" width="9.85546875" customWidth="1"/>
    <col min="12" max="12" width="11.5703125" customWidth="1"/>
    <col min="13" max="13" width="6.85546875" customWidth="1"/>
    <col min="14" max="14" width="11.5703125" customWidth="1"/>
    <col min="15" max="15" width="14.5703125" customWidth="1"/>
    <col min="16" max="16" width="8" customWidth="1"/>
    <col min="17" max="17" width="11.85546875" bestFit="1" customWidth="1"/>
    <col min="18" max="18" width="10.140625" bestFit="1" customWidth="1"/>
    <col min="19" max="19" width="10.5703125" bestFit="1" customWidth="1"/>
    <col min="20" max="22" width="6.5703125" customWidth="1"/>
    <col min="23" max="23" width="13.140625" customWidth="1"/>
    <col min="24" max="24" width="6.140625" customWidth="1"/>
    <col min="25" max="25" width="12.85546875" customWidth="1"/>
    <col min="26" max="26" width="27.7109375" style="19" customWidth="1"/>
    <col min="27" max="27" width="7.85546875" customWidth="1"/>
    <col min="28" max="28" width="5.140625" customWidth="1"/>
    <col min="29" max="29" width="35.85546875" bestFit="1" customWidth="1"/>
    <col min="30" max="30" width="4" customWidth="1"/>
    <col min="31" max="31" width="9.140625" bestFit="1" customWidth="1"/>
    <col min="32" max="32" width="28.42578125" bestFit="1" customWidth="1"/>
    <col min="33" max="33" width="10.140625" bestFit="1" customWidth="1"/>
  </cols>
  <sheetData>
    <row r="1" spans="1:31" x14ac:dyDescent="0.25">
      <c r="A1" s="1">
        <v>1</v>
      </c>
      <c r="B1" s="1">
        <f>A1+1</f>
        <v>2</v>
      </c>
      <c r="C1" s="1">
        <f t="shared" ref="C1:AD1" si="0">B1+1</f>
        <v>3</v>
      </c>
      <c r="D1" s="1">
        <f t="shared" si="0"/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5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v>1</v>
      </c>
    </row>
    <row r="2" spans="1:31" ht="105" x14ac:dyDescent="0.25">
      <c r="A2" s="2" t="s">
        <v>0</v>
      </c>
      <c r="B2" s="2" t="s">
        <v>1</v>
      </c>
      <c r="C2" s="3" t="s">
        <v>2</v>
      </c>
      <c r="D2" s="4" t="s">
        <v>3</v>
      </c>
      <c r="E2" s="2" t="s">
        <v>4</v>
      </c>
      <c r="F2" s="5" t="s">
        <v>5</v>
      </c>
      <c r="G2" s="4" t="s">
        <v>6</v>
      </c>
      <c r="H2" s="5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5" t="s">
        <v>22</v>
      </c>
      <c r="X2" s="5" t="s">
        <v>23</v>
      </c>
      <c r="Y2" s="4" t="s">
        <v>24</v>
      </c>
      <c r="Z2" s="16" t="s">
        <v>25</v>
      </c>
      <c r="AA2" s="5" t="s">
        <v>26</v>
      </c>
      <c r="AB2" s="5" t="s">
        <v>27</v>
      </c>
      <c r="AC2" s="2" t="s">
        <v>28</v>
      </c>
      <c r="AD2" s="6" t="s">
        <v>29</v>
      </c>
      <c r="AE2" s="2" t="s">
        <v>0</v>
      </c>
    </row>
    <row r="3" spans="1:31" x14ac:dyDescent="0.25">
      <c r="A3" s="7">
        <v>91275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32</v>
      </c>
      <c r="H3" s="7" t="s">
        <v>35</v>
      </c>
      <c r="I3" s="7" t="s">
        <v>35</v>
      </c>
      <c r="J3" s="8">
        <v>1</v>
      </c>
      <c r="K3" s="7" t="s">
        <v>36</v>
      </c>
      <c r="L3" s="8">
        <v>1</v>
      </c>
      <c r="M3" s="7" t="s">
        <v>37</v>
      </c>
      <c r="N3" s="8">
        <v>12</v>
      </c>
      <c r="O3" s="7" t="s">
        <v>32</v>
      </c>
      <c r="P3" s="8">
        <v>0</v>
      </c>
      <c r="Q3" s="9">
        <v>0.86499999999999999</v>
      </c>
      <c r="R3" s="9">
        <v>0.45800000000000002</v>
      </c>
      <c r="S3" s="7" t="s">
        <v>38</v>
      </c>
      <c r="T3" s="9">
        <v>2.2080000000000002</v>
      </c>
      <c r="U3" s="9">
        <v>1.125</v>
      </c>
      <c r="V3" s="9">
        <v>2.25</v>
      </c>
      <c r="W3" s="9">
        <v>1.659</v>
      </c>
      <c r="X3" s="9">
        <v>2.3849999999999998</v>
      </c>
      <c r="Y3" s="9">
        <v>0</v>
      </c>
      <c r="Z3" s="17">
        <v>8429671350061</v>
      </c>
      <c r="AA3" s="8">
        <v>729</v>
      </c>
      <c r="AB3" s="8">
        <v>60</v>
      </c>
      <c r="AC3" s="7" t="s">
        <v>32</v>
      </c>
      <c r="AD3" s="11">
        <v>12</v>
      </c>
      <c r="AE3">
        <f t="shared" ref="AE3:AE66" si="1">A3</f>
        <v>91275</v>
      </c>
    </row>
    <row r="4" spans="1:31" x14ac:dyDescent="0.25">
      <c r="A4" s="7">
        <v>91277</v>
      </c>
      <c r="B4" s="7" t="s">
        <v>39</v>
      </c>
      <c r="C4" s="7" t="s">
        <v>31</v>
      </c>
      <c r="D4" s="7" t="s">
        <v>32</v>
      </c>
      <c r="E4" s="7" t="s">
        <v>40</v>
      </c>
      <c r="F4" s="7" t="s">
        <v>34</v>
      </c>
      <c r="G4" s="7" t="s">
        <v>32</v>
      </c>
      <c r="H4" s="7" t="s">
        <v>35</v>
      </c>
      <c r="I4" s="7" t="s">
        <v>35</v>
      </c>
      <c r="J4" s="8">
        <v>1</v>
      </c>
      <c r="K4" s="7" t="s">
        <v>36</v>
      </c>
      <c r="L4" s="8">
        <v>1</v>
      </c>
      <c r="M4" s="7" t="s">
        <v>37</v>
      </c>
      <c r="N4" s="8">
        <v>6</v>
      </c>
      <c r="O4" s="7" t="s">
        <v>32</v>
      </c>
      <c r="P4" s="8">
        <v>0</v>
      </c>
      <c r="Q4" s="9">
        <v>1.6</v>
      </c>
      <c r="R4" s="9">
        <v>0.91600000000000004</v>
      </c>
      <c r="S4" s="7" t="s">
        <v>38</v>
      </c>
      <c r="T4" s="8">
        <v>8</v>
      </c>
      <c r="U4" s="8">
        <v>8</v>
      </c>
      <c r="V4" s="8">
        <v>30</v>
      </c>
      <c r="W4" s="9">
        <v>3.1829999999999998</v>
      </c>
      <c r="X4" s="9">
        <v>4.6829999999999998</v>
      </c>
      <c r="Y4" s="9">
        <v>0</v>
      </c>
      <c r="Z4" s="17">
        <v>8429671350115</v>
      </c>
      <c r="AA4" s="8">
        <v>729</v>
      </c>
      <c r="AB4" s="8">
        <v>60</v>
      </c>
      <c r="AC4" s="7" t="s">
        <v>32</v>
      </c>
      <c r="AD4" s="11">
        <v>6</v>
      </c>
      <c r="AE4">
        <f t="shared" si="1"/>
        <v>91277</v>
      </c>
    </row>
    <row r="5" spans="1:31" x14ac:dyDescent="0.25">
      <c r="A5" s="7">
        <v>91284</v>
      </c>
      <c r="B5" s="7" t="s">
        <v>41</v>
      </c>
      <c r="C5" s="7" t="s">
        <v>31</v>
      </c>
      <c r="D5" s="7" t="s">
        <v>32</v>
      </c>
      <c r="E5" s="7" t="s">
        <v>42</v>
      </c>
      <c r="F5" s="7" t="s">
        <v>34</v>
      </c>
      <c r="G5" s="7" t="s">
        <v>32</v>
      </c>
      <c r="H5" s="7" t="s">
        <v>35</v>
      </c>
      <c r="I5" s="7" t="s">
        <v>35</v>
      </c>
      <c r="J5" s="8">
        <v>1</v>
      </c>
      <c r="K5" s="7" t="s">
        <v>36</v>
      </c>
      <c r="L5" s="8">
        <v>1</v>
      </c>
      <c r="M5" s="7" t="s">
        <v>37</v>
      </c>
      <c r="N5" s="8">
        <v>12</v>
      </c>
      <c r="O5" s="7" t="s">
        <v>32</v>
      </c>
      <c r="P5" s="8">
        <v>0</v>
      </c>
      <c r="Q5" s="9">
        <v>0.86499999999999999</v>
      </c>
      <c r="R5" s="9">
        <v>0.45800000000000002</v>
      </c>
      <c r="S5" s="7" t="s">
        <v>38</v>
      </c>
      <c r="T5" s="9">
        <v>6.4</v>
      </c>
      <c r="U5" s="9">
        <v>6.4</v>
      </c>
      <c r="V5" s="8">
        <v>26</v>
      </c>
      <c r="W5" s="9">
        <v>1.5640000000000001</v>
      </c>
      <c r="X5" s="9">
        <v>2.2120000000000002</v>
      </c>
      <c r="Y5" s="9">
        <v>0</v>
      </c>
      <c r="Z5" s="17">
        <v>8429671350092</v>
      </c>
      <c r="AA5" s="8">
        <v>729</v>
      </c>
      <c r="AB5" s="8">
        <v>60</v>
      </c>
      <c r="AC5" s="7" t="s">
        <v>32</v>
      </c>
      <c r="AD5" s="11">
        <v>12</v>
      </c>
      <c r="AE5">
        <f t="shared" si="1"/>
        <v>91284</v>
      </c>
    </row>
    <row r="6" spans="1:31" x14ac:dyDescent="0.25">
      <c r="A6" s="7">
        <v>91531</v>
      </c>
      <c r="B6" s="7" t="s">
        <v>43</v>
      </c>
      <c r="C6" s="7" t="s">
        <v>44</v>
      </c>
      <c r="D6" s="7" t="s">
        <v>32</v>
      </c>
      <c r="E6" s="7" t="s">
        <v>45</v>
      </c>
      <c r="F6" s="7" t="s">
        <v>34</v>
      </c>
      <c r="G6" s="7" t="s">
        <v>32</v>
      </c>
      <c r="H6" s="7" t="s">
        <v>46</v>
      </c>
      <c r="I6" s="7" t="s">
        <v>36</v>
      </c>
      <c r="J6" s="8">
        <v>1</v>
      </c>
      <c r="K6" s="7" t="s">
        <v>46</v>
      </c>
      <c r="L6" s="8">
        <v>1</v>
      </c>
      <c r="M6" s="7" t="s">
        <v>37</v>
      </c>
      <c r="N6" s="8">
        <v>24</v>
      </c>
      <c r="O6" s="7" t="s">
        <v>32</v>
      </c>
      <c r="P6" s="8">
        <v>0</v>
      </c>
      <c r="Q6" s="9">
        <v>0.5</v>
      </c>
      <c r="R6" s="9">
        <v>0.42</v>
      </c>
      <c r="S6" s="7" t="s">
        <v>38</v>
      </c>
      <c r="T6" s="9">
        <v>7.5</v>
      </c>
      <c r="U6" s="9">
        <v>7.5</v>
      </c>
      <c r="V6" s="8">
        <v>11</v>
      </c>
      <c r="W6" s="9">
        <v>0.46300000000000002</v>
      </c>
      <c r="X6" s="9">
        <v>0.57399999999999995</v>
      </c>
      <c r="Y6" s="9">
        <v>0</v>
      </c>
      <c r="Z6" s="17">
        <v>24000024675</v>
      </c>
      <c r="AA6" s="8">
        <v>729</v>
      </c>
      <c r="AB6" s="8">
        <v>90</v>
      </c>
      <c r="AC6" s="7" t="s">
        <v>47</v>
      </c>
      <c r="AD6" s="11">
        <v>24</v>
      </c>
      <c r="AE6">
        <f t="shared" si="1"/>
        <v>91531</v>
      </c>
    </row>
    <row r="7" spans="1:31" x14ac:dyDescent="0.25">
      <c r="A7" s="7">
        <v>91535</v>
      </c>
      <c r="B7" s="7" t="s">
        <v>48</v>
      </c>
      <c r="C7" s="7" t="s">
        <v>44</v>
      </c>
      <c r="D7" s="7" t="s">
        <v>32</v>
      </c>
      <c r="E7" s="7" t="s">
        <v>49</v>
      </c>
      <c r="F7" s="7" t="s">
        <v>34</v>
      </c>
      <c r="G7" s="7" t="s">
        <v>32</v>
      </c>
      <c r="H7" s="7" t="s">
        <v>46</v>
      </c>
      <c r="I7" s="7" t="s">
        <v>36</v>
      </c>
      <c r="J7" s="8">
        <v>1</v>
      </c>
      <c r="K7" s="7" t="s">
        <v>46</v>
      </c>
      <c r="L7" s="8">
        <v>1</v>
      </c>
      <c r="M7" s="7" t="s">
        <v>37</v>
      </c>
      <c r="N7" s="8">
        <v>24</v>
      </c>
      <c r="O7" s="7" t="s">
        <v>32</v>
      </c>
      <c r="P7" s="8">
        <v>0</v>
      </c>
      <c r="Q7" s="9">
        <v>0.92500000000000004</v>
      </c>
      <c r="R7" s="9">
        <v>0.82499999999999996</v>
      </c>
      <c r="S7" s="7" t="s">
        <v>38</v>
      </c>
      <c r="T7" s="8">
        <v>10</v>
      </c>
      <c r="U7" s="8">
        <v>10</v>
      </c>
      <c r="V7" s="8">
        <v>12</v>
      </c>
      <c r="W7" s="9">
        <v>0.77700000000000002</v>
      </c>
      <c r="X7" s="9">
        <v>0.92100000000000004</v>
      </c>
      <c r="Y7" s="9">
        <v>0</v>
      </c>
      <c r="Z7" s="17">
        <v>24000010920</v>
      </c>
      <c r="AA7" s="8">
        <v>729</v>
      </c>
      <c r="AB7" s="8">
        <v>90</v>
      </c>
      <c r="AC7" s="7" t="s">
        <v>47</v>
      </c>
      <c r="AD7" s="11">
        <v>24</v>
      </c>
      <c r="AE7">
        <f t="shared" si="1"/>
        <v>91535</v>
      </c>
    </row>
    <row r="8" spans="1:31" x14ac:dyDescent="0.25">
      <c r="A8" s="7">
        <v>91538</v>
      </c>
      <c r="B8" s="7" t="s">
        <v>50</v>
      </c>
      <c r="C8" s="7" t="s">
        <v>44</v>
      </c>
      <c r="D8" s="7" t="s">
        <v>32</v>
      </c>
      <c r="E8" s="7" t="s">
        <v>51</v>
      </c>
      <c r="F8" s="7" t="s">
        <v>34</v>
      </c>
      <c r="G8" s="7" t="s">
        <v>32</v>
      </c>
      <c r="H8" s="7" t="s">
        <v>46</v>
      </c>
      <c r="I8" s="7" t="s">
        <v>36</v>
      </c>
      <c r="J8" s="8">
        <v>1</v>
      </c>
      <c r="K8" s="7" t="s">
        <v>46</v>
      </c>
      <c r="L8" s="8">
        <v>1</v>
      </c>
      <c r="M8" s="7" t="s">
        <v>37</v>
      </c>
      <c r="N8" s="8">
        <v>24</v>
      </c>
      <c r="O8" s="7" t="s">
        <v>32</v>
      </c>
      <c r="P8" s="8">
        <v>0</v>
      </c>
      <c r="Q8" s="9">
        <v>0.25</v>
      </c>
      <c r="R8" s="9">
        <v>0.22700000000000001</v>
      </c>
      <c r="S8" s="7" t="s">
        <v>38</v>
      </c>
      <c r="T8" s="8">
        <v>7</v>
      </c>
      <c r="U8" s="8">
        <v>7</v>
      </c>
      <c r="V8" s="8">
        <v>8</v>
      </c>
      <c r="W8" s="9">
        <v>0.374</v>
      </c>
      <c r="X8" s="9">
        <v>0.46500000000000002</v>
      </c>
      <c r="Y8" s="9">
        <v>0</v>
      </c>
      <c r="Z8" s="17">
        <v>24000011477</v>
      </c>
      <c r="AA8" s="8">
        <v>729</v>
      </c>
      <c r="AB8" s="8">
        <v>90</v>
      </c>
      <c r="AC8" s="7" t="s">
        <v>47</v>
      </c>
      <c r="AD8" s="11">
        <v>24</v>
      </c>
      <c r="AE8">
        <f t="shared" si="1"/>
        <v>91538</v>
      </c>
    </row>
    <row r="9" spans="1:31" x14ac:dyDescent="0.25">
      <c r="A9" s="7">
        <v>91552</v>
      </c>
      <c r="B9" s="7" t="s">
        <v>52</v>
      </c>
      <c r="C9" s="7" t="s">
        <v>44</v>
      </c>
      <c r="D9" s="7" t="s">
        <v>32</v>
      </c>
      <c r="E9" s="7" t="s">
        <v>53</v>
      </c>
      <c r="F9" s="7" t="s">
        <v>34</v>
      </c>
      <c r="G9" s="7" t="s">
        <v>32</v>
      </c>
      <c r="H9" s="7" t="s">
        <v>46</v>
      </c>
      <c r="I9" s="7" t="s">
        <v>36</v>
      </c>
      <c r="J9" s="8">
        <v>1</v>
      </c>
      <c r="K9" s="7" t="s">
        <v>46</v>
      </c>
      <c r="L9" s="8">
        <v>1</v>
      </c>
      <c r="M9" s="7" t="s">
        <v>37</v>
      </c>
      <c r="N9" s="8">
        <v>24</v>
      </c>
      <c r="O9" s="7" t="s">
        <v>32</v>
      </c>
      <c r="P9" s="8">
        <v>0</v>
      </c>
      <c r="Q9" s="9">
        <v>0.5</v>
      </c>
      <c r="R9" s="9">
        <v>0.42</v>
      </c>
      <c r="S9" s="7" t="s">
        <v>38</v>
      </c>
      <c r="T9" s="9">
        <v>7.5</v>
      </c>
      <c r="U9" s="9">
        <v>7.5</v>
      </c>
      <c r="V9" s="8">
        <v>11</v>
      </c>
      <c r="W9" s="9">
        <v>0.41199999999999998</v>
      </c>
      <c r="X9" s="9">
        <v>0.498</v>
      </c>
      <c r="Y9" s="9">
        <v>0</v>
      </c>
      <c r="Z9" s="17">
        <v>24000025528</v>
      </c>
      <c r="AA9" s="8">
        <v>729</v>
      </c>
      <c r="AB9" s="8">
        <v>90</v>
      </c>
      <c r="AC9" s="7" t="s">
        <v>47</v>
      </c>
      <c r="AD9" s="11">
        <v>24</v>
      </c>
      <c r="AE9">
        <f t="shared" si="1"/>
        <v>91552</v>
      </c>
    </row>
    <row r="10" spans="1:31" x14ac:dyDescent="0.25">
      <c r="A10" s="7">
        <v>91554</v>
      </c>
      <c r="B10" s="7" t="s">
        <v>54</v>
      </c>
      <c r="C10" s="7" t="s">
        <v>44</v>
      </c>
      <c r="D10" s="7" t="s">
        <v>32</v>
      </c>
      <c r="E10" s="7" t="s">
        <v>55</v>
      </c>
      <c r="F10" s="7" t="s">
        <v>34</v>
      </c>
      <c r="G10" s="7" t="s">
        <v>32</v>
      </c>
      <c r="H10" s="7" t="s">
        <v>46</v>
      </c>
      <c r="I10" s="7" t="s">
        <v>36</v>
      </c>
      <c r="J10" s="8">
        <v>1</v>
      </c>
      <c r="K10" s="7" t="s">
        <v>46</v>
      </c>
      <c r="L10" s="8">
        <v>1</v>
      </c>
      <c r="M10" s="7" t="s">
        <v>37</v>
      </c>
      <c r="N10" s="8">
        <v>24</v>
      </c>
      <c r="O10" s="7" t="s">
        <v>32</v>
      </c>
      <c r="P10" s="8">
        <v>0</v>
      </c>
      <c r="Q10" s="9">
        <v>0.92500000000000004</v>
      </c>
      <c r="R10" s="9">
        <v>0.82499999999999996</v>
      </c>
      <c r="S10" s="7" t="s">
        <v>38</v>
      </c>
      <c r="T10" s="8">
        <v>10</v>
      </c>
      <c r="U10" s="8">
        <v>10</v>
      </c>
      <c r="V10" s="8">
        <v>12</v>
      </c>
      <c r="W10" s="9">
        <v>0.72599999999999998</v>
      </c>
      <c r="X10" s="9">
        <v>0.82899999999999996</v>
      </c>
      <c r="Y10" s="9">
        <v>0</v>
      </c>
      <c r="Z10" s="17">
        <v>24000010418</v>
      </c>
      <c r="AA10" s="8">
        <v>729</v>
      </c>
      <c r="AB10" s="8">
        <v>90</v>
      </c>
      <c r="AC10" s="7" t="s">
        <v>47</v>
      </c>
      <c r="AD10" s="11">
        <v>24</v>
      </c>
      <c r="AE10">
        <f t="shared" si="1"/>
        <v>91554</v>
      </c>
    </row>
    <row r="11" spans="1:31" x14ac:dyDescent="0.25">
      <c r="A11" s="7">
        <v>91555</v>
      </c>
      <c r="B11" s="7" t="s">
        <v>56</v>
      </c>
      <c r="C11" s="7" t="s">
        <v>44</v>
      </c>
      <c r="D11" s="7" t="s">
        <v>32</v>
      </c>
      <c r="E11" s="7" t="s">
        <v>57</v>
      </c>
      <c r="F11" s="7" t="s">
        <v>34</v>
      </c>
      <c r="G11" s="7" t="s">
        <v>32</v>
      </c>
      <c r="H11" s="7" t="s">
        <v>46</v>
      </c>
      <c r="I11" s="7" t="s">
        <v>36</v>
      </c>
      <c r="J11" s="8">
        <v>1</v>
      </c>
      <c r="K11" s="7" t="s">
        <v>46</v>
      </c>
      <c r="L11" s="8">
        <v>1</v>
      </c>
      <c r="M11" s="7" t="s">
        <v>37</v>
      </c>
      <c r="N11" s="8">
        <v>24</v>
      </c>
      <c r="O11" s="7" t="s">
        <v>32</v>
      </c>
      <c r="P11" s="8">
        <v>0</v>
      </c>
      <c r="Q11" s="9">
        <v>0.5</v>
      </c>
      <c r="R11" s="9">
        <v>0.42</v>
      </c>
      <c r="S11" s="7" t="s">
        <v>38</v>
      </c>
      <c r="T11" s="9">
        <v>7.5</v>
      </c>
      <c r="U11" s="9">
        <v>7.5</v>
      </c>
      <c r="V11" s="8">
        <v>11</v>
      </c>
      <c r="W11" s="9">
        <v>0.41199999999999998</v>
      </c>
      <c r="X11" s="9">
        <v>0.47399999999999998</v>
      </c>
      <c r="Y11" s="9">
        <v>0</v>
      </c>
      <c r="Z11" s="17">
        <v>24000025993</v>
      </c>
      <c r="AA11" s="8">
        <v>729</v>
      </c>
      <c r="AB11" s="8">
        <v>90</v>
      </c>
      <c r="AC11" s="7" t="s">
        <v>47</v>
      </c>
      <c r="AD11" s="11">
        <v>24</v>
      </c>
      <c r="AE11">
        <f t="shared" si="1"/>
        <v>91555</v>
      </c>
    </row>
    <row r="12" spans="1:31" x14ac:dyDescent="0.25">
      <c r="A12" s="7">
        <v>91558</v>
      </c>
      <c r="B12" s="7" t="s">
        <v>58</v>
      </c>
      <c r="C12" s="7" t="s">
        <v>44</v>
      </c>
      <c r="D12" s="7" t="s">
        <v>32</v>
      </c>
      <c r="E12" s="7" t="s">
        <v>59</v>
      </c>
      <c r="F12" s="7" t="s">
        <v>34</v>
      </c>
      <c r="G12" s="7" t="s">
        <v>32</v>
      </c>
      <c r="H12" s="7" t="s">
        <v>46</v>
      </c>
      <c r="I12" s="7" t="s">
        <v>36</v>
      </c>
      <c r="J12" s="8">
        <v>1</v>
      </c>
      <c r="K12" s="7" t="s">
        <v>46</v>
      </c>
      <c r="L12" s="8">
        <v>1</v>
      </c>
      <c r="M12" s="7" t="s">
        <v>37</v>
      </c>
      <c r="N12" s="8">
        <v>48</v>
      </c>
      <c r="O12" s="7" t="s">
        <v>32</v>
      </c>
      <c r="P12" s="8">
        <v>0</v>
      </c>
      <c r="Q12" s="9">
        <v>0.3</v>
      </c>
      <c r="R12" s="9">
        <v>0.23400000000000001</v>
      </c>
      <c r="S12" s="7" t="s">
        <v>38</v>
      </c>
      <c r="T12" s="9">
        <v>8.5</v>
      </c>
      <c r="U12" s="9">
        <v>8.5</v>
      </c>
      <c r="V12" s="8">
        <v>5</v>
      </c>
      <c r="W12" s="9">
        <v>0.23300000000000001</v>
      </c>
      <c r="X12" s="9">
        <v>0.30499999999999999</v>
      </c>
      <c r="Y12" s="9">
        <v>0</v>
      </c>
      <c r="Z12" s="17">
        <v>24000003649</v>
      </c>
      <c r="AA12" s="8">
        <v>729</v>
      </c>
      <c r="AB12" s="8">
        <v>90</v>
      </c>
      <c r="AC12" s="7" t="s">
        <v>47</v>
      </c>
      <c r="AD12" s="11">
        <v>48</v>
      </c>
      <c r="AE12">
        <f t="shared" si="1"/>
        <v>91558</v>
      </c>
    </row>
    <row r="13" spans="1:31" x14ac:dyDescent="0.25">
      <c r="A13" s="7">
        <v>91560</v>
      </c>
      <c r="B13" s="7" t="s">
        <v>60</v>
      </c>
      <c r="C13" s="7" t="s">
        <v>44</v>
      </c>
      <c r="D13" s="7" t="s">
        <v>32</v>
      </c>
      <c r="E13" s="7" t="s">
        <v>61</v>
      </c>
      <c r="F13" s="7" t="s">
        <v>34</v>
      </c>
      <c r="G13" s="7" t="s">
        <v>32</v>
      </c>
      <c r="H13" s="7" t="s">
        <v>46</v>
      </c>
      <c r="I13" s="7" t="s">
        <v>36</v>
      </c>
      <c r="J13" s="8">
        <v>1</v>
      </c>
      <c r="K13" s="7" t="s">
        <v>46</v>
      </c>
      <c r="L13" s="8">
        <v>1</v>
      </c>
      <c r="M13" s="7" t="s">
        <v>37</v>
      </c>
      <c r="N13" s="8">
        <v>24</v>
      </c>
      <c r="O13" s="7" t="s">
        <v>32</v>
      </c>
      <c r="P13" s="8">
        <v>0</v>
      </c>
      <c r="Q13" s="9">
        <v>0.52</v>
      </c>
      <c r="R13" s="9">
        <v>0.432</v>
      </c>
      <c r="S13" s="7" t="s">
        <v>38</v>
      </c>
      <c r="T13" s="9">
        <v>8.5</v>
      </c>
      <c r="U13" s="9">
        <v>8.5</v>
      </c>
      <c r="V13" s="8">
        <v>9</v>
      </c>
      <c r="W13" s="9">
        <v>0.41499999999999998</v>
      </c>
      <c r="X13" s="9">
        <v>0.54</v>
      </c>
      <c r="Y13" s="9">
        <v>0</v>
      </c>
      <c r="Z13" s="17">
        <v>24000015963</v>
      </c>
      <c r="AA13" s="8">
        <v>729</v>
      </c>
      <c r="AB13" s="8">
        <v>90</v>
      </c>
      <c r="AC13" s="7" t="s">
        <v>47</v>
      </c>
      <c r="AD13" s="11">
        <v>24</v>
      </c>
      <c r="AE13">
        <f t="shared" si="1"/>
        <v>91560</v>
      </c>
    </row>
    <row r="14" spans="1:31" x14ac:dyDescent="0.25">
      <c r="A14" s="7">
        <v>91566</v>
      </c>
      <c r="B14" s="7" t="s">
        <v>62</v>
      </c>
      <c r="C14" s="7" t="s">
        <v>44</v>
      </c>
      <c r="D14" s="7" t="s">
        <v>32</v>
      </c>
      <c r="E14" s="7" t="s">
        <v>63</v>
      </c>
      <c r="F14" s="7" t="s">
        <v>34</v>
      </c>
      <c r="G14" s="7" t="s">
        <v>32</v>
      </c>
      <c r="H14" s="7" t="s">
        <v>46</v>
      </c>
      <c r="I14" s="7" t="s">
        <v>36</v>
      </c>
      <c r="J14" s="8">
        <v>1</v>
      </c>
      <c r="K14" s="7" t="s">
        <v>46</v>
      </c>
      <c r="L14" s="8">
        <v>1</v>
      </c>
      <c r="M14" s="7" t="s">
        <v>37</v>
      </c>
      <c r="N14" s="8">
        <v>24</v>
      </c>
      <c r="O14" s="7" t="s">
        <v>32</v>
      </c>
      <c r="P14" s="8">
        <v>0</v>
      </c>
      <c r="Q14" s="9">
        <v>0.28000000000000003</v>
      </c>
      <c r="R14" s="9">
        <v>0.56699999999999995</v>
      </c>
      <c r="S14" s="7" t="s">
        <v>38</v>
      </c>
      <c r="T14" s="9">
        <v>8.5</v>
      </c>
      <c r="U14" s="9">
        <v>8.5</v>
      </c>
      <c r="V14" s="9">
        <v>11.5</v>
      </c>
      <c r="W14" s="9">
        <v>0.48199999999999998</v>
      </c>
      <c r="X14" s="9">
        <v>0.60099999999999998</v>
      </c>
      <c r="Y14" s="9">
        <v>0</v>
      </c>
      <c r="Z14" s="17">
        <v>24000012313</v>
      </c>
      <c r="AA14" s="8">
        <v>729</v>
      </c>
      <c r="AB14" s="8">
        <v>90</v>
      </c>
      <c r="AC14" s="7" t="s">
        <v>47</v>
      </c>
      <c r="AD14" s="11">
        <v>24</v>
      </c>
      <c r="AE14">
        <f t="shared" si="1"/>
        <v>91566</v>
      </c>
    </row>
    <row r="15" spans="1:31" x14ac:dyDescent="0.25">
      <c r="A15" s="7">
        <v>91570</v>
      </c>
      <c r="B15" s="7" t="s">
        <v>64</v>
      </c>
      <c r="C15" s="7" t="s">
        <v>44</v>
      </c>
      <c r="D15" s="7" t="s">
        <v>32</v>
      </c>
      <c r="E15" s="7" t="s">
        <v>65</v>
      </c>
      <c r="F15" s="7" t="s">
        <v>34</v>
      </c>
      <c r="G15" s="7" t="s">
        <v>32</v>
      </c>
      <c r="H15" s="7" t="s">
        <v>46</v>
      </c>
      <c r="I15" s="7" t="s">
        <v>36</v>
      </c>
      <c r="J15" s="8">
        <v>1</v>
      </c>
      <c r="K15" s="7" t="s">
        <v>46</v>
      </c>
      <c r="L15" s="8">
        <v>1</v>
      </c>
      <c r="M15" s="7" t="s">
        <v>37</v>
      </c>
      <c r="N15" s="8">
        <v>48</v>
      </c>
      <c r="O15" s="7" t="s">
        <v>32</v>
      </c>
      <c r="P15" s="8">
        <v>0</v>
      </c>
      <c r="Q15" s="9">
        <v>0.28000000000000003</v>
      </c>
      <c r="R15" s="9">
        <v>0.23400000000000001</v>
      </c>
      <c r="S15" s="7" t="s">
        <v>38</v>
      </c>
      <c r="T15" s="9">
        <v>8.5</v>
      </c>
      <c r="U15" s="9">
        <v>8.5</v>
      </c>
      <c r="V15" s="8">
        <v>5</v>
      </c>
      <c r="W15" s="9">
        <v>0.23599999999999999</v>
      </c>
      <c r="X15" s="9">
        <v>0.30499999999999999</v>
      </c>
      <c r="Y15" s="9">
        <v>0</v>
      </c>
      <c r="Z15" s="17">
        <v>24000008934</v>
      </c>
      <c r="AA15" s="8">
        <v>729</v>
      </c>
      <c r="AB15" s="8">
        <v>90</v>
      </c>
      <c r="AC15" s="7" t="s">
        <v>47</v>
      </c>
      <c r="AD15" s="11">
        <v>48</v>
      </c>
      <c r="AE15">
        <f t="shared" si="1"/>
        <v>91570</v>
      </c>
    </row>
    <row r="16" spans="1:31" x14ac:dyDescent="0.25">
      <c r="A16" s="7">
        <v>91572</v>
      </c>
      <c r="B16" s="7" t="s">
        <v>66</v>
      </c>
      <c r="C16" s="7" t="s">
        <v>44</v>
      </c>
      <c r="D16" s="7" t="s">
        <v>32</v>
      </c>
      <c r="E16" s="7" t="s">
        <v>67</v>
      </c>
      <c r="F16" s="7" t="s">
        <v>34</v>
      </c>
      <c r="G16" s="7" t="s">
        <v>32</v>
      </c>
      <c r="H16" s="7" t="s">
        <v>46</v>
      </c>
      <c r="I16" s="7" t="s">
        <v>36</v>
      </c>
      <c r="J16" s="8">
        <v>1</v>
      </c>
      <c r="K16" s="7" t="s">
        <v>46</v>
      </c>
      <c r="L16" s="8">
        <v>1</v>
      </c>
      <c r="M16" s="7" t="s">
        <v>37</v>
      </c>
      <c r="N16" s="8">
        <v>24</v>
      </c>
      <c r="O16" s="7" t="s">
        <v>32</v>
      </c>
      <c r="P16" s="8">
        <v>0</v>
      </c>
      <c r="Q16" s="9">
        <v>0.52</v>
      </c>
      <c r="R16" s="9">
        <v>0.432</v>
      </c>
      <c r="S16" s="7" t="s">
        <v>38</v>
      </c>
      <c r="T16" s="9">
        <v>8.5</v>
      </c>
      <c r="U16" s="8">
        <v>85</v>
      </c>
      <c r="V16" s="8">
        <v>9</v>
      </c>
      <c r="W16" s="9">
        <v>0.41799999999999998</v>
      </c>
      <c r="X16" s="9">
        <v>0.55500000000000005</v>
      </c>
      <c r="Y16" s="9">
        <v>0</v>
      </c>
      <c r="Z16" s="17">
        <v>24000015970</v>
      </c>
      <c r="AA16" s="8">
        <v>729</v>
      </c>
      <c r="AB16" s="8">
        <v>90</v>
      </c>
      <c r="AC16" s="7" t="s">
        <v>47</v>
      </c>
      <c r="AD16" s="11">
        <v>24</v>
      </c>
      <c r="AE16">
        <f t="shared" si="1"/>
        <v>91572</v>
      </c>
    </row>
    <row r="17" spans="1:31" x14ac:dyDescent="0.25">
      <c r="A17" s="7">
        <v>91575</v>
      </c>
      <c r="B17" s="7" t="s">
        <v>68</v>
      </c>
      <c r="C17" s="7" t="s">
        <v>44</v>
      </c>
      <c r="D17" s="7" t="s">
        <v>32</v>
      </c>
      <c r="E17" s="7" t="s">
        <v>69</v>
      </c>
      <c r="F17" s="7" t="s">
        <v>34</v>
      </c>
      <c r="G17" s="7" t="s">
        <v>32</v>
      </c>
      <c r="H17" s="7" t="s">
        <v>46</v>
      </c>
      <c r="I17" s="7" t="s">
        <v>36</v>
      </c>
      <c r="J17" s="8">
        <v>1</v>
      </c>
      <c r="K17" s="7" t="s">
        <v>46</v>
      </c>
      <c r="L17" s="8">
        <v>1</v>
      </c>
      <c r="M17" s="7" t="s">
        <v>37</v>
      </c>
      <c r="N17" s="8">
        <v>24</v>
      </c>
      <c r="O17" s="7" t="s">
        <v>32</v>
      </c>
      <c r="P17" s="8">
        <v>0</v>
      </c>
      <c r="Q17" s="9">
        <v>0.66</v>
      </c>
      <c r="R17" s="9">
        <v>0.56699999999999995</v>
      </c>
      <c r="S17" s="7" t="s">
        <v>38</v>
      </c>
      <c r="T17" s="9">
        <v>8.5</v>
      </c>
      <c r="U17" s="9">
        <v>8.5</v>
      </c>
      <c r="V17" s="9">
        <v>11.5</v>
      </c>
      <c r="W17" s="9">
        <v>0.47399999999999998</v>
      </c>
      <c r="X17" s="9">
        <v>0.58599999999999997</v>
      </c>
      <c r="Y17" s="9">
        <v>0</v>
      </c>
      <c r="Z17" s="17">
        <v>24000012412</v>
      </c>
      <c r="AA17" s="8">
        <v>729</v>
      </c>
      <c r="AB17" s="8">
        <v>90</v>
      </c>
      <c r="AC17" s="7" t="s">
        <v>47</v>
      </c>
      <c r="AD17" s="11">
        <v>24</v>
      </c>
      <c r="AE17">
        <f t="shared" si="1"/>
        <v>91575</v>
      </c>
    </row>
    <row r="18" spans="1:31" x14ac:dyDescent="0.25">
      <c r="A18" s="7">
        <v>91579</v>
      </c>
      <c r="B18" s="7" t="s">
        <v>70</v>
      </c>
      <c r="C18" s="7" t="s">
        <v>44</v>
      </c>
      <c r="D18" s="7" t="s">
        <v>32</v>
      </c>
      <c r="E18" s="7" t="s">
        <v>71</v>
      </c>
      <c r="F18" s="7" t="s">
        <v>34</v>
      </c>
      <c r="G18" s="7" t="s">
        <v>32</v>
      </c>
      <c r="H18" s="7" t="s">
        <v>46</v>
      </c>
      <c r="I18" s="7" t="s">
        <v>36</v>
      </c>
      <c r="J18" s="8">
        <v>1</v>
      </c>
      <c r="K18" s="7" t="s">
        <v>46</v>
      </c>
      <c r="L18" s="8">
        <v>1</v>
      </c>
      <c r="M18" s="7" t="s">
        <v>37</v>
      </c>
      <c r="N18" s="8">
        <v>24</v>
      </c>
      <c r="O18" s="7" t="s">
        <v>32</v>
      </c>
      <c r="P18" s="8">
        <v>0</v>
      </c>
      <c r="Q18" s="9">
        <v>0.44</v>
      </c>
      <c r="R18" s="9">
        <v>0.4</v>
      </c>
      <c r="S18" s="7" t="s">
        <v>38</v>
      </c>
      <c r="T18" s="9">
        <v>7.5</v>
      </c>
      <c r="U18" s="9">
        <v>7.5</v>
      </c>
      <c r="V18" s="8">
        <v>10</v>
      </c>
      <c r="W18" s="9">
        <v>0.26100000000000001</v>
      </c>
      <c r="X18" s="9">
        <v>0.314</v>
      </c>
      <c r="Y18" s="9">
        <v>0</v>
      </c>
      <c r="Z18" s="17">
        <v>24000102328</v>
      </c>
      <c r="AA18" s="8">
        <v>518</v>
      </c>
      <c r="AB18" s="8">
        <v>90</v>
      </c>
      <c r="AC18" s="7" t="s">
        <v>47</v>
      </c>
      <c r="AD18" s="11">
        <v>24</v>
      </c>
      <c r="AE18">
        <f t="shared" si="1"/>
        <v>91579</v>
      </c>
    </row>
    <row r="19" spans="1:31" x14ac:dyDescent="0.25">
      <c r="A19" s="7">
        <v>91584</v>
      </c>
      <c r="B19" s="7" t="s">
        <v>72</v>
      </c>
      <c r="C19" s="7" t="s">
        <v>44</v>
      </c>
      <c r="D19" s="7" t="s">
        <v>32</v>
      </c>
      <c r="E19" s="7" t="s">
        <v>73</v>
      </c>
      <c r="F19" s="7" t="s">
        <v>34</v>
      </c>
      <c r="G19" s="7" t="s">
        <v>32</v>
      </c>
      <c r="H19" s="7" t="s">
        <v>46</v>
      </c>
      <c r="I19" s="7" t="s">
        <v>36</v>
      </c>
      <c r="J19" s="8">
        <v>1</v>
      </c>
      <c r="K19" s="7" t="s">
        <v>46</v>
      </c>
      <c r="L19" s="8">
        <v>1</v>
      </c>
      <c r="M19" s="7" t="s">
        <v>37</v>
      </c>
      <c r="N19" s="8">
        <v>24</v>
      </c>
      <c r="O19" s="7" t="s">
        <v>32</v>
      </c>
      <c r="P19" s="8">
        <v>0</v>
      </c>
      <c r="Q19" s="9">
        <v>0.46</v>
      </c>
      <c r="R19" s="9">
        <v>0.4</v>
      </c>
      <c r="S19" s="7" t="s">
        <v>38</v>
      </c>
      <c r="T19" s="9">
        <v>7.5</v>
      </c>
      <c r="U19" s="9">
        <v>7.5</v>
      </c>
      <c r="V19" s="8">
        <v>10</v>
      </c>
      <c r="W19" s="9">
        <v>0.247</v>
      </c>
      <c r="X19" s="9">
        <v>0.30299999999999999</v>
      </c>
      <c r="Y19" s="9">
        <v>0</v>
      </c>
      <c r="Z19" s="17">
        <v>24000130123</v>
      </c>
      <c r="AA19" s="8">
        <v>518</v>
      </c>
      <c r="AB19" s="8">
        <v>60</v>
      </c>
      <c r="AC19" s="7" t="s">
        <v>47</v>
      </c>
      <c r="AD19" s="11">
        <v>24</v>
      </c>
      <c r="AE19">
        <f t="shared" si="1"/>
        <v>91584</v>
      </c>
    </row>
    <row r="20" spans="1:31" x14ac:dyDescent="0.25">
      <c r="A20" s="7">
        <v>91589</v>
      </c>
      <c r="B20" s="7" t="s">
        <v>74</v>
      </c>
      <c r="C20" s="7" t="s">
        <v>44</v>
      </c>
      <c r="D20" s="7" t="s">
        <v>32</v>
      </c>
      <c r="E20" s="7" t="s">
        <v>75</v>
      </c>
      <c r="F20" s="7" t="s">
        <v>34</v>
      </c>
      <c r="G20" s="7" t="s">
        <v>32</v>
      </c>
      <c r="H20" s="7" t="s">
        <v>46</v>
      </c>
      <c r="I20" s="7" t="s">
        <v>36</v>
      </c>
      <c r="J20" s="8">
        <v>1</v>
      </c>
      <c r="K20" s="7" t="s">
        <v>46</v>
      </c>
      <c r="L20" s="8">
        <v>1</v>
      </c>
      <c r="M20" s="7" t="s">
        <v>37</v>
      </c>
      <c r="N20" s="8">
        <v>24</v>
      </c>
      <c r="O20" s="7" t="s">
        <v>32</v>
      </c>
      <c r="P20" s="8">
        <v>0</v>
      </c>
      <c r="Q20" s="9">
        <v>0.44</v>
      </c>
      <c r="R20" s="9">
        <v>0.4</v>
      </c>
      <c r="S20" s="7" t="s">
        <v>38</v>
      </c>
      <c r="T20" s="9">
        <v>7.5</v>
      </c>
      <c r="U20" s="9">
        <v>7.5</v>
      </c>
      <c r="V20" s="8">
        <v>10</v>
      </c>
      <c r="W20" s="9">
        <v>0.34699999999999998</v>
      </c>
      <c r="X20" s="9">
        <v>0.44800000000000001</v>
      </c>
      <c r="Y20" s="9">
        <v>0</v>
      </c>
      <c r="Z20" s="17">
        <v>24000156123</v>
      </c>
      <c r="AA20" s="8">
        <v>518</v>
      </c>
      <c r="AB20" s="8">
        <v>90</v>
      </c>
      <c r="AC20" s="7" t="s">
        <v>47</v>
      </c>
      <c r="AD20" s="11">
        <v>24</v>
      </c>
      <c r="AE20">
        <f t="shared" si="1"/>
        <v>91589</v>
      </c>
    </row>
    <row r="21" spans="1:31" x14ac:dyDescent="0.25">
      <c r="A21" s="7">
        <v>91592</v>
      </c>
      <c r="B21" s="7" t="s">
        <v>76</v>
      </c>
      <c r="C21" s="7" t="s">
        <v>44</v>
      </c>
      <c r="D21" s="7" t="s">
        <v>32</v>
      </c>
      <c r="E21" s="7" t="s">
        <v>77</v>
      </c>
      <c r="F21" s="7" t="s">
        <v>34</v>
      </c>
      <c r="G21" s="7" t="s">
        <v>32</v>
      </c>
      <c r="H21" s="7" t="s">
        <v>46</v>
      </c>
      <c r="I21" s="7" t="s">
        <v>36</v>
      </c>
      <c r="J21" s="8">
        <v>1</v>
      </c>
      <c r="K21" s="7" t="s">
        <v>46</v>
      </c>
      <c r="L21" s="8">
        <v>1</v>
      </c>
      <c r="M21" s="7" t="s">
        <v>37</v>
      </c>
      <c r="N21" s="8">
        <v>24</v>
      </c>
      <c r="O21" s="7" t="s">
        <v>32</v>
      </c>
      <c r="P21" s="8">
        <v>0</v>
      </c>
      <c r="Q21" s="9">
        <v>0.43</v>
      </c>
      <c r="R21" s="9">
        <v>0.4</v>
      </c>
      <c r="S21" s="7" t="s">
        <v>38</v>
      </c>
      <c r="T21" s="9">
        <v>7.5</v>
      </c>
      <c r="U21" s="9">
        <v>7.5</v>
      </c>
      <c r="V21" s="8">
        <v>10</v>
      </c>
      <c r="W21" s="9">
        <v>0.28000000000000003</v>
      </c>
      <c r="X21" s="9">
        <v>0.30099999999999999</v>
      </c>
      <c r="Y21" s="9">
        <v>0</v>
      </c>
      <c r="Z21" s="17">
        <v>24000074342</v>
      </c>
      <c r="AA21" s="8">
        <v>518</v>
      </c>
      <c r="AB21" s="8">
        <v>90</v>
      </c>
      <c r="AC21" s="7" t="s">
        <v>47</v>
      </c>
      <c r="AD21" s="11">
        <v>24</v>
      </c>
      <c r="AE21">
        <f t="shared" si="1"/>
        <v>91592</v>
      </c>
    </row>
    <row r="22" spans="1:31" x14ac:dyDescent="0.25">
      <c r="A22" s="7">
        <v>91597</v>
      </c>
      <c r="B22" s="7" t="s">
        <v>78</v>
      </c>
      <c r="C22" s="7" t="s">
        <v>44</v>
      </c>
      <c r="D22" s="7" t="s">
        <v>32</v>
      </c>
      <c r="E22" s="7" t="s">
        <v>79</v>
      </c>
      <c r="F22" s="7" t="s">
        <v>34</v>
      </c>
      <c r="G22" s="7" t="s">
        <v>32</v>
      </c>
      <c r="H22" s="7" t="s">
        <v>46</v>
      </c>
      <c r="I22" s="7" t="s">
        <v>36</v>
      </c>
      <c r="J22" s="8">
        <v>1</v>
      </c>
      <c r="K22" s="7" t="s">
        <v>46</v>
      </c>
      <c r="L22" s="8">
        <v>1</v>
      </c>
      <c r="M22" s="7" t="s">
        <v>37</v>
      </c>
      <c r="N22" s="8">
        <v>24</v>
      </c>
      <c r="O22" s="7" t="s">
        <v>32</v>
      </c>
      <c r="P22" s="8">
        <v>0</v>
      </c>
      <c r="Q22" s="9">
        <v>0.48</v>
      </c>
      <c r="R22" s="9">
        <v>0.42</v>
      </c>
      <c r="S22" s="7" t="s">
        <v>38</v>
      </c>
      <c r="T22" s="9">
        <v>7.5</v>
      </c>
      <c r="U22" s="9">
        <v>7.5</v>
      </c>
      <c r="V22" s="8">
        <v>11</v>
      </c>
      <c r="W22" s="9">
        <v>0.26800000000000002</v>
      </c>
      <c r="X22" s="9">
        <v>0.33200000000000002</v>
      </c>
      <c r="Y22" s="9">
        <v>0</v>
      </c>
      <c r="Z22" s="17">
        <v>24000175056</v>
      </c>
      <c r="AA22" s="8">
        <v>548</v>
      </c>
      <c r="AB22" s="8">
        <v>90</v>
      </c>
      <c r="AC22" s="7" t="s">
        <v>47</v>
      </c>
      <c r="AD22" s="11">
        <v>24</v>
      </c>
      <c r="AE22">
        <f t="shared" si="1"/>
        <v>91597</v>
      </c>
    </row>
    <row r="23" spans="1:31" x14ac:dyDescent="0.25">
      <c r="A23" s="7">
        <v>91599</v>
      </c>
      <c r="B23" s="7" t="s">
        <v>80</v>
      </c>
      <c r="C23" s="7" t="s">
        <v>44</v>
      </c>
      <c r="D23" s="7" t="s">
        <v>32</v>
      </c>
      <c r="E23" s="7" t="s">
        <v>81</v>
      </c>
      <c r="F23" s="7" t="s">
        <v>34</v>
      </c>
      <c r="G23" s="7" t="s">
        <v>32</v>
      </c>
      <c r="H23" s="7" t="s">
        <v>46</v>
      </c>
      <c r="I23" s="7" t="s">
        <v>36</v>
      </c>
      <c r="J23" s="8">
        <v>1</v>
      </c>
      <c r="K23" s="7" t="s">
        <v>46</v>
      </c>
      <c r="L23" s="8">
        <v>1</v>
      </c>
      <c r="M23" s="7" t="s">
        <v>37</v>
      </c>
      <c r="N23" s="8">
        <v>24</v>
      </c>
      <c r="O23" s="7" t="s">
        <v>32</v>
      </c>
      <c r="P23" s="8">
        <v>0</v>
      </c>
      <c r="Q23" s="9">
        <v>0.49</v>
      </c>
      <c r="R23" s="9">
        <v>0.41</v>
      </c>
      <c r="S23" s="7" t="s">
        <v>38</v>
      </c>
      <c r="T23" s="8">
        <v>3</v>
      </c>
      <c r="U23" s="8">
        <v>3</v>
      </c>
      <c r="V23" s="9">
        <v>4.2</v>
      </c>
      <c r="W23" s="9">
        <v>0.27900000000000003</v>
      </c>
      <c r="X23" s="9">
        <v>0.41199999999999998</v>
      </c>
      <c r="Y23" s="9">
        <v>0</v>
      </c>
      <c r="Z23" s="17">
        <v>24000104582</v>
      </c>
      <c r="AA23" s="8">
        <v>729</v>
      </c>
      <c r="AB23" s="8">
        <v>90</v>
      </c>
      <c r="AC23" s="7" t="s">
        <v>47</v>
      </c>
      <c r="AD23" s="11">
        <v>24</v>
      </c>
      <c r="AE23">
        <f t="shared" si="1"/>
        <v>91599</v>
      </c>
    </row>
    <row r="24" spans="1:31" x14ac:dyDescent="0.25">
      <c r="A24" s="7">
        <v>91604</v>
      </c>
      <c r="B24" s="7" t="s">
        <v>82</v>
      </c>
      <c r="C24" s="7" t="s">
        <v>44</v>
      </c>
      <c r="D24" s="7" t="s">
        <v>32</v>
      </c>
      <c r="E24" s="7" t="s">
        <v>83</v>
      </c>
      <c r="F24" s="7" t="s">
        <v>34</v>
      </c>
      <c r="G24" s="7" t="s">
        <v>32</v>
      </c>
      <c r="H24" s="7" t="s">
        <v>46</v>
      </c>
      <c r="I24" s="7" t="s">
        <v>36</v>
      </c>
      <c r="J24" s="8">
        <v>1</v>
      </c>
      <c r="K24" s="7" t="s">
        <v>46</v>
      </c>
      <c r="L24" s="8">
        <v>1</v>
      </c>
      <c r="M24" s="7" t="s">
        <v>37</v>
      </c>
      <c r="N24" s="8">
        <v>24</v>
      </c>
      <c r="O24" s="7" t="s">
        <v>32</v>
      </c>
      <c r="P24" s="8">
        <v>0</v>
      </c>
      <c r="Q24" s="9">
        <v>0.3</v>
      </c>
      <c r="R24" s="9">
        <v>0.24</v>
      </c>
      <c r="S24" s="7" t="s">
        <v>38</v>
      </c>
      <c r="T24" s="8">
        <v>5</v>
      </c>
      <c r="U24" s="8">
        <v>5</v>
      </c>
      <c r="V24" s="8">
        <v>13</v>
      </c>
      <c r="W24" s="9">
        <v>0.16700000000000001</v>
      </c>
      <c r="X24" s="9">
        <v>0.20300000000000001</v>
      </c>
      <c r="Y24" s="9">
        <v>0</v>
      </c>
      <c r="Z24" s="17">
        <v>4800024562692</v>
      </c>
      <c r="AA24" s="8">
        <v>545</v>
      </c>
      <c r="AB24" s="8">
        <v>60</v>
      </c>
      <c r="AC24" s="7" t="s">
        <v>47</v>
      </c>
      <c r="AD24" s="11">
        <v>24</v>
      </c>
      <c r="AE24">
        <f t="shared" si="1"/>
        <v>91604</v>
      </c>
    </row>
    <row r="25" spans="1:31" x14ac:dyDescent="0.25">
      <c r="A25" s="7">
        <v>91614</v>
      </c>
      <c r="B25" s="7" t="s">
        <v>84</v>
      </c>
      <c r="C25" s="7" t="s">
        <v>44</v>
      </c>
      <c r="D25" s="7" t="s">
        <v>32</v>
      </c>
      <c r="E25" s="7" t="s">
        <v>85</v>
      </c>
      <c r="F25" s="7" t="s">
        <v>86</v>
      </c>
      <c r="G25" s="7" t="s">
        <v>32</v>
      </c>
      <c r="H25" s="7" t="s">
        <v>87</v>
      </c>
      <c r="I25" s="7" t="s">
        <v>36</v>
      </c>
      <c r="J25" s="8">
        <v>1</v>
      </c>
      <c r="K25" s="7" t="s">
        <v>37</v>
      </c>
      <c r="L25" s="8">
        <v>4</v>
      </c>
      <c r="M25" s="7" t="s">
        <v>87</v>
      </c>
      <c r="N25" s="8">
        <v>1</v>
      </c>
      <c r="O25" s="7" t="s">
        <v>32</v>
      </c>
      <c r="P25" s="8">
        <v>0</v>
      </c>
      <c r="Q25" s="9">
        <v>1.8</v>
      </c>
      <c r="R25" s="8">
        <v>0</v>
      </c>
      <c r="S25" s="7" t="s">
        <v>38</v>
      </c>
      <c r="T25" s="8">
        <v>15</v>
      </c>
      <c r="U25" s="8">
        <v>10</v>
      </c>
      <c r="V25" s="8">
        <v>13</v>
      </c>
      <c r="W25" s="9">
        <v>0.84099999999999997</v>
      </c>
      <c r="X25" s="9">
        <v>1.0549999999999999</v>
      </c>
      <c r="Y25" s="9">
        <v>0</v>
      </c>
      <c r="Z25" s="22">
        <v>6291106770223</v>
      </c>
      <c r="AA25" s="8">
        <v>729</v>
      </c>
      <c r="AB25" s="8">
        <v>60</v>
      </c>
      <c r="AC25" s="7" t="s">
        <v>88</v>
      </c>
      <c r="AD25" s="11">
        <v>4</v>
      </c>
      <c r="AE25">
        <f t="shared" si="1"/>
        <v>91614</v>
      </c>
    </row>
    <row r="26" spans="1:31" x14ac:dyDescent="0.25">
      <c r="A26" s="7">
        <v>94567</v>
      </c>
      <c r="B26" s="7" t="s">
        <v>89</v>
      </c>
      <c r="C26" s="7" t="s">
        <v>90</v>
      </c>
      <c r="D26" s="7" t="s">
        <v>91</v>
      </c>
      <c r="E26" s="7" t="s">
        <v>92</v>
      </c>
      <c r="F26" s="7" t="s">
        <v>34</v>
      </c>
      <c r="G26" s="7" t="s">
        <v>32</v>
      </c>
      <c r="H26" s="7" t="s">
        <v>36</v>
      </c>
      <c r="I26" s="7" t="s">
        <v>36</v>
      </c>
      <c r="J26" s="8">
        <v>1</v>
      </c>
      <c r="K26" s="7" t="s">
        <v>37</v>
      </c>
      <c r="L26" s="8">
        <v>8</v>
      </c>
      <c r="M26" s="7" t="s">
        <v>38</v>
      </c>
      <c r="N26" s="8">
        <v>25</v>
      </c>
      <c r="O26" s="7" t="s">
        <v>93</v>
      </c>
      <c r="P26" s="8">
        <v>25000</v>
      </c>
      <c r="Q26" s="9">
        <v>1.08</v>
      </c>
      <c r="R26" s="9">
        <v>1.08</v>
      </c>
      <c r="S26" s="7" t="s">
        <v>38</v>
      </c>
      <c r="T26" s="9">
        <v>4.4000000000000004</v>
      </c>
      <c r="U26" s="9">
        <v>4.4000000000000004</v>
      </c>
      <c r="V26" s="9">
        <v>6.1</v>
      </c>
      <c r="W26" s="9">
        <v>2.23</v>
      </c>
      <c r="X26" s="9">
        <v>2.7029999999999998</v>
      </c>
      <c r="Y26" s="9">
        <v>0</v>
      </c>
      <c r="Z26" s="17">
        <v>3073780884655</v>
      </c>
      <c r="AA26" s="8">
        <v>288</v>
      </c>
      <c r="AB26" s="8">
        <v>60</v>
      </c>
      <c r="AC26" s="7" t="s">
        <v>94</v>
      </c>
      <c r="AD26" s="11">
        <v>8</v>
      </c>
      <c r="AE26">
        <f t="shared" si="1"/>
        <v>94567</v>
      </c>
    </row>
    <row r="27" spans="1:31" x14ac:dyDescent="0.25">
      <c r="A27" s="7">
        <v>94576</v>
      </c>
      <c r="B27" s="7" t="s">
        <v>95</v>
      </c>
      <c r="C27" s="7" t="s">
        <v>90</v>
      </c>
      <c r="D27" s="7" t="s">
        <v>91</v>
      </c>
      <c r="E27" s="7" t="s">
        <v>96</v>
      </c>
      <c r="F27" s="7" t="s">
        <v>34</v>
      </c>
      <c r="G27" s="7" t="s">
        <v>32</v>
      </c>
      <c r="H27" s="7" t="s">
        <v>36</v>
      </c>
      <c r="I27" s="7" t="s">
        <v>36</v>
      </c>
      <c r="J27" s="8">
        <v>1</v>
      </c>
      <c r="K27" s="7" t="s">
        <v>37</v>
      </c>
      <c r="L27" s="8">
        <v>32</v>
      </c>
      <c r="M27" s="7" t="s">
        <v>38</v>
      </c>
      <c r="N27" s="8">
        <v>1000</v>
      </c>
      <c r="O27" s="7" t="s">
        <v>93</v>
      </c>
      <c r="P27" s="8">
        <v>12500</v>
      </c>
      <c r="Q27" s="9">
        <v>0.24</v>
      </c>
      <c r="R27" s="9">
        <v>0.24</v>
      </c>
      <c r="S27" s="7" t="s">
        <v>38</v>
      </c>
      <c r="T27" s="9">
        <v>4.4000000000000004</v>
      </c>
      <c r="U27" s="9">
        <v>4.4000000000000004</v>
      </c>
      <c r="V27" s="9">
        <v>1.4</v>
      </c>
      <c r="W27" s="9">
        <v>0.67600000000000005</v>
      </c>
      <c r="X27" s="9">
        <v>0.81899999999999995</v>
      </c>
      <c r="Y27" s="9">
        <v>0</v>
      </c>
      <c r="Z27" s="17">
        <v>3251350161003</v>
      </c>
      <c r="AA27" s="8">
        <v>288</v>
      </c>
      <c r="AB27" s="8">
        <v>60</v>
      </c>
      <c r="AC27" s="7" t="s">
        <v>94</v>
      </c>
      <c r="AD27" s="11">
        <v>32</v>
      </c>
      <c r="AE27">
        <f t="shared" si="1"/>
        <v>94576</v>
      </c>
    </row>
    <row r="28" spans="1:31" x14ac:dyDescent="0.25">
      <c r="A28" s="7">
        <v>94581</v>
      </c>
      <c r="B28" s="7" t="s">
        <v>97</v>
      </c>
      <c r="C28" s="7" t="s">
        <v>90</v>
      </c>
      <c r="D28" s="7" t="s">
        <v>91</v>
      </c>
      <c r="E28" s="7" t="s">
        <v>98</v>
      </c>
      <c r="F28" s="7" t="s">
        <v>34</v>
      </c>
      <c r="G28" s="7" t="s">
        <v>32</v>
      </c>
      <c r="H28" s="7" t="s">
        <v>36</v>
      </c>
      <c r="I28" s="7" t="s">
        <v>36</v>
      </c>
      <c r="J28" s="8">
        <v>1</v>
      </c>
      <c r="K28" s="7" t="s">
        <v>37</v>
      </c>
      <c r="L28" s="8">
        <v>24</v>
      </c>
      <c r="M28" s="7" t="s">
        <v>38</v>
      </c>
      <c r="N28" s="8">
        <v>1000</v>
      </c>
      <c r="O28" s="7" t="s">
        <v>93</v>
      </c>
      <c r="P28" s="8">
        <v>25000</v>
      </c>
      <c r="Q28" s="9">
        <v>0.36</v>
      </c>
      <c r="R28" s="9">
        <v>0.32</v>
      </c>
      <c r="S28" s="7" t="s">
        <v>38</v>
      </c>
      <c r="T28" s="9">
        <v>4.4000000000000004</v>
      </c>
      <c r="U28" s="9">
        <v>4.4000000000000004</v>
      </c>
      <c r="V28" s="9">
        <v>1.9</v>
      </c>
      <c r="W28" s="9">
        <v>1.01</v>
      </c>
      <c r="X28" s="9">
        <v>1.2250000000000001</v>
      </c>
      <c r="Y28" s="9">
        <v>0</v>
      </c>
      <c r="Z28" s="17">
        <v>3251350162000</v>
      </c>
      <c r="AA28" s="8">
        <v>288</v>
      </c>
      <c r="AB28" s="8">
        <v>60</v>
      </c>
      <c r="AC28" s="7" t="s">
        <v>94</v>
      </c>
      <c r="AD28" s="11">
        <v>24</v>
      </c>
      <c r="AE28">
        <f t="shared" si="1"/>
        <v>94581</v>
      </c>
    </row>
    <row r="29" spans="1:31" x14ac:dyDescent="0.25">
      <c r="A29" s="7">
        <v>94590</v>
      </c>
      <c r="B29" s="7" t="s">
        <v>99</v>
      </c>
      <c r="C29" s="7" t="s">
        <v>90</v>
      </c>
      <c r="D29" s="7" t="s">
        <v>91</v>
      </c>
      <c r="E29" s="7" t="s">
        <v>100</v>
      </c>
      <c r="F29" s="7" t="s">
        <v>34</v>
      </c>
      <c r="G29" s="7" t="s">
        <v>32</v>
      </c>
      <c r="H29" s="7" t="s">
        <v>36</v>
      </c>
      <c r="I29" s="7" t="s">
        <v>36</v>
      </c>
      <c r="J29" s="8">
        <v>1</v>
      </c>
      <c r="K29" s="7" t="s">
        <v>37</v>
      </c>
      <c r="L29" s="8">
        <v>16</v>
      </c>
      <c r="M29" s="7" t="s">
        <v>38</v>
      </c>
      <c r="N29" s="8">
        <v>1000</v>
      </c>
      <c r="O29" s="7" t="s">
        <v>93</v>
      </c>
      <c r="P29" s="8">
        <v>6250</v>
      </c>
      <c r="Q29" s="9">
        <v>0.48</v>
      </c>
      <c r="R29" s="9">
        <v>0.48</v>
      </c>
      <c r="S29" s="7" t="s">
        <v>38</v>
      </c>
      <c r="T29" s="9">
        <v>4.4000000000000004</v>
      </c>
      <c r="U29" s="9">
        <v>4.4000000000000004</v>
      </c>
      <c r="V29" s="9">
        <v>2.5</v>
      </c>
      <c r="W29" s="9">
        <v>1.3129999999999999</v>
      </c>
      <c r="X29" s="9">
        <v>1.5920000000000001</v>
      </c>
      <c r="Y29" s="9">
        <v>0</v>
      </c>
      <c r="Z29" s="17">
        <v>3251350163007</v>
      </c>
      <c r="AA29" s="8">
        <v>288</v>
      </c>
      <c r="AB29" s="8">
        <v>60</v>
      </c>
      <c r="AC29" s="7" t="s">
        <v>94</v>
      </c>
      <c r="AD29" s="11">
        <v>16</v>
      </c>
      <c r="AE29">
        <f t="shared" si="1"/>
        <v>94590</v>
      </c>
    </row>
    <row r="30" spans="1:31" x14ac:dyDescent="0.25">
      <c r="A30" s="7">
        <v>94595</v>
      </c>
      <c r="B30" s="7" t="s">
        <v>101</v>
      </c>
      <c r="C30" s="7" t="s">
        <v>90</v>
      </c>
      <c r="D30" s="7" t="s">
        <v>91</v>
      </c>
      <c r="E30" s="7" t="s">
        <v>102</v>
      </c>
      <c r="F30" s="7" t="s">
        <v>103</v>
      </c>
      <c r="G30" s="7" t="s">
        <v>32</v>
      </c>
      <c r="H30" s="7" t="s">
        <v>87</v>
      </c>
      <c r="I30" s="7" t="s">
        <v>36</v>
      </c>
      <c r="J30" s="8">
        <v>1</v>
      </c>
      <c r="K30" s="7" t="s">
        <v>37</v>
      </c>
      <c r="L30" s="8">
        <v>8</v>
      </c>
      <c r="M30" s="7" t="s">
        <v>38</v>
      </c>
      <c r="N30" s="8">
        <v>1000</v>
      </c>
      <c r="O30" s="7" t="s">
        <v>87</v>
      </c>
      <c r="P30" s="8">
        <v>1</v>
      </c>
      <c r="Q30" s="9">
        <v>7.68</v>
      </c>
      <c r="R30" s="9">
        <v>7.68</v>
      </c>
      <c r="S30" s="7" t="s">
        <v>38</v>
      </c>
      <c r="T30" s="9">
        <v>11.5</v>
      </c>
      <c r="U30" s="9">
        <v>12.5</v>
      </c>
      <c r="V30" s="9">
        <v>12.5</v>
      </c>
      <c r="W30" s="9">
        <v>2.3650000000000002</v>
      </c>
      <c r="X30" s="9">
        <v>2.8660000000000001</v>
      </c>
      <c r="Y30" s="9">
        <v>0</v>
      </c>
      <c r="Z30" s="17">
        <v>3073781053616</v>
      </c>
      <c r="AA30" s="8">
        <v>288</v>
      </c>
      <c r="AB30" s="8">
        <v>60</v>
      </c>
      <c r="AC30" s="7" t="s">
        <v>94</v>
      </c>
      <c r="AD30" s="11">
        <v>8</v>
      </c>
      <c r="AE30">
        <f t="shared" si="1"/>
        <v>94595</v>
      </c>
    </row>
    <row r="31" spans="1:31" x14ac:dyDescent="0.25">
      <c r="A31" s="7">
        <v>94649</v>
      </c>
      <c r="B31" s="7" t="s">
        <v>104</v>
      </c>
      <c r="C31" s="7" t="s">
        <v>105</v>
      </c>
      <c r="D31" s="7" t="s">
        <v>91</v>
      </c>
      <c r="E31" s="7" t="s">
        <v>106</v>
      </c>
      <c r="F31" s="7" t="s">
        <v>34</v>
      </c>
      <c r="G31" s="7" t="s">
        <v>32</v>
      </c>
      <c r="H31" s="7" t="s">
        <v>36</v>
      </c>
      <c r="I31" s="7" t="s">
        <v>36</v>
      </c>
      <c r="J31" s="8">
        <v>1</v>
      </c>
      <c r="K31" s="7" t="s">
        <v>37</v>
      </c>
      <c r="L31" s="8">
        <v>24</v>
      </c>
      <c r="M31" s="7" t="s">
        <v>38</v>
      </c>
      <c r="N31" s="8">
        <v>1000</v>
      </c>
      <c r="O31" s="7" t="s">
        <v>93</v>
      </c>
      <c r="P31" s="8">
        <v>25000</v>
      </c>
      <c r="Q31" s="9">
        <v>0.36</v>
      </c>
      <c r="R31" s="9">
        <v>0.36</v>
      </c>
      <c r="S31" s="7" t="s">
        <v>38</v>
      </c>
      <c r="T31" s="9">
        <v>4.4000000000000004</v>
      </c>
      <c r="U31" s="9">
        <v>4.4000000000000004</v>
      </c>
      <c r="V31" s="9">
        <v>1.9</v>
      </c>
      <c r="W31" s="9">
        <v>1.01</v>
      </c>
      <c r="X31" s="9">
        <v>1.2250000000000001</v>
      </c>
      <c r="Y31" s="9">
        <v>0</v>
      </c>
      <c r="Z31" s="17">
        <v>3073780905831</v>
      </c>
      <c r="AA31" s="8">
        <v>293</v>
      </c>
      <c r="AB31" s="8">
        <v>60</v>
      </c>
      <c r="AC31" s="7" t="s">
        <v>94</v>
      </c>
      <c r="AD31" s="11">
        <v>24</v>
      </c>
      <c r="AE31">
        <f t="shared" si="1"/>
        <v>94649</v>
      </c>
    </row>
    <row r="32" spans="1:31" x14ac:dyDescent="0.25">
      <c r="A32" s="7">
        <v>94659</v>
      </c>
      <c r="B32" s="7" t="s">
        <v>107</v>
      </c>
      <c r="C32" s="7" t="s">
        <v>108</v>
      </c>
      <c r="D32" s="7" t="s">
        <v>91</v>
      </c>
      <c r="E32" s="7" t="s">
        <v>109</v>
      </c>
      <c r="F32" s="7" t="s">
        <v>34</v>
      </c>
      <c r="G32" s="7" t="s">
        <v>32</v>
      </c>
      <c r="H32" s="7" t="s">
        <v>36</v>
      </c>
      <c r="I32" s="7" t="s">
        <v>36</v>
      </c>
      <c r="J32" s="8">
        <v>1</v>
      </c>
      <c r="K32" s="7" t="s">
        <v>37</v>
      </c>
      <c r="L32" s="8">
        <v>32</v>
      </c>
      <c r="M32" s="7" t="s">
        <v>38</v>
      </c>
      <c r="N32" s="8">
        <v>1000</v>
      </c>
      <c r="O32" s="7" t="s">
        <v>93</v>
      </c>
      <c r="P32" s="8">
        <v>12500</v>
      </c>
      <c r="Q32" s="9">
        <v>0.26</v>
      </c>
      <c r="R32" s="9">
        <v>0.24</v>
      </c>
      <c r="S32" s="7" t="s">
        <v>38</v>
      </c>
      <c r="T32" s="9">
        <v>11.5</v>
      </c>
      <c r="U32" s="9">
        <v>11.5</v>
      </c>
      <c r="V32" s="9">
        <v>3.5</v>
      </c>
      <c r="W32" s="9">
        <v>0.80600000000000005</v>
      </c>
      <c r="X32" s="9">
        <v>0.97699999999999998</v>
      </c>
      <c r="Y32" s="9">
        <v>0</v>
      </c>
      <c r="Z32" s="17">
        <v>3073780574242</v>
      </c>
      <c r="AA32" s="8">
        <v>288</v>
      </c>
      <c r="AB32" s="8">
        <v>60</v>
      </c>
      <c r="AC32" s="7" t="s">
        <v>94</v>
      </c>
      <c r="AD32" s="11">
        <v>32</v>
      </c>
      <c r="AE32">
        <f t="shared" si="1"/>
        <v>94659</v>
      </c>
    </row>
    <row r="33" spans="1:31" x14ac:dyDescent="0.25">
      <c r="A33" s="7">
        <v>94661</v>
      </c>
      <c r="B33" s="7" t="s">
        <v>110</v>
      </c>
      <c r="C33" s="7" t="s">
        <v>108</v>
      </c>
      <c r="D33" s="7" t="s">
        <v>91</v>
      </c>
      <c r="E33" s="7" t="s">
        <v>111</v>
      </c>
      <c r="F33" s="7" t="s">
        <v>34</v>
      </c>
      <c r="G33" s="7" t="s">
        <v>32</v>
      </c>
      <c r="H33" s="7" t="s">
        <v>36</v>
      </c>
      <c r="I33" s="7" t="s">
        <v>36</v>
      </c>
      <c r="J33" s="8">
        <v>1</v>
      </c>
      <c r="K33" s="7" t="s">
        <v>37</v>
      </c>
      <c r="L33" s="8">
        <v>24</v>
      </c>
      <c r="M33" s="7" t="s">
        <v>38</v>
      </c>
      <c r="N33" s="8">
        <v>1000</v>
      </c>
      <c r="O33" s="7" t="s">
        <v>93</v>
      </c>
      <c r="P33" s="8">
        <v>25000</v>
      </c>
      <c r="Q33" s="9">
        <v>0.36</v>
      </c>
      <c r="R33" s="9">
        <v>0.36</v>
      </c>
      <c r="S33" s="7" t="s">
        <v>38</v>
      </c>
      <c r="T33" s="9">
        <v>4.4000000000000004</v>
      </c>
      <c r="U33" s="9">
        <v>4.4000000000000004</v>
      </c>
      <c r="V33" s="9">
        <v>1.9</v>
      </c>
      <c r="W33" s="9">
        <v>1.1779999999999999</v>
      </c>
      <c r="X33" s="9">
        <v>1.4279999999999999</v>
      </c>
      <c r="Y33" s="9">
        <v>0</v>
      </c>
      <c r="Z33" s="17">
        <v>3073780574310</v>
      </c>
      <c r="AA33" s="8">
        <v>288</v>
      </c>
      <c r="AB33" s="8">
        <v>60</v>
      </c>
      <c r="AC33" s="7" t="s">
        <v>94</v>
      </c>
      <c r="AD33" s="11">
        <v>24</v>
      </c>
      <c r="AE33">
        <f t="shared" si="1"/>
        <v>94661</v>
      </c>
    </row>
    <row r="34" spans="1:31" x14ac:dyDescent="0.25">
      <c r="A34" s="7">
        <v>94664</v>
      </c>
      <c r="B34" s="7" t="s">
        <v>112</v>
      </c>
      <c r="C34" s="7" t="s">
        <v>108</v>
      </c>
      <c r="D34" s="7" t="s">
        <v>91</v>
      </c>
      <c r="E34" s="7" t="s">
        <v>113</v>
      </c>
      <c r="F34" s="7" t="s">
        <v>34</v>
      </c>
      <c r="G34" s="7" t="s">
        <v>32</v>
      </c>
      <c r="H34" s="7" t="s">
        <v>36</v>
      </c>
      <c r="I34" s="7" t="s">
        <v>36</v>
      </c>
      <c r="J34" s="8">
        <v>1</v>
      </c>
      <c r="K34" s="7" t="s">
        <v>37</v>
      </c>
      <c r="L34" s="8">
        <v>16</v>
      </c>
      <c r="M34" s="7" t="s">
        <v>38</v>
      </c>
      <c r="N34" s="8">
        <v>1000</v>
      </c>
      <c r="O34" s="7" t="s">
        <v>93</v>
      </c>
      <c r="P34" s="8">
        <v>6250</v>
      </c>
      <c r="Q34" s="9">
        <v>0.48</v>
      </c>
      <c r="R34" s="9">
        <v>0.48</v>
      </c>
      <c r="S34" s="7" t="s">
        <v>38</v>
      </c>
      <c r="T34" s="9">
        <v>4.4000000000000004</v>
      </c>
      <c r="U34" s="9">
        <v>4.4000000000000004</v>
      </c>
      <c r="V34" s="9">
        <v>2.5</v>
      </c>
      <c r="W34" s="9">
        <v>1.5489999999999999</v>
      </c>
      <c r="X34" s="9">
        <v>1.8779999999999999</v>
      </c>
      <c r="Y34" s="9">
        <v>0</v>
      </c>
      <c r="Z34" s="17">
        <v>3073780593083</v>
      </c>
      <c r="AA34" s="8">
        <v>288</v>
      </c>
      <c r="AB34" s="8">
        <v>60</v>
      </c>
      <c r="AC34" s="7" t="s">
        <v>94</v>
      </c>
      <c r="AD34" s="11">
        <v>16</v>
      </c>
      <c r="AE34">
        <f t="shared" si="1"/>
        <v>94664</v>
      </c>
    </row>
    <row r="35" spans="1:31" x14ac:dyDescent="0.25">
      <c r="A35" s="7">
        <v>94671</v>
      </c>
      <c r="B35" s="7" t="s">
        <v>114</v>
      </c>
      <c r="C35" s="7" t="s">
        <v>108</v>
      </c>
      <c r="D35" s="7" t="s">
        <v>91</v>
      </c>
      <c r="E35" s="7" t="s">
        <v>115</v>
      </c>
      <c r="F35" s="7" t="s">
        <v>34</v>
      </c>
      <c r="G35" s="7" t="s">
        <v>32</v>
      </c>
      <c r="H35" s="7" t="s">
        <v>36</v>
      </c>
      <c r="I35" s="7" t="s">
        <v>36</v>
      </c>
      <c r="J35" s="8">
        <v>1</v>
      </c>
      <c r="K35" s="7" t="s">
        <v>37</v>
      </c>
      <c r="L35" s="8">
        <v>32</v>
      </c>
      <c r="M35" s="7" t="s">
        <v>38</v>
      </c>
      <c r="N35" s="8">
        <v>1000</v>
      </c>
      <c r="O35" s="7" t="s">
        <v>93</v>
      </c>
      <c r="P35" s="8">
        <v>5000</v>
      </c>
      <c r="Q35" s="9">
        <v>0.21299999999999999</v>
      </c>
      <c r="R35" s="9">
        <v>0.2</v>
      </c>
      <c r="S35" s="7" t="s">
        <v>38</v>
      </c>
      <c r="T35" s="9">
        <v>11.5</v>
      </c>
      <c r="U35" s="9">
        <v>11.5</v>
      </c>
      <c r="V35" s="9">
        <v>3.5</v>
      </c>
      <c r="W35" s="9">
        <v>0.70499999999999996</v>
      </c>
      <c r="X35" s="9">
        <v>0.85299999999999998</v>
      </c>
      <c r="Y35" s="9">
        <v>0</v>
      </c>
      <c r="Z35" s="17">
        <v>3073780450461</v>
      </c>
      <c r="AA35" s="8">
        <v>274</v>
      </c>
      <c r="AB35" s="8">
        <v>60</v>
      </c>
      <c r="AC35" s="7" t="s">
        <v>94</v>
      </c>
      <c r="AD35" s="11">
        <v>32</v>
      </c>
      <c r="AE35">
        <f t="shared" si="1"/>
        <v>94671</v>
      </c>
    </row>
    <row r="36" spans="1:31" x14ac:dyDescent="0.25">
      <c r="A36" s="7">
        <v>94672</v>
      </c>
      <c r="B36" s="7" t="s">
        <v>116</v>
      </c>
      <c r="C36" s="7" t="s">
        <v>108</v>
      </c>
      <c r="D36" s="7" t="s">
        <v>91</v>
      </c>
      <c r="E36" s="7" t="s">
        <v>117</v>
      </c>
      <c r="F36" s="7" t="s">
        <v>34</v>
      </c>
      <c r="G36" s="7" t="s">
        <v>32</v>
      </c>
      <c r="H36" s="7" t="s">
        <v>36</v>
      </c>
      <c r="I36" s="7" t="s">
        <v>36</v>
      </c>
      <c r="J36" s="8">
        <v>1</v>
      </c>
      <c r="K36" s="7" t="s">
        <v>37</v>
      </c>
      <c r="L36" s="8">
        <v>12</v>
      </c>
      <c r="M36" s="7" t="s">
        <v>38</v>
      </c>
      <c r="N36" s="8">
        <v>1000</v>
      </c>
      <c r="O36" s="7" t="s">
        <v>93</v>
      </c>
      <c r="P36" s="8">
        <v>6250</v>
      </c>
      <c r="Q36" s="9">
        <v>0.51700000000000002</v>
      </c>
      <c r="R36" s="9">
        <v>0.48</v>
      </c>
      <c r="S36" s="7" t="s">
        <v>38</v>
      </c>
      <c r="T36" s="8">
        <v>17</v>
      </c>
      <c r="U36" s="8">
        <v>8</v>
      </c>
      <c r="V36" s="8">
        <v>4</v>
      </c>
      <c r="W36" s="9">
        <v>1.5609999999999999</v>
      </c>
      <c r="X36" s="9">
        <v>1.893</v>
      </c>
      <c r="Y36" s="9">
        <v>0</v>
      </c>
      <c r="Z36" s="17">
        <v>3073780985604</v>
      </c>
      <c r="AA36" s="8">
        <v>274</v>
      </c>
      <c r="AB36" s="8">
        <v>60</v>
      </c>
      <c r="AC36" s="7" t="s">
        <v>94</v>
      </c>
      <c r="AD36" s="11">
        <v>12</v>
      </c>
      <c r="AE36">
        <f t="shared" si="1"/>
        <v>94672</v>
      </c>
    </row>
    <row r="37" spans="1:31" x14ac:dyDescent="0.25">
      <c r="A37" s="7">
        <v>94674</v>
      </c>
      <c r="B37" s="7" t="s">
        <v>118</v>
      </c>
      <c r="C37" s="7" t="s">
        <v>108</v>
      </c>
      <c r="D37" s="7" t="s">
        <v>91</v>
      </c>
      <c r="E37" s="7" t="s">
        <v>119</v>
      </c>
      <c r="F37" s="7" t="s">
        <v>34</v>
      </c>
      <c r="G37" s="7" t="s">
        <v>32</v>
      </c>
      <c r="H37" s="7" t="s">
        <v>36</v>
      </c>
      <c r="I37" s="7" t="s">
        <v>36</v>
      </c>
      <c r="J37" s="8">
        <v>1</v>
      </c>
      <c r="K37" s="7" t="s">
        <v>37</v>
      </c>
      <c r="L37" s="8">
        <v>32</v>
      </c>
      <c r="M37" s="7" t="s">
        <v>38</v>
      </c>
      <c r="N37" s="8">
        <v>1000</v>
      </c>
      <c r="O37" s="7" t="s">
        <v>93</v>
      </c>
      <c r="P37" s="8">
        <v>5000</v>
      </c>
      <c r="Q37" s="9">
        <v>0.21299999999999999</v>
      </c>
      <c r="R37" s="9">
        <v>0.2</v>
      </c>
      <c r="S37" s="7" t="s">
        <v>38</v>
      </c>
      <c r="T37" s="9">
        <v>8.5</v>
      </c>
      <c r="U37" s="9">
        <v>8.5</v>
      </c>
      <c r="V37" s="8">
        <v>3</v>
      </c>
      <c r="W37" s="9">
        <v>0.70499999999999996</v>
      </c>
      <c r="X37" s="9">
        <v>0.85299999999999998</v>
      </c>
      <c r="Y37" s="9">
        <v>0</v>
      </c>
      <c r="Z37" s="17">
        <v>3073780985581</v>
      </c>
      <c r="AA37" s="8">
        <v>274</v>
      </c>
      <c r="AB37" s="8">
        <v>60</v>
      </c>
      <c r="AC37" s="7" t="s">
        <v>94</v>
      </c>
      <c r="AD37" s="11">
        <v>32</v>
      </c>
      <c r="AE37">
        <f t="shared" si="1"/>
        <v>94674</v>
      </c>
    </row>
    <row r="38" spans="1:31" x14ac:dyDescent="0.25">
      <c r="A38" s="7">
        <v>94693</v>
      </c>
      <c r="B38" s="7" t="s">
        <v>120</v>
      </c>
      <c r="C38" s="7" t="s">
        <v>108</v>
      </c>
      <c r="D38" s="7" t="s">
        <v>91</v>
      </c>
      <c r="E38" s="7" t="s">
        <v>121</v>
      </c>
      <c r="F38" s="7" t="s">
        <v>34</v>
      </c>
      <c r="G38" s="7" t="s">
        <v>32</v>
      </c>
      <c r="H38" s="7" t="s">
        <v>36</v>
      </c>
      <c r="I38" s="7" t="s">
        <v>36</v>
      </c>
      <c r="J38" s="8">
        <v>1</v>
      </c>
      <c r="K38" s="7" t="s">
        <v>37</v>
      </c>
      <c r="L38" s="8">
        <v>32</v>
      </c>
      <c r="M38" s="7" t="s">
        <v>38</v>
      </c>
      <c r="N38" s="8">
        <v>1000</v>
      </c>
      <c r="O38" s="7" t="s">
        <v>93</v>
      </c>
      <c r="P38" s="8">
        <v>5000</v>
      </c>
      <c r="Q38" s="9">
        <v>0.21299999999999999</v>
      </c>
      <c r="R38" s="9">
        <v>0.2</v>
      </c>
      <c r="S38" s="7" t="s">
        <v>38</v>
      </c>
      <c r="T38" s="9">
        <v>11.5</v>
      </c>
      <c r="U38" s="9">
        <v>11.5</v>
      </c>
      <c r="V38" s="9">
        <v>3.5</v>
      </c>
      <c r="W38" s="9">
        <v>0.70499999999999996</v>
      </c>
      <c r="X38" s="9">
        <v>0.85299999999999998</v>
      </c>
      <c r="Y38" s="9">
        <v>0</v>
      </c>
      <c r="Z38" s="17">
        <v>3073780543989</v>
      </c>
      <c r="AA38" s="8">
        <v>274</v>
      </c>
      <c r="AB38" s="8">
        <v>60</v>
      </c>
      <c r="AC38" s="7" t="s">
        <v>94</v>
      </c>
      <c r="AD38" s="11">
        <v>32</v>
      </c>
      <c r="AE38">
        <f t="shared" si="1"/>
        <v>94693</v>
      </c>
    </row>
    <row r="39" spans="1:31" x14ac:dyDescent="0.25">
      <c r="A39" s="7">
        <v>94698</v>
      </c>
      <c r="B39" s="7" t="s">
        <v>122</v>
      </c>
      <c r="C39" s="7" t="s">
        <v>108</v>
      </c>
      <c r="D39" s="7" t="s">
        <v>91</v>
      </c>
      <c r="E39" s="7" t="s">
        <v>123</v>
      </c>
      <c r="F39" s="7" t="s">
        <v>34</v>
      </c>
      <c r="G39" s="7" t="s">
        <v>32</v>
      </c>
      <c r="H39" s="7" t="s">
        <v>36</v>
      </c>
      <c r="I39" s="7" t="s">
        <v>36</v>
      </c>
      <c r="J39" s="8">
        <v>1</v>
      </c>
      <c r="K39" s="7" t="s">
        <v>37</v>
      </c>
      <c r="L39" s="8">
        <v>32</v>
      </c>
      <c r="M39" s="7" t="s">
        <v>38</v>
      </c>
      <c r="N39" s="8">
        <v>1000</v>
      </c>
      <c r="O39" s="7" t="s">
        <v>93</v>
      </c>
      <c r="P39" s="8">
        <v>5000</v>
      </c>
      <c r="Q39" s="9">
        <v>0.21299999999999999</v>
      </c>
      <c r="R39" s="9">
        <v>0.2</v>
      </c>
      <c r="S39" s="7" t="s">
        <v>38</v>
      </c>
      <c r="T39" s="9">
        <v>11.5</v>
      </c>
      <c r="U39" s="9">
        <v>11.5</v>
      </c>
      <c r="V39" s="9">
        <v>3.5</v>
      </c>
      <c r="W39" s="9">
        <v>0.70499999999999996</v>
      </c>
      <c r="X39" s="9">
        <v>0.85299999999999998</v>
      </c>
      <c r="Y39" s="9">
        <v>0</v>
      </c>
      <c r="Z39" s="17">
        <v>3073780450386</v>
      </c>
      <c r="AA39" s="8">
        <v>274</v>
      </c>
      <c r="AB39" s="8">
        <v>60</v>
      </c>
      <c r="AC39" s="7" t="s">
        <v>94</v>
      </c>
      <c r="AD39" s="11">
        <v>32</v>
      </c>
      <c r="AE39">
        <f t="shared" si="1"/>
        <v>94698</v>
      </c>
    </row>
    <row r="40" spans="1:31" x14ac:dyDescent="0.25">
      <c r="A40" s="7">
        <v>94714</v>
      </c>
      <c r="B40" s="7" t="s">
        <v>124</v>
      </c>
      <c r="C40" s="7" t="s">
        <v>125</v>
      </c>
      <c r="D40" s="7" t="s">
        <v>91</v>
      </c>
      <c r="E40" s="7" t="s">
        <v>126</v>
      </c>
      <c r="F40" s="7" t="s">
        <v>34</v>
      </c>
      <c r="G40" s="7" t="s">
        <v>32</v>
      </c>
      <c r="H40" s="7" t="s">
        <v>36</v>
      </c>
      <c r="I40" s="7" t="s">
        <v>36</v>
      </c>
      <c r="J40" s="8">
        <v>1</v>
      </c>
      <c r="K40" s="7" t="s">
        <v>37</v>
      </c>
      <c r="L40" s="8">
        <v>16</v>
      </c>
      <c r="M40" s="7" t="s">
        <v>38</v>
      </c>
      <c r="N40" s="8">
        <v>1000</v>
      </c>
      <c r="O40" s="7" t="s">
        <v>93</v>
      </c>
      <c r="P40" s="8">
        <v>62500</v>
      </c>
      <c r="Q40" s="9">
        <v>0.48</v>
      </c>
      <c r="R40" s="9">
        <v>0.432</v>
      </c>
      <c r="S40" s="7" t="s">
        <v>38</v>
      </c>
      <c r="T40" s="9">
        <v>12.5</v>
      </c>
      <c r="U40" s="9">
        <v>3.5</v>
      </c>
      <c r="V40" s="9">
        <v>18.5</v>
      </c>
      <c r="W40" s="9">
        <v>1.8009999999999999</v>
      </c>
      <c r="X40" s="9">
        <v>2.1829999999999998</v>
      </c>
      <c r="Y40" s="9">
        <v>0</v>
      </c>
      <c r="Z40" s="17">
        <v>3073780767897</v>
      </c>
      <c r="AA40" s="8">
        <v>301</v>
      </c>
      <c r="AB40" s="8">
        <v>30</v>
      </c>
      <c r="AC40" s="7" t="s">
        <v>94</v>
      </c>
      <c r="AD40" s="11">
        <v>16</v>
      </c>
      <c r="AE40">
        <f t="shared" si="1"/>
        <v>94714</v>
      </c>
    </row>
    <row r="41" spans="1:31" x14ac:dyDescent="0.25">
      <c r="A41" s="7">
        <v>94715</v>
      </c>
      <c r="B41" s="7" t="s">
        <v>127</v>
      </c>
      <c r="C41" s="7" t="s">
        <v>125</v>
      </c>
      <c r="D41" s="7" t="s">
        <v>91</v>
      </c>
      <c r="E41" s="7" t="s">
        <v>128</v>
      </c>
      <c r="F41" s="7" t="s">
        <v>103</v>
      </c>
      <c r="G41" s="7" t="s">
        <v>32</v>
      </c>
      <c r="H41" s="7" t="s">
        <v>87</v>
      </c>
      <c r="I41" s="7" t="s">
        <v>36</v>
      </c>
      <c r="J41" s="8">
        <v>1</v>
      </c>
      <c r="K41" s="7" t="s">
        <v>37</v>
      </c>
      <c r="L41" s="8">
        <v>8</v>
      </c>
      <c r="M41" s="7" t="s">
        <v>38</v>
      </c>
      <c r="N41" s="8">
        <v>1000</v>
      </c>
      <c r="O41" s="7" t="s">
        <v>87</v>
      </c>
      <c r="P41" s="8">
        <v>1</v>
      </c>
      <c r="Q41" s="8">
        <v>1</v>
      </c>
      <c r="R41" s="9">
        <v>6.9119999999999999</v>
      </c>
      <c r="S41" s="7" t="s">
        <v>38</v>
      </c>
      <c r="T41" s="9">
        <v>10.9</v>
      </c>
      <c r="U41" s="9">
        <v>10.3</v>
      </c>
      <c r="V41" s="8">
        <v>7</v>
      </c>
      <c r="W41" s="9">
        <v>3.242</v>
      </c>
      <c r="X41" s="9">
        <v>3.93</v>
      </c>
      <c r="Y41" s="9">
        <v>0</v>
      </c>
      <c r="Z41" s="17">
        <v>3073781053586</v>
      </c>
      <c r="AA41" s="8">
        <v>301</v>
      </c>
      <c r="AB41" s="8">
        <v>30</v>
      </c>
      <c r="AC41" s="7" t="s">
        <v>94</v>
      </c>
      <c r="AD41" s="11">
        <v>8</v>
      </c>
      <c r="AE41">
        <f t="shared" si="1"/>
        <v>94715</v>
      </c>
    </row>
    <row r="42" spans="1:31" x14ac:dyDescent="0.25">
      <c r="A42" s="7">
        <v>94730</v>
      </c>
      <c r="B42" s="7" t="s">
        <v>129</v>
      </c>
      <c r="C42" s="7" t="s">
        <v>130</v>
      </c>
      <c r="D42" s="7" t="s">
        <v>91</v>
      </c>
      <c r="E42" s="7" t="s">
        <v>131</v>
      </c>
      <c r="F42" s="7" t="s">
        <v>34</v>
      </c>
      <c r="G42" s="7" t="s">
        <v>32</v>
      </c>
      <c r="H42" s="7" t="s">
        <v>36</v>
      </c>
      <c r="I42" s="7" t="s">
        <v>36</v>
      </c>
      <c r="J42" s="8">
        <v>1</v>
      </c>
      <c r="K42" s="7" t="s">
        <v>37</v>
      </c>
      <c r="L42" s="8">
        <v>12</v>
      </c>
      <c r="M42" s="7" t="s">
        <v>38</v>
      </c>
      <c r="N42" s="8">
        <v>1000</v>
      </c>
      <c r="O42" s="7" t="s">
        <v>93</v>
      </c>
      <c r="P42" s="8">
        <v>10000</v>
      </c>
      <c r="Q42" s="9">
        <v>0.2</v>
      </c>
      <c r="R42" s="9">
        <v>0.1</v>
      </c>
      <c r="S42" s="7" t="s">
        <v>38</v>
      </c>
      <c r="T42" s="8">
        <v>9</v>
      </c>
      <c r="U42" s="8">
        <v>9</v>
      </c>
      <c r="V42" s="8">
        <v>13</v>
      </c>
      <c r="W42" s="9">
        <v>1.1040000000000001</v>
      </c>
      <c r="X42" s="9">
        <v>1.337</v>
      </c>
      <c r="Y42" s="9">
        <v>0</v>
      </c>
      <c r="Z42" s="17">
        <v>3073780968508</v>
      </c>
      <c r="AA42" s="8">
        <v>174</v>
      </c>
      <c r="AB42" s="8">
        <v>30</v>
      </c>
      <c r="AC42" s="7" t="s">
        <v>94</v>
      </c>
      <c r="AD42" s="11">
        <v>12</v>
      </c>
      <c r="AE42">
        <f t="shared" si="1"/>
        <v>94730</v>
      </c>
    </row>
    <row r="43" spans="1:31" x14ac:dyDescent="0.25">
      <c r="A43" s="7">
        <v>94733</v>
      </c>
      <c r="B43" s="7" t="s">
        <v>132</v>
      </c>
      <c r="C43" s="7" t="s">
        <v>130</v>
      </c>
      <c r="D43" s="7" t="s">
        <v>91</v>
      </c>
      <c r="E43" s="7" t="s">
        <v>133</v>
      </c>
      <c r="F43" s="7" t="s">
        <v>34</v>
      </c>
      <c r="G43" s="7" t="s">
        <v>32</v>
      </c>
      <c r="H43" s="7" t="s">
        <v>36</v>
      </c>
      <c r="I43" s="7" t="s">
        <v>36</v>
      </c>
      <c r="J43" s="8">
        <v>1</v>
      </c>
      <c r="K43" s="7" t="s">
        <v>37</v>
      </c>
      <c r="L43" s="8">
        <v>12</v>
      </c>
      <c r="M43" s="7" t="s">
        <v>38</v>
      </c>
      <c r="N43" s="8">
        <v>1000</v>
      </c>
      <c r="O43" s="7" t="s">
        <v>93</v>
      </c>
      <c r="P43" s="8">
        <v>10000</v>
      </c>
      <c r="Q43" s="9">
        <v>0.13</v>
      </c>
      <c r="R43" s="9">
        <v>0.1</v>
      </c>
      <c r="S43" s="7" t="s">
        <v>38</v>
      </c>
      <c r="T43" s="8">
        <v>9</v>
      </c>
      <c r="U43" s="8">
        <v>9</v>
      </c>
      <c r="V43" s="8">
        <v>13</v>
      </c>
      <c r="W43" s="9">
        <v>1.1040000000000001</v>
      </c>
      <c r="X43" s="9">
        <v>1.337</v>
      </c>
      <c r="Y43" s="9">
        <v>0</v>
      </c>
      <c r="Z43" s="17">
        <v>3073780965729</v>
      </c>
      <c r="AA43" s="8">
        <v>174</v>
      </c>
      <c r="AB43" s="8">
        <v>30</v>
      </c>
      <c r="AC43" s="7" t="s">
        <v>94</v>
      </c>
      <c r="AD43" s="11">
        <v>12</v>
      </c>
      <c r="AE43">
        <f t="shared" si="1"/>
        <v>94733</v>
      </c>
    </row>
    <row r="44" spans="1:31" x14ac:dyDescent="0.25">
      <c r="A44" s="7">
        <v>94734</v>
      </c>
      <c r="B44" s="7" t="s">
        <v>134</v>
      </c>
      <c r="C44" s="7" t="s">
        <v>130</v>
      </c>
      <c r="D44" s="7" t="s">
        <v>91</v>
      </c>
      <c r="E44" s="7" t="s">
        <v>135</v>
      </c>
      <c r="F44" s="7" t="s">
        <v>34</v>
      </c>
      <c r="G44" s="7" t="s">
        <v>32</v>
      </c>
      <c r="H44" s="7" t="s">
        <v>36</v>
      </c>
      <c r="I44" s="7" t="s">
        <v>36</v>
      </c>
      <c r="J44" s="8">
        <v>1</v>
      </c>
      <c r="K44" s="7" t="s">
        <v>37</v>
      </c>
      <c r="L44" s="8">
        <v>12</v>
      </c>
      <c r="M44" s="7" t="s">
        <v>38</v>
      </c>
      <c r="N44" s="8">
        <v>1000</v>
      </c>
      <c r="O44" s="7" t="s">
        <v>93</v>
      </c>
      <c r="P44" s="8">
        <v>10000</v>
      </c>
      <c r="Q44" s="9">
        <v>0.26</v>
      </c>
      <c r="R44" s="9">
        <v>0.1</v>
      </c>
      <c r="S44" s="7" t="s">
        <v>38</v>
      </c>
      <c r="T44" s="9">
        <v>11.5</v>
      </c>
      <c r="U44" s="9">
        <v>11.5</v>
      </c>
      <c r="V44" s="9">
        <v>3.5</v>
      </c>
      <c r="W44" s="9">
        <v>1.1040000000000001</v>
      </c>
      <c r="X44" s="9">
        <v>1.337</v>
      </c>
      <c r="Y44" s="9">
        <v>0</v>
      </c>
      <c r="Z44" s="17">
        <v>3073780574242</v>
      </c>
      <c r="AA44" s="8">
        <v>174</v>
      </c>
      <c r="AB44" s="8">
        <v>30</v>
      </c>
      <c r="AC44" s="7" t="s">
        <v>94</v>
      </c>
      <c r="AD44" s="11">
        <v>12</v>
      </c>
      <c r="AE44">
        <f t="shared" si="1"/>
        <v>94734</v>
      </c>
    </row>
    <row r="45" spans="1:31" x14ac:dyDescent="0.25">
      <c r="A45" s="7">
        <v>106958</v>
      </c>
      <c r="B45" s="7" t="s">
        <v>136</v>
      </c>
      <c r="C45" s="7" t="s">
        <v>31</v>
      </c>
      <c r="D45" s="7" t="s">
        <v>32</v>
      </c>
      <c r="E45" s="7" t="s">
        <v>32</v>
      </c>
      <c r="F45" s="7" t="s">
        <v>34</v>
      </c>
      <c r="G45" s="7" t="s">
        <v>32</v>
      </c>
      <c r="H45" s="7" t="s">
        <v>36</v>
      </c>
      <c r="I45" s="7" t="s">
        <v>36</v>
      </c>
      <c r="J45" s="8">
        <v>1</v>
      </c>
      <c r="K45" s="7" t="s">
        <v>37</v>
      </c>
      <c r="L45" s="8">
        <v>12</v>
      </c>
      <c r="M45" s="7" t="s">
        <v>32</v>
      </c>
      <c r="N45" s="8">
        <v>0</v>
      </c>
      <c r="O45" s="7" t="s">
        <v>32</v>
      </c>
      <c r="P45" s="8">
        <v>0</v>
      </c>
      <c r="Q45" s="9">
        <v>0.48</v>
      </c>
      <c r="R45" s="9">
        <v>0.223</v>
      </c>
      <c r="S45" s="7" t="s">
        <v>38</v>
      </c>
      <c r="T45" s="8">
        <v>5</v>
      </c>
      <c r="U45" s="8">
        <v>5</v>
      </c>
      <c r="V45" s="8">
        <v>22</v>
      </c>
      <c r="W45" s="9">
        <v>0.96799999999999997</v>
      </c>
      <c r="X45" s="9">
        <v>1.2749999999999999</v>
      </c>
      <c r="Y45" s="9">
        <v>0</v>
      </c>
      <c r="Z45" s="17">
        <v>8429671350054</v>
      </c>
      <c r="AA45" s="8">
        <v>729</v>
      </c>
      <c r="AB45" s="8">
        <v>60</v>
      </c>
      <c r="AC45" s="7" t="s">
        <v>32</v>
      </c>
      <c r="AD45" s="11">
        <v>12</v>
      </c>
      <c r="AE45">
        <f t="shared" si="1"/>
        <v>106958</v>
      </c>
    </row>
    <row r="46" spans="1:31" x14ac:dyDescent="0.25">
      <c r="A46" s="7">
        <v>106959</v>
      </c>
      <c r="B46" s="7" t="s">
        <v>137</v>
      </c>
      <c r="C46" s="7" t="s">
        <v>31</v>
      </c>
      <c r="D46" s="7" t="s">
        <v>32</v>
      </c>
      <c r="E46" s="7" t="s">
        <v>32</v>
      </c>
      <c r="F46" s="7" t="s">
        <v>34</v>
      </c>
      <c r="G46" s="7" t="s">
        <v>32</v>
      </c>
      <c r="H46" s="7" t="s">
        <v>36</v>
      </c>
      <c r="I46" s="7" t="s">
        <v>36</v>
      </c>
      <c r="J46" s="8">
        <v>1</v>
      </c>
      <c r="K46" s="7" t="s">
        <v>37</v>
      </c>
      <c r="L46" s="8">
        <v>12</v>
      </c>
      <c r="M46" s="7" t="s">
        <v>32</v>
      </c>
      <c r="N46" s="8">
        <v>0</v>
      </c>
      <c r="O46" s="7" t="s">
        <v>32</v>
      </c>
      <c r="P46" s="8">
        <v>0</v>
      </c>
      <c r="Q46" s="9">
        <v>0.502</v>
      </c>
      <c r="R46" s="9">
        <v>0.223</v>
      </c>
      <c r="S46" s="7" t="s">
        <v>38</v>
      </c>
      <c r="T46" s="9">
        <v>5.2</v>
      </c>
      <c r="U46" s="9">
        <v>5.2</v>
      </c>
      <c r="V46" s="9">
        <v>21.5</v>
      </c>
      <c r="W46" s="9">
        <v>0.93600000000000005</v>
      </c>
      <c r="X46" s="9">
        <v>1.2869999999999999</v>
      </c>
      <c r="Y46" s="9">
        <v>0</v>
      </c>
      <c r="Z46" s="17">
        <v>8429671350085</v>
      </c>
      <c r="AA46" s="8">
        <v>729</v>
      </c>
      <c r="AB46" s="8">
        <v>60</v>
      </c>
      <c r="AC46" s="7" t="s">
        <v>32</v>
      </c>
      <c r="AD46" s="11">
        <v>12</v>
      </c>
      <c r="AE46">
        <f t="shared" si="1"/>
        <v>106959</v>
      </c>
    </row>
    <row r="47" spans="1:31" x14ac:dyDescent="0.25">
      <c r="A47" s="7">
        <v>114598</v>
      </c>
      <c r="B47" s="7" t="s">
        <v>138</v>
      </c>
      <c r="C47" s="7" t="s">
        <v>90</v>
      </c>
      <c r="D47" s="7" t="s">
        <v>91</v>
      </c>
      <c r="E47" s="7" t="s">
        <v>32</v>
      </c>
      <c r="F47" s="7" t="s">
        <v>34</v>
      </c>
      <c r="G47" s="7" t="s">
        <v>32</v>
      </c>
      <c r="H47" s="7" t="s">
        <v>36</v>
      </c>
      <c r="I47" s="7" t="s">
        <v>36</v>
      </c>
      <c r="J47" s="8">
        <v>1</v>
      </c>
      <c r="K47" s="7" t="s">
        <v>37</v>
      </c>
      <c r="L47" s="8">
        <v>24</v>
      </c>
      <c r="M47" s="7" t="s">
        <v>38</v>
      </c>
      <c r="N47" s="8">
        <v>5</v>
      </c>
      <c r="O47" s="7" t="s">
        <v>93</v>
      </c>
      <c r="P47" s="8">
        <v>5000</v>
      </c>
      <c r="Q47" s="9">
        <v>0.2</v>
      </c>
      <c r="R47" s="9">
        <v>0.2</v>
      </c>
      <c r="S47" s="7" t="s">
        <v>38</v>
      </c>
      <c r="T47" s="9">
        <v>3.4</v>
      </c>
      <c r="U47" s="9">
        <v>3.4</v>
      </c>
      <c r="V47" s="9">
        <v>1.1000000000000001</v>
      </c>
      <c r="W47" s="9">
        <v>0.71699999999999997</v>
      </c>
      <c r="X47" s="9">
        <v>0.86899999999999999</v>
      </c>
      <c r="Y47" s="9">
        <v>0</v>
      </c>
      <c r="Z47" s="17">
        <v>3073780998338</v>
      </c>
      <c r="AA47" s="8">
        <v>274</v>
      </c>
      <c r="AB47" s="8">
        <v>60</v>
      </c>
      <c r="AC47" s="7" t="s">
        <v>94</v>
      </c>
      <c r="AD47" s="11">
        <v>24</v>
      </c>
      <c r="AE47">
        <f t="shared" si="1"/>
        <v>114598</v>
      </c>
    </row>
    <row r="48" spans="1:31" x14ac:dyDescent="0.25">
      <c r="A48" s="7">
        <v>114599</v>
      </c>
      <c r="B48" s="7" t="s">
        <v>139</v>
      </c>
      <c r="C48" s="7" t="s">
        <v>90</v>
      </c>
      <c r="D48" s="7" t="s">
        <v>91</v>
      </c>
      <c r="E48" s="7" t="s">
        <v>32</v>
      </c>
      <c r="F48" s="7" t="s">
        <v>34</v>
      </c>
      <c r="G48" s="7" t="s">
        <v>32</v>
      </c>
      <c r="H48" s="7" t="s">
        <v>36</v>
      </c>
      <c r="I48" s="7" t="s">
        <v>36</v>
      </c>
      <c r="J48" s="8">
        <v>1</v>
      </c>
      <c r="K48" s="7" t="s">
        <v>37</v>
      </c>
      <c r="L48" s="8">
        <v>24</v>
      </c>
      <c r="M48" s="7" t="s">
        <v>38</v>
      </c>
      <c r="N48" s="8">
        <v>5</v>
      </c>
      <c r="O48" s="7" t="s">
        <v>93</v>
      </c>
      <c r="P48" s="8">
        <v>5000</v>
      </c>
      <c r="Q48" s="9">
        <v>0.2</v>
      </c>
      <c r="R48" s="9">
        <v>0.2</v>
      </c>
      <c r="S48" s="7" t="s">
        <v>38</v>
      </c>
      <c r="T48" s="9">
        <v>3.4</v>
      </c>
      <c r="U48" s="9">
        <v>3.4</v>
      </c>
      <c r="V48" s="9">
        <v>1.1000000000000001</v>
      </c>
      <c r="W48" s="9">
        <v>0.71699999999999997</v>
      </c>
      <c r="X48" s="9">
        <v>0.86899999999999999</v>
      </c>
      <c r="Y48" s="9">
        <v>0</v>
      </c>
      <c r="Z48" s="17">
        <v>3073780998352</v>
      </c>
      <c r="AA48" s="8">
        <v>274</v>
      </c>
      <c r="AB48" s="8">
        <v>60</v>
      </c>
      <c r="AC48" s="7" t="s">
        <v>94</v>
      </c>
      <c r="AD48" s="11">
        <v>24</v>
      </c>
      <c r="AE48">
        <f t="shared" si="1"/>
        <v>114599</v>
      </c>
    </row>
    <row r="49" spans="1:31" x14ac:dyDescent="0.25">
      <c r="A49" s="7">
        <v>114600</v>
      </c>
      <c r="B49" s="7" t="s">
        <v>140</v>
      </c>
      <c r="C49" s="7" t="s">
        <v>90</v>
      </c>
      <c r="D49" s="7" t="s">
        <v>91</v>
      </c>
      <c r="E49" s="7" t="s">
        <v>32</v>
      </c>
      <c r="F49" s="7" t="s">
        <v>34</v>
      </c>
      <c r="G49" s="7" t="s">
        <v>32</v>
      </c>
      <c r="H49" s="7" t="s">
        <v>36</v>
      </c>
      <c r="I49" s="7" t="s">
        <v>36</v>
      </c>
      <c r="J49" s="8">
        <v>1</v>
      </c>
      <c r="K49" s="7" t="s">
        <v>37</v>
      </c>
      <c r="L49" s="8">
        <v>16</v>
      </c>
      <c r="M49" s="7" t="s">
        <v>38</v>
      </c>
      <c r="N49" s="8">
        <v>25</v>
      </c>
      <c r="O49" s="7" t="s">
        <v>93</v>
      </c>
      <c r="P49" s="8">
        <v>2500</v>
      </c>
      <c r="Q49" s="9">
        <v>0.4</v>
      </c>
      <c r="R49" s="9">
        <v>0.4</v>
      </c>
      <c r="S49" s="7" t="s">
        <v>38</v>
      </c>
      <c r="T49" s="9">
        <v>6.8</v>
      </c>
      <c r="U49" s="9">
        <v>3.5</v>
      </c>
      <c r="V49" s="9">
        <v>1.1000000000000001</v>
      </c>
      <c r="W49" s="9">
        <v>1.4339999999999999</v>
      </c>
      <c r="X49" s="9">
        <v>1.738</v>
      </c>
      <c r="Y49" s="9">
        <v>0</v>
      </c>
      <c r="Z49" s="17">
        <v>3073780998376</v>
      </c>
      <c r="AA49" s="8">
        <v>274</v>
      </c>
      <c r="AB49" s="8">
        <v>60</v>
      </c>
      <c r="AC49" s="7" t="s">
        <v>94</v>
      </c>
      <c r="AD49" s="11">
        <v>16</v>
      </c>
      <c r="AE49">
        <f t="shared" si="1"/>
        <v>114600</v>
      </c>
    </row>
    <row r="50" spans="1:31" x14ac:dyDescent="0.25">
      <c r="A50" s="7">
        <v>133208</v>
      </c>
      <c r="B50" s="7" t="s">
        <v>141</v>
      </c>
      <c r="C50" s="7" t="s">
        <v>105</v>
      </c>
      <c r="D50" s="7" t="s">
        <v>91</v>
      </c>
      <c r="E50" s="7" t="s">
        <v>32</v>
      </c>
      <c r="F50" s="7" t="s">
        <v>34</v>
      </c>
      <c r="G50" s="7" t="s">
        <v>32</v>
      </c>
      <c r="H50" s="7" t="s">
        <v>36</v>
      </c>
      <c r="I50" s="7" t="s">
        <v>36</v>
      </c>
      <c r="J50" s="8">
        <v>1</v>
      </c>
      <c r="K50" s="7" t="s">
        <v>37</v>
      </c>
      <c r="L50" s="8">
        <v>16</v>
      </c>
      <c r="M50" s="7" t="s">
        <v>38</v>
      </c>
      <c r="N50" s="8">
        <v>1000</v>
      </c>
      <c r="O50" s="7" t="s">
        <v>93</v>
      </c>
      <c r="P50" s="8">
        <v>6250</v>
      </c>
      <c r="Q50" s="9">
        <v>0.48</v>
      </c>
      <c r="R50" s="8">
        <v>0</v>
      </c>
      <c r="S50" s="7" t="s">
        <v>38</v>
      </c>
      <c r="T50" s="9">
        <v>4.4000000000000004</v>
      </c>
      <c r="U50" s="9">
        <v>4.4000000000000004</v>
      </c>
      <c r="V50" s="9">
        <v>2.5</v>
      </c>
      <c r="W50" s="9">
        <v>1.3320000000000001</v>
      </c>
      <c r="X50" s="9">
        <v>1.6140000000000001</v>
      </c>
      <c r="Y50" s="9">
        <v>0</v>
      </c>
      <c r="Z50" s="17">
        <v>3073781021226</v>
      </c>
      <c r="AA50" s="8">
        <v>288</v>
      </c>
      <c r="AB50" s="8">
        <v>60</v>
      </c>
      <c r="AC50" s="7" t="s">
        <v>94</v>
      </c>
      <c r="AD50" s="11">
        <v>16</v>
      </c>
      <c r="AE50">
        <f t="shared" si="1"/>
        <v>133208</v>
      </c>
    </row>
    <row r="51" spans="1:31" x14ac:dyDescent="0.25">
      <c r="A51" s="7">
        <v>138937</v>
      </c>
      <c r="B51" s="7" t="s">
        <v>142</v>
      </c>
      <c r="C51" s="7" t="s">
        <v>143</v>
      </c>
      <c r="D51" s="7" t="s">
        <v>91</v>
      </c>
      <c r="E51" s="7" t="s">
        <v>32</v>
      </c>
      <c r="F51" s="7" t="s">
        <v>34</v>
      </c>
      <c r="G51" s="7" t="s">
        <v>144</v>
      </c>
      <c r="H51" s="7" t="s">
        <v>36</v>
      </c>
      <c r="I51" s="7" t="s">
        <v>145</v>
      </c>
      <c r="J51" s="8">
        <v>6</v>
      </c>
      <c r="K51" s="7" t="s">
        <v>36</v>
      </c>
      <c r="L51" s="8">
        <v>1</v>
      </c>
      <c r="M51" s="7" t="s">
        <v>37</v>
      </c>
      <c r="N51" s="8">
        <v>72</v>
      </c>
      <c r="O51" s="7" t="s">
        <v>32</v>
      </c>
      <c r="P51" s="8">
        <v>0</v>
      </c>
      <c r="Q51" s="9">
        <v>0.04</v>
      </c>
      <c r="R51" s="9">
        <v>4.2999999999999997E-2</v>
      </c>
      <c r="S51" s="7" t="s">
        <v>38</v>
      </c>
      <c r="T51" s="8">
        <v>5</v>
      </c>
      <c r="U51" s="8">
        <v>5</v>
      </c>
      <c r="V51" s="9">
        <v>7.5</v>
      </c>
      <c r="W51" s="9">
        <v>0.46700000000000003</v>
      </c>
      <c r="X51" s="9">
        <v>0.63100000000000001</v>
      </c>
      <c r="Y51" s="9">
        <v>0</v>
      </c>
      <c r="Z51" s="17">
        <v>8990800002873</v>
      </c>
      <c r="AA51" s="8">
        <v>540</v>
      </c>
      <c r="AB51" s="8">
        <v>30</v>
      </c>
      <c r="AC51" s="7" t="s">
        <v>146</v>
      </c>
      <c r="AD51" s="11">
        <v>72</v>
      </c>
      <c r="AE51">
        <f t="shared" si="1"/>
        <v>138937</v>
      </c>
    </row>
    <row r="52" spans="1:31" x14ac:dyDescent="0.25">
      <c r="A52" s="7">
        <v>138938</v>
      </c>
      <c r="B52" s="7" t="s">
        <v>147</v>
      </c>
      <c r="C52" s="7" t="s">
        <v>143</v>
      </c>
      <c r="D52" s="7" t="s">
        <v>91</v>
      </c>
      <c r="E52" s="7" t="s">
        <v>32</v>
      </c>
      <c r="F52" s="7" t="s">
        <v>34</v>
      </c>
      <c r="G52" s="7" t="s">
        <v>148</v>
      </c>
      <c r="H52" s="7" t="s">
        <v>36</v>
      </c>
      <c r="I52" s="7" t="s">
        <v>145</v>
      </c>
      <c r="J52" s="8">
        <v>6</v>
      </c>
      <c r="K52" s="7" t="s">
        <v>36</v>
      </c>
      <c r="L52" s="8">
        <v>1</v>
      </c>
      <c r="M52" s="7" t="s">
        <v>37</v>
      </c>
      <c r="N52" s="8">
        <v>72</v>
      </c>
      <c r="O52" s="7" t="s">
        <v>32</v>
      </c>
      <c r="P52" s="8">
        <v>0</v>
      </c>
      <c r="Q52" s="9">
        <v>0.04</v>
      </c>
      <c r="R52" s="9">
        <v>4.2999999999999997E-2</v>
      </c>
      <c r="S52" s="7" t="s">
        <v>38</v>
      </c>
      <c r="T52" s="8">
        <v>2</v>
      </c>
      <c r="U52" s="8">
        <v>2</v>
      </c>
      <c r="V52" s="8">
        <v>9</v>
      </c>
      <c r="W52" s="9">
        <v>0.46700000000000003</v>
      </c>
      <c r="X52" s="9">
        <v>0.63100000000000001</v>
      </c>
      <c r="Y52" s="9">
        <v>0</v>
      </c>
      <c r="Z52" s="17">
        <v>8990800002873</v>
      </c>
      <c r="AA52" s="8">
        <v>540</v>
      </c>
      <c r="AB52" s="8">
        <v>30</v>
      </c>
      <c r="AC52" s="7" t="s">
        <v>146</v>
      </c>
      <c r="AD52" s="11">
        <v>72</v>
      </c>
      <c r="AE52">
        <f t="shared" si="1"/>
        <v>138938</v>
      </c>
    </row>
    <row r="53" spans="1:31" x14ac:dyDescent="0.25">
      <c r="A53" s="7">
        <v>138939</v>
      </c>
      <c r="B53" s="7" t="s">
        <v>149</v>
      </c>
      <c r="C53" s="7" t="s">
        <v>143</v>
      </c>
      <c r="D53" s="7" t="s">
        <v>91</v>
      </c>
      <c r="E53" s="7" t="s">
        <v>32</v>
      </c>
      <c r="F53" s="7" t="s">
        <v>34</v>
      </c>
      <c r="G53" s="7" t="s">
        <v>150</v>
      </c>
      <c r="H53" s="7" t="s">
        <v>36</v>
      </c>
      <c r="I53" s="7" t="s">
        <v>145</v>
      </c>
      <c r="J53" s="8">
        <v>6</v>
      </c>
      <c r="K53" s="7" t="s">
        <v>36</v>
      </c>
      <c r="L53" s="8">
        <v>1</v>
      </c>
      <c r="M53" s="7" t="s">
        <v>37</v>
      </c>
      <c r="N53" s="8">
        <v>36</v>
      </c>
      <c r="O53" s="7" t="s">
        <v>32</v>
      </c>
      <c r="P53" s="8">
        <v>0</v>
      </c>
      <c r="Q53" s="9">
        <v>0.04</v>
      </c>
      <c r="R53" s="9">
        <v>5.6000000000000001E-2</v>
      </c>
      <c r="S53" s="7" t="s">
        <v>38</v>
      </c>
      <c r="T53" s="8">
        <v>4</v>
      </c>
      <c r="U53" s="8">
        <v>3</v>
      </c>
      <c r="V53" s="9">
        <v>8.5</v>
      </c>
      <c r="W53" s="9">
        <v>0.65700000000000003</v>
      </c>
      <c r="X53" s="9">
        <v>0.88900000000000001</v>
      </c>
      <c r="Y53" s="9">
        <v>0</v>
      </c>
      <c r="Z53" s="17">
        <v>8003440963227</v>
      </c>
      <c r="AA53" s="8">
        <v>540</v>
      </c>
      <c r="AB53" s="8">
        <v>60</v>
      </c>
      <c r="AC53" s="7" t="s">
        <v>146</v>
      </c>
      <c r="AD53" s="11">
        <v>36</v>
      </c>
      <c r="AE53">
        <f t="shared" si="1"/>
        <v>138939</v>
      </c>
    </row>
    <row r="54" spans="1:31" x14ac:dyDescent="0.25">
      <c r="A54" s="7">
        <v>138940</v>
      </c>
      <c r="B54" s="7" t="s">
        <v>151</v>
      </c>
      <c r="C54" s="7" t="s">
        <v>143</v>
      </c>
      <c r="D54" s="7" t="s">
        <v>91</v>
      </c>
      <c r="E54" s="7" t="s">
        <v>32</v>
      </c>
      <c r="F54" s="7" t="s">
        <v>34</v>
      </c>
      <c r="G54" s="7" t="s">
        <v>152</v>
      </c>
      <c r="H54" s="7" t="s">
        <v>36</v>
      </c>
      <c r="I54" s="7" t="s">
        <v>145</v>
      </c>
      <c r="J54" s="8">
        <v>6</v>
      </c>
      <c r="K54" s="7" t="s">
        <v>36</v>
      </c>
      <c r="L54" s="8">
        <v>1</v>
      </c>
      <c r="M54" s="7" t="s">
        <v>37</v>
      </c>
      <c r="N54" s="8">
        <v>36</v>
      </c>
      <c r="O54" s="7" t="s">
        <v>32</v>
      </c>
      <c r="P54" s="8">
        <v>0</v>
      </c>
      <c r="Q54" s="9">
        <v>0.04</v>
      </c>
      <c r="R54" s="9">
        <v>5.6000000000000001E-2</v>
      </c>
      <c r="S54" s="7" t="s">
        <v>38</v>
      </c>
      <c r="T54" s="8">
        <v>4</v>
      </c>
      <c r="U54" s="8">
        <v>3</v>
      </c>
      <c r="V54" s="9">
        <v>8.5</v>
      </c>
      <c r="W54" s="9">
        <v>0.65700000000000003</v>
      </c>
      <c r="X54" s="9">
        <v>0.88900000000000001</v>
      </c>
      <c r="Y54" s="9">
        <v>0</v>
      </c>
      <c r="Z54" s="17">
        <v>8003440963210</v>
      </c>
      <c r="AA54" s="8">
        <v>540</v>
      </c>
      <c r="AB54" s="8">
        <v>60</v>
      </c>
      <c r="AC54" s="7" t="s">
        <v>146</v>
      </c>
      <c r="AD54" s="11">
        <v>36</v>
      </c>
      <c r="AE54">
        <f t="shared" si="1"/>
        <v>138940</v>
      </c>
    </row>
    <row r="55" spans="1:31" x14ac:dyDescent="0.25">
      <c r="A55" s="7">
        <v>138942</v>
      </c>
      <c r="B55" s="7" t="s">
        <v>153</v>
      </c>
      <c r="C55" s="7" t="s">
        <v>143</v>
      </c>
      <c r="D55" s="7" t="s">
        <v>91</v>
      </c>
      <c r="E55" s="7" t="s">
        <v>32</v>
      </c>
      <c r="F55" s="7" t="s">
        <v>34</v>
      </c>
      <c r="G55" s="7" t="s">
        <v>154</v>
      </c>
      <c r="H55" s="7" t="s">
        <v>36</v>
      </c>
      <c r="I55" s="7" t="s">
        <v>145</v>
      </c>
      <c r="J55" s="8">
        <v>6</v>
      </c>
      <c r="K55" s="7" t="s">
        <v>36</v>
      </c>
      <c r="L55" s="8">
        <v>1</v>
      </c>
      <c r="M55" s="7" t="s">
        <v>37</v>
      </c>
      <c r="N55" s="8">
        <v>36</v>
      </c>
      <c r="O55" s="7" t="s">
        <v>32</v>
      </c>
      <c r="P55" s="8">
        <v>0</v>
      </c>
      <c r="Q55" s="9">
        <v>0.04</v>
      </c>
      <c r="R55" s="9">
        <v>6.5000000000000002E-2</v>
      </c>
      <c r="S55" s="7" t="s">
        <v>38</v>
      </c>
      <c r="T55" s="8">
        <v>5</v>
      </c>
      <c r="U55" s="8">
        <v>5</v>
      </c>
      <c r="V55" s="8">
        <v>8</v>
      </c>
      <c r="W55" s="9">
        <v>0.65700000000000003</v>
      </c>
      <c r="X55" s="9">
        <v>0.88900000000000001</v>
      </c>
      <c r="Y55" s="9">
        <v>0</v>
      </c>
      <c r="Z55" s="17">
        <v>80759355</v>
      </c>
      <c r="AA55" s="8">
        <v>540</v>
      </c>
      <c r="AB55" s="8">
        <v>30</v>
      </c>
      <c r="AC55" s="7" t="s">
        <v>146</v>
      </c>
      <c r="AD55" s="11">
        <v>36</v>
      </c>
      <c r="AE55">
        <f t="shared" si="1"/>
        <v>138942</v>
      </c>
    </row>
    <row r="56" spans="1:31" x14ac:dyDescent="0.25">
      <c r="A56" s="7">
        <v>138945</v>
      </c>
      <c r="B56" s="7" t="s">
        <v>155</v>
      </c>
      <c r="C56" s="7" t="s">
        <v>143</v>
      </c>
      <c r="D56" s="7" t="s">
        <v>91</v>
      </c>
      <c r="E56" s="7" t="s">
        <v>32</v>
      </c>
      <c r="F56" s="7" t="s">
        <v>34</v>
      </c>
      <c r="G56" s="7" t="s">
        <v>156</v>
      </c>
      <c r="H56" s="7" t="s">
        <v>36</v>
      </c>
      <c r="I56" s="7" t="s">
        <v>145</v>
      </c>
      <c r="J56" s="8">
        <v>10</v>
      </c>
      <c r="K56" s="7" t="s">
        <v>36</v>
      </c>
      <c r="L56" s="8">
        <v>1</v>
      </c>
      <c r="M56" s="7" t="s">
        <v>37</v>
      </c>
      <c r="N56" s="8">
        <v>60</v>
      </c>
      <c r="O56" s="7" t="s">
        <v>32</v>
      </c>
      <c r="P56" s="8">
        <v>0</v>
      </c>
      <c r="Q56" s="9">
        <v>0.04</v>
      </c>
      <c r="R56" s="9">
        <v>2.4E-2</v>
      </c>
      <c r="S56" s="7" t="s">
        <v>38</v>
      </c>
      <c r="T56" s="8">
        <v>2</v>
      </c>
      <c r="U56" s="8">
        <v>2</v>
      </c>
      <c r="V56" s="9">
        <v>13.5</v>
      </c>
      <c r="W56" s="9">
        <v>0.34</v>
      </c>
      <c r="X56" s="9">
        <v>0.46200000000000002</v>
      </c>
      <c r="Y56" s="9">
        <v>0</v>
      </c>
      <c r="Z56" s="17">
        <v>80756637</v>
      </c>
      <c r="AA56" s="8">
        <v>540</v>
      </c>
      <c r="AB56" s="8">
        <v>60</v>
      </c>
      <c r="AC56" s="7" t="s">
        <v>146</v>
      </c>
      <c r="AD56" s="11">
        <v>60</v>
      </c>
      <c r="AE56">
        <f t="shared" si="1"/>
        <v>138945</v>
      </c>
    </row>
    <row r="57" spans="1:31" x14ac:dyDescent="0.25">
      <c r="A57" s="7">
        <v>138946</v>
      </c>
      <c r="B57" s="7" t="s">
        <v>157</v>
      </c>
      <c r="C57" s="7" t="s">
        <v>143</v>
      </c>
      <c r="D57" s="7" t="s">
        <v>91</v>
      </c>
      <c r="E57" s="7" t="s">
        <v>32</v>
      </c>
      <c r="F57" s="7" t="s">
        <v>34</v>
      </c>
      <c r="G57" s="7" t="s">
        <v>158</v>
      </c>
      <c r="H57" s="7" t="s">
        <v>36</v>
      </c>
      <c r="I57" s="7" t="s">
        <v>145</v>
      </c>
      <c r="J57" s="8">
        <v>10</v>
      </c>
      <c r="K57" s="7" t="s">
        <v>36</v>
      </c>
      <c r="L57" s="8">
        <v>1</v>
      </c>
      <c r="M57" s="7" t="s">
        <v>37</v>
      </c>
      <c r="N57" s="8">
        <v>60</v>
      </c>
      <c r="O57" s="7" t="s">
        <v>32</v>
      </c>
      <c r="P57" s="8">
        <v>0</v>
      </c>
      <c r="Q57" s="9">
        <v>0.04</v>
      </c>
      <c r="R57" s="9">
        <v>2.4E-2</v>
      </c>
      <c r="S57" s="7" t="s">
        <v>38</v>
      </c>
      <c r="T57" s="8">
        <v>2</v>
      </c>
      <c r="U57" s="8">
        <v>2</v>
      </c>
      <c r="V57" s="9">
        <v>13.5</v>
      </c>
      <c r="W57" s="9">
        <v>0.34</v>
      </c>
      <c r="X57" s="9">
        <v>0.46200000000000002</v>
      </c>
      <c r="Y57" s="9">
        <v>0</v>
      </c>
      <c r="Z57" s="17">
        <v>8990800000015</v>
      </c>
      <c r="AA57" s="8">
        <v>540</v>
      </c>
      <c r="AB57" s="8">
        <v>60</v>
      </c>
      <c r="AC57" s="7" t="s">
        <v>146</v>
      </c>
      <c r="AD57" s="11">
        <v>60</v>
      </c>
      <c r="AE57">
        <f t="shared" si="1"/>
        <v>138946</v>
      </c>
    </row>
    <row r="58" spans="1:31" x14ac:dyDescent="0.25">
      <c r="A58" s="7">
        <v>138947</v>
      </c>
      <c r="B58" s="7" t="s">
        <v>159</v>
      </c>
      <c r="C58" s="7" t="s">
        <v>143</v>
      </c>
      <c r="D58" s="7" t="s">
        <v>91</v>
      </c>
      <c r="E58" s="7" t="s">
        <v>32</v>
      </c>
      <c r="F58" s="7" t="s">
        <v>34</v>
      </c>
      <c r="G58" s="7" t="s">
        <v>160</v>
      </c>
      <c r="H58" s="7" t="s">
        <v>36</v>
      </c>
      <c r="I58" s="7" t="s">
        <v>145</v>
      </c>
      <c r="J58" s="8">
        <v>10</v>
      </c>
      <c r="K58" s="7" t="s">
        <v>36</v>
      </c>
      <c r="L58" s="8">
        <v>1</v>
      </c>
      <c r="M58" s="7" t="s">
        <v>37</v>
      </c>
      <c r="N58" s="8">
        <v>60</v>
      </c>
      <c r="O58" s="7" t="s">
        <v>32</v>
      </c>
      <c r="P58" s="8">
        <v>0</v>
      </c>
      <c r="Q58" s="9">
        <v>0.04</v>
      </c>
      <c r="R58" s="9">
        <v>2.4E-2</v>
      </c>
      <c r="S58" s="7" t="s">
        <v>38</v>
      </c>
      <c r="T58" s="8">
        <v>2</v>
      </c>
      <c r="U58" s="8">
        <v>2</v>
      </c>
      <c r="V58" s="9">
        <v>13.5</v>
      </c>
      <c r="W58" s="9">
        <v>0.34</v>
      </c>
      <c r="X58" s="9">
        <v>0.46200000000000002</v>
      </c>
      <c r="Y58" s="9">
        <v>0</v>
      </c>
      <c r="Z58" s="17">
        <v>8990800000176</v>
      </c>
      <c r="AA58" s="8">
        <v>540</v>
      </c>
      <c r="AB58" s="8">
        <v>60</v>
      </c>
      <c r="AC58" s="7" t="s">
        <v>146</v>
      </c>
      <c r="AD58" s="11">
        <v>60</v>
      </c>
      <c r="AE58">
        <f t="shared" si="1"/>
        <v>138947</v>
      </c>
    </row>
    <row r="59" spans="1:31" x14ac:dyDescent="0.25">
      <c r="A59" s="7">
        <v>138948</v>
      </c>
      <c r="B59" s="7" t="s">
        <v>161</v>
      </c>
      <c r="C59" s="7" t="s">
        <v>143</v>
      </c>
      <c r="D59" s="7" t="s">
        <v>91</v>
      </c>
      <c r="E59" s="7" t="s">
        <v>32</v>
      </c>
      <c r="F59" s="7" t="s">
        <v>34</v>
      </c>
      <c r="G59" s="7" t="s">
        <v>162</v>
      </c>
      <c r="H59" s="7" t="s">
        <v>36</v>
      </c>
      <c r="I59" s="7" t="s">
        <v>145</v>
      </c>
      <c r="J59" s="8">
        <v>15</v>
      </c>
      <c r="K59" s="7" t="s">
        <v>36</v>
      </c>
      <c r="L59" s="8">
        <v>1</v>
      </c>
      <c r="M59" s="7" t="s">
        <v>37</v>
      </c>
      <c r="N59" s="8">
        <v>240</v>
      </c>
      <c r="O59" s="7" t="s">
        <v>32</v>
      </c>
      <c r="P59" s="8">
        <v>0</v>
      </c>
      <c r="Q59" s="9">
        <v>0.02</v>
      </c>
      <c r="R59" s="9">
        <v>3.4000000000000002E-2</v>
      </c>
      <c r="S59" s="7" t="s">
        <v>38</v>
      </c>
      <c r="T59" s="8">
        <v>9</v>
      </c>
      <c r="U59" s="9">
        <v>1.5</v>
      </c>
      <c r="V59" s="8">
        <v>5</v>
      </c>
      <c r="W59" s="9">
        <v>0.29599999999999999</v>
      </c>
      <c r="X59" s="9">
        <v>0.4</v>
      </c>
      <c r="Y59" s="9">
        <v>0</v>
      </c>
      <c r="Z59" s="17">
        <v>80945086</v>
      </c>
      <c r="AA59" s="8">
        <v>540</v>
      </c>
      <c r="AB59" s="8">
        <v>60</v>
      </c>
      <c r="AC59" s="7" t="s">
        <v>146</v>
      </c>
      <c r="AD59" s="11">
        <v>240</v>
      </c>
      <c r="AE59">
        <f t="shared" si="1"/>
        <v>138948</v>
      </c>
    </row>
    <row r="60" spans="1:31" x14ac:dyDescent="0.25">
      <c r="A60" s="7">
        <v>152859</v>
      </c>
      <c r="B60" s="7" t="s">
        <v>163</v>
      </c>
      <c r="C60" s="7" t="s">
        <v>90</v>
      </c>
      <c r="D60" s="7" t="s">
        <v>91</v>
      </c>
      <c r="E60" s="7" t="s">
        <v>32</v>
      </c>
      <c r="F60" s="7" t="s">
        <v>34</v>
      </c>
      <c r="G60" s="7" t="s">
        <v>32</v>
      </c>
      <c r="H60" s="7" t="s">
        <v>36</v>
      </c>
      <c r="I60" s="7" t="s">
        <v>36</v>
      </c>
      <c r="J60" s="8">
        <v>1</v>
      </c>
      <c r="K60" s="7" t="s">
        <v>37</v>
      </c>
      <c r="L60" s="8">
        <v>40</v>
      </c>
      <c r="M60" s="7" t="s">
        <v>38</v>
      </c>
      <c r="N60" s="8">
        <v>8333</v>
      </c>
      <c r="O60" s="7" t="s">
        <v>93</v>
      </c>
      <c r="P60" s="8">
        <v>8333</v>
      </c>
      <c r="Q60" s="9">
        <v>0.12</v>
      </c>
      <c r="R60" s="9">
        <v>0.12</v>
      </c>
      <c r="S60" s="7" t="s">
        <v>38</v>
      </c>
      <c r="T60" s="9">
        <v>4.4000000000000004</v>
      </c>
      <c r="U60" s="9">
        <v>4.4000000000000004</v>
      </c>
      <c r="V60" s="9">
        <v>0.9</v>
      </c>
      <c r="W60" s="9">
        <v>0.33700000000000002</v>
      </c>
      <c r="X60" s="9">
        <v>0.40799999999999997</v>
      </c>
      <c r="Y60" s="9">
        <v>0</v>
      </c>
      <c r="Z60" s="17">
        <v>3251350126002</v>
      </c>
      <c r="AA60" s="8">
        <v>288</v>
      </c>
      <c r="AB60" s="8">
        <v>60</v>
      </c>
      <c r="AC60" s="7" t="s">
        <v>94</v>
      </c>
      <c r="AD60" s="11">
        <v>40</v>
      </c>
      <c r="AE60">
        <f t="shared" si="1"/>
        <v>152859</v>
      </c>
    </row>
    <row r="61" spans="1:31" x14ac:dyDescent="0.25">
      <c r="A61" s="7">
        <v>152860</v>
      </c>
      <c r="B61" s="7" t="s">
        <v>164</v>
      </c>
      <c r="C61" s="7" t="s">
        <v>105</v>
      </c>
      <c r="D61" s="7" t="s">
        <v>91</v>
      </c>
      <c r="E61" s="7" t="s">
        <v>32</v>
      </c>
      <c r="F61" s="7" t="s">
        <v>34</v>
      </c>
      <c r="G61" s="7" t="s">
        <v>32</v>
      </c>
      <c r="H61" s="7" t="s">
        <v>36</v>
      </c>
      <c r="I61" s="7" t="s">
        <v>36</v>
      </c>
      <c r="J61" s="8">
        <v>1</v>
      </c>
      <c r="K61" s="7" t="s">
        <v>37</v>
      </c>
      <c r="L61" s="8">
        <v>40</v>
      </c>
      <c r="M61" s="7" t="s">
        <v>38</v>
      </c>
      <c r="N61" s="8">
        <v>8333</v>
      </c>
      <c r="O61" s="7" t="s">
        <v>93</v>
      </c>
      <c r="P61" s="8">
        <v>8333</v>
      </c>
      <c r="Q61" s="9">
        <v>0.14000000000000001</v>
      </c>
      <c r="R61" s="9">
        <v>0.12</v>
      </c>
      <c r="S61" s="7" t="s">
        <v>38</v>
      </c>
      <c r="T61" s="8">
        <v>11</v>
      </c>
      <c r="U61" s="8">
        <v>11</v>
      </c>
      <c r="V61" s="8">
        <v>2</v>
      </c>
      <c r="W61" s="9">
        <v>0.33700000000000002</v>
      </c>
      <c r="X61" s="9">
        <v>0.40799999999999997</v>
      </c>
      <c r="Y61" s="9">
        <v>0</v>
      </c>
      <c r="Z61" s="17">
        <v>3073780905817</v>
      </c>
      <c r="AA61" s="8">
        <v>288</v>
      </c>
      <c r="AB61" s="8">
        <v>60</v>
      </c>
      <c r="AC61" s="7" t="s">
        <v>94</v>
      </c>
      <c r="AD61" s="11">
        <v>40</v>
      </c>
      <c r="AE61">
        <f t="shared" si="1"/>
        <v>152860</v>
      </c>
    </row>
    <row r="62" spans="1:31" x14ac:dyDescent="0.25">
      <c r="A62" s="7">
        <v>155145</v>
      </c>
      <c r="B62" s="7" t="s">
        <v>165</v>
      </c>
      <c r="C62" s="7" t="s">
        <v>90</v>
      </c>
      <c r="D62" s="7" t="s">
        <v>91</v>
      </c>
      <c r="E62" s="7" t="s">
        <v>32</v>
      </c>
      <c r="F62" s="7" t="s">
        <v>103</v>
      </c>
      <c r="G62" s="7" t="s">
        <v>32</v>
      </c>
      <c r="H62" s="7" t="s">
        <v>87</v>
      </c>
      <c r="I62" s="7" t="s">
        <v>36</v>
      </c>
      <c r="J62" s="8">
        <v>1</v>
      </c>
      <c r="K62" s="7" t="s">
        <v>37</v>
      </c>
      <c r="L62" s="8">
        <v>8</v>
      </c>
      <c r="M62" s="7" t="s">
        <v>38</v>
      </c>
      <c r="N62" s="8">
        <v>1667</v>
      </c>
      <c r="O62" s="7" t="s">
        <v>87</v>
      </c>
      <c r="P62" s="8">
        <v>1</v>
      </c>
      <c r="Q62" s="9">
        <v>0.62</v>
      </c>
      <c r="R62" s="9">
        <v>4.8</v>
      </c>
      <c r="S62" s="7" t="s">
        <v>38</v>
      </c>
      <c r="T62" s="9">
        <v>4.4000000000000004</v>
      </c>
      <c r="U62" s="9">
        <v>4.4000000000000004</v>
      </c>
      <c r="V62" s="9">
        <v>4.5</v>
      </c>
      <c r="W62" s="9">
        <v>1.3069999999999999</v>
      </c>
      <c r="X62" s="9">
        <v>1.585</v>
      </c>
      <c r="Y62" s="9">
        <v>0</v>
      </c>
      <c r="Z62" s="17">
        <v>3073781059793</v>
      </c>
      <c r="AA62" s="8">
        <v>288</v>
      </c>
      <c r="AB62" s="8">
        <v>60</v>
      </c>
      <c r="AC62" s="7" t="s">
        <v>94</v>
      </c>
      <c r="AD62" s="11">
        <v>8</v>
      </c>
      <c r="AE62">
        <f t="shared" si="1"/>
        <v>155145</v>
      </c>
    </row>
    <row r="63" spans="1:31" x14ac:dyDescent="0.25">
      <c r="A63" s="7">
        <v>155146</v>
      </c>
      <c r="B63" s="7" t="s">
        <v>166</v>
      </c>
      <c r="C63" s="7" t="s">
        <v>105</v>
      </c>
      <c r="D63" s="7" t="s">
        <v>91</v>
      </c>
      <c r="E63" s="7" t="s">
        <v>32</v>
      </c>
      <c r="F63" s="7" t="s">
        <v>103</v>
      </c>
      <c r="G63" s="7" t="s">
        <v>32</v>
      </c>
      <c r="H63" s="7" t="s">
        <v>87</v>
      </c>
      <c r="I63" s="7" t="s">
        <v>36</v>
      </c>
      <c r="J63" s="8">
        <v>1</v>
      </c>
      <c r="K63" s="7" t="s">
        <v>37</v>
      </c>
      <c r="L63" s="8">
        <v>8</v>
      </c>
      <c r="M63" s="7" t="s">
        <v>38</v>
      </c>
      <c r="N63" s="8">
        <v>1667</v>
      </c>
      <c r="O63" s="7" t="s">
        <v>87</v>
      </c>
      <c r="P63" s="8">
        <v>1</v>
      </c>
      <c r="Q63" s="9">
        <v>0.62</v>
      </c>
      <c r="R63" s="9">
        <v>4.8</v>
      </c>
      <c r="S63" s="7" t="s">
        <v>38</v>
      </c>
      <c r="T63" s="9">
        <v>4.4000000000000004</v>
      </c>
      <c r="U63" s="9">
        <v>4.4000000000000004</v>
      </c>
      <c r="V63" s="9">
        <v>4.5</v>
      </c>
      <c r="W63" s="9">
        <v>1.2949999999999999</v>
      </c>
      <c r="X63" s="9">
        <v>1.5669999999999999</v>
      </c>
      <c r="Y63" s="9">
        <v>0</v>
      </c>
      <c r="Z63" s="17">
        <v>3073780959704</v>
      </c>
      <c r="AA63" s="8">
        <v>288</v>
      </c>
      <c r="AB63" s="8">
        <v>60</v>
      </c>
      <c r="AC63" s="7" t="s">
        <v>94</v>
      </c>
      <c r="AD63" s="11">
        <v>8</v>
      </c>
      <c r="AE63">
        <f t="shared" si="1"/>
        <v>155146</v>
      </c>
    </row>
    <row r="64" spans="1:31" x14ac:dyDescent="0.25">
      <c r="A64" s="7">
        <v>155147</v>
      </c>
      <c r="B64" s="7" t="s">
        <v>167</v>
      </c>
      <c r="C64" s="7" t="s">
        <v>108</v>
      </c>
      <c r="D64" s="7" t="s">
        <v>91</v>
      </c>
      <c r="E64" s="7" t="s">
        <v>32</v>
      </c>
      <c r="F64" s="7" t="s">
        <v>34</v>
      </c>
      <c r="G64" s="7" t="s">
        <v>32</v>
      </c>
      <c r="H64" s="7" t="s">
        <v>36</v>
      </c>
      <c r="I64" s="7" t="s">
        <v>36</v>
      </c>
      <c r="J64" s="8">
        <v>1</v>
      </c>
      <c r="K64" s="7" t="s">
        <v>37</v>
      </c>
      <c r="L64" s="8">
        <v>40</v>
      </c>
      <c r="M64" s="7" t="s">
        <v>38</v>
      </c>
      <c r="N64" s="8">
        <v>8333</v>
      </c>
      <c r="O64" s="7" t="s">
        <v>93</v>
      </c>
      <c r="P64" s="8">
        <v>8333</v>
      </c>
      <c r="Q64" s="9">
        <v>0.12</v>
      </c>
      <c r="R64" s="9">
        <v>0.12</v>
      </c>
      <c r="S64" s="7" t="s">
        <v>38</v>
      </c>
      <c r="T64" s="9">
        <v>4.4000000000000004</v>
      </c>
      <c r="U64" s="9">
        <v>4.4000000000000004</v>
      </c>
      <c r="V64" s="9">
        <v>0.9</v>
      </c>
      <c r="W64" s="9">
        <v>0.434</v>
      </c>
      <c r="X64" s="9">
        <v>0.52500000000000002</v>
      </c>
      <c r="Y64" s="9">
        <v>0</v>
      </c>
      <c r="Z64" s="17">
        <v>3073786155186</v>
      </c>
      <c r="AA64" s="8">
        <v>288</v>
      </c>
      <c r="AB64" s="8">
        <v>60</v>
      </c>
      <c r="AC64" s="7" t="s">
        <v>94</v>
      </c>
      <c r="AD64" s="11">
        <v>40</v>
      </c>
      <c r="AE64">
        <f t="shared" si="1"/>
        <v>155147</v>
      </c>
    </row>
    <row r="65" spans="1:31" x14ac:dyDescent="0.25">
      <c r="A65" s="7">
        <v>159579</v>
      </c>
      <c r="B65" s="7" t="s">
        <v>168</v>
      </c>
      <c r="C65" s="7" t="s">
        <v>44</v>
      </c>
      <c r="D65" s="7" t="s">
        <v>32</v>
      </c>
      <c r="E65" s="7" t="s">
        <v>32</v>
      </c>
      <c r="F65" s="7" t="s">
        <v>34</v>
      </c>
      <c r="G65" s="7" t="s">
        <v>32</v>
      </c>
      <c r="H65" s="7" t="s">
        <v>36</v>
      </c>
      <c r="I65" s="7" t="s">
        <v>36</v>
      </c>
      <c r="J65" s="8">
        <v>1</v>
      </c>
      <c r="K65" s="7" t="s">
        <v>37</v>
      </c>
      <c r="L65" s="8">
        <v>48</v>
      </c>
      <c r="M65" s="7" t="s">
        <v>32</v>
      </c>
      <c r="N65" s="8">
        <v>0</v>
      </c>
      <c r="O65" s="7" t="s">
        <v>32</v>
      </c>
      <c r="P65" s="8">
        <v>0</v>
      </c>
      <c r="Q65" s="9">
        <v>0.22</v>
      </c>
      <c r="R65" s="8">
        <v>0</v>
      </c>
      <c r="S65" s="7" t="s">
        <v>38</v>
      </c>
      <c r="T65" s="9">
        <v>8.5</v>
      </c>
      <c r="U65" s="9">
        <v>7.5</v>
      </c>
      <c r="V65" s="8">
        <v>4</v>
      </c>
      <c r="W65" s="9">
        <v>0.47799999999999998</v>
      </c>
      <c r="X65" s="9">
        <v>0.80100000000000005</v>
      </c>
      <c r="Y65" s="9">
        <v>0</v>
      </c>
      <c r="Z65" s="17">
        <v>736211763730</v>
      </c>
      <c r="AA65" s="8">
        <v>729</v>
      </c>
      <c r="AB65" s="8">
        <v>60</v>
      </c>
      <c r="AC65" s="7" t="s">
        <v>47</v>
      </c>
      <c r="AD65" s="11">
        <v>48</v>
      </c>
      <c r="AE65">
        <f t="shared" si="1"/>
        <v>159579</v>
      </c>
    </row>
    <row r="66" spans="1:31" x14ac:dyDescent="0.25">
      <c r="A66" s="7">
        <v>159580</v>
      </c>
      <c r="B66" s="7" t="s">
        <v>169</v>
      </c>
      <c r="C66" s="7" t="s">
        <v>44</v>
      </c>
      <c r="D66" s="7" t="s">
        <v>32</v>
      </c>
      <c r="E66" s="7" t="s">
        <v>32</v>
      </c>
      <c r="F66" s="7" t="s">
        <v>34</v>
      </c>
      <c r="G66" s="7" t="s">
        <v>32</v>
      </c>
      <c r="H66" s="7" t="s">
        <v>36</v>
      </c>
      <c r="I66" s="7" t="s">
        <v>36</v>
      </c>
      <c r="J66" s="8">
        <v>1</v>
      </c>
      <c r="K66" s="7" t="s">
        <v>37</v>
      </c>
      <c r="L66" s="8">
        <v>48</v>
      </c>
      <c r="M66" s="7" t="s">
        <v>32</v>
      </c>
      <c r="N66" s="8">
        <v>0</v>
      </c>
      <c r="O66" s="7" t="s">
        <v>32</v>
      </c>
      <c r="P66" s="8">
        <v>0</v>
      </c>
      <c r="Q66" s="9">
        <v>0.22</v>
      </c>
      <c r="R66" s="8">
        <v>0</v>
      </c>
      <c r="S66" s="7" t="s">
        <v>38</v>
      </c>
      <c r="T66" s="9">
        <v>8.5</v>
      </c>
      <c r="U66" s="9">
        <v>7.5</v>
      </c>
      <c r="V66" s="8">
        <v>4</v>
      </c>
      <c r="W66" s="9">
        <v>0.48499999999999999</v>
      </c>
      <c r="X66" s="9">
        <v>0.80300000000000005</v>
      </c>
      <c r="Y66" s="9">
        <v>0</v>
      </c>
      <c r="Z66" s="17">
        <v>736211763631</v>
      </c>
      <c r="AA66" s="8">
        <v>729</v>
      </c>
      <c r="AB66" s="8">
        <v>60</v>
      </c>
      <c r="AC66" s="7" t="s">
        <v>47</v>
      </c>
      <c r="AD66" s="11">
        <v>48</v>
      </c>
      <c r="AE66">
        <f t="shared" si="1"/>
        <v>159580</v>
      </c>
    </row>
    <row r="67" spans="1:31" x14ac:dyDescent="0.25">
      <c r="A67" s="7">
        <v>159661</v>
      </c>
      <c r="B67" s="7" t="s">
        <v>170</v>
      </c>
      <c r="C67" s="7" t="s">
        <v>44</v>
      </c>
      <c r="D67" s="7" t="s">
        <v>32</v>
      </c>
      <c r="E67" s="7" t="s">
        <v>32</v>
      </c>
      <c r="F67" s="7" t="s">
        <v>34</v>
      </c>
      <c r="G67" s="7" t="s">
        <v>32</v>
      </c>
      <c r="H67" s="7" t="s">
        <v>36</v>
      </c>
      <c r="I67" s="7" t="s">
        <v>36</v>
      </c>
      <c r="J67" s="8">
        <v>1</v>
      </c>
      <c r="K67" s="7" t="s">
        <v>37</v>
      </c>
      <c r="L67" s="8">
        <v>48</v>
      </c>
      <c r="M67" s="7" t="s">
        <v>32</v>
      </c>
      <c r="N67" s="8">
        <v>0</v>
      </c>
      <c r="O67" s="7" t="s">
        <v>32</v>
      </c>
      <c r="P67" s="8">
        <v>0</v>
      </c>
      <c r="Q67" s="9">
        <v>0.22</v>
      </c>
      <c r="R67" s="8">
        <v>0</v>
      </c>
      <c r="S67" s="7" t="s">
        <v>38</v>
      </c>
      <c r="T67" s="9">
        <v>8.5</v>
      </c>
      <c r="U67" s="9">
        <v>7.5</v>
      </c>
      <c r="V67" s="8">
        <v>4</v>
      </c>
      <c r="W67" s="9">
        <v>0.56200000000000006</v>
      </c>
      <c r="X67" s="9">
        <v>0.85099999999999998</v>
      </c>
      <c r="Y67" s="9">
        <v>0</v>
      </c>
      <c r="Z67" s="17">
        <v>736211763938</v>
      </c>
      <c r="AA67" s="8">
        <v>729</v>
      </c>
      <c r="AB67" s="8">
        <v>60</v>
      </c>
      <c r="AC67" s="7" t="s">
        <v>47</v>
      </c>
      <c r="AD67" s="11">
        <v>48</v>
      </c>
      <c r="AE67">
        <f t="shared" ref="AE67:AE130" si="2">A67</f>
        <v>159661</v>
      </c>
    </row>
    <row r="68" spans="1:31" x14ac:dyDescent="0.25">
      <c r="A68" s="7">
        <v>159662</v>
      </c>
      <c r="B68" s="7" t="s">
        <v>171</v>
      </c>
      <c r="C68" s="7" t="s">
        <v>44</v>
      </c>
      <c r="D68" s="7" t="s">
        <v>32</v>
      </c>
      <c r="E68" s="7" t="s">
        <v>32</v>
      </c>
      <c r="F68" s="7" t="s">
        <v>34</v>
      </c>
      <c r="G68" s="7" t="s">
        <v>32</v>
      </c>
      <c r="H68" s="7" t="s">
        <v>36</v>
      </c>
      <c r="I68" s="7" t="s">
        <v>36</v>
      </c>
      <c r="J68" s="8">
        <v>1</v>
      </c>
      <c r="K68" s="7" t="s">
        <v>37</v>
      </c>
      <c r="L68" s="8">
        <v>48</v>
      </c>
      <c r="M68" s="7" t="s">
        <v>32</v>
      </c>
      <c r="N68" s="8">
        <v>0</v>
      </c>
      <c r="O68" s="7" t="s">
        <v>32</v>
      </c>
      <c r="P68" s="8">
        <v>0</v>
      </c>
      <c r="Q68" s="9">
        <v>0.22</v>
      </c>
      <c r="R68" s="8">
        <v>0</v>
      </c>
      <c r="S68" s="7" t="s">
        <v>38</v>
      </c>
      <c r="T68" s="9">
        <v>8.5</v>
      </c>
      <c r="U68" s="9">
        <v>7.5</v>
      </c>
      <c r="V68" s="8">
        <v>4</v>
      </c>
      <c r="W68" s="9">
        <v>0.56999999999999995</v>
      </c>
      <c r="X68" s="9">
        <v>0.85199999999999998</v>
      </c>
      <c r="Y68" s="9">
        <v>0</v>
      </c>
      <c r="Z68" s="17">
        <v>736211763839</v>
      </c>
      <c r="AA68" s="8">
        <v>729</v>
      </c>
      <c r="AB68" s="8">
        <v>60</v>
      </c>
      <c r="AC68" s="7" t="s">
        <v>47</v>
      </c>
      <c r="AD68" s="11">
        <v>48</v>
      </c>
      <c r="AE68">
        <f t="shared" si="2"/>
        <v>159662</v>
      </c>
    </row>
    <row r="69" spans="1:31" x14ac:dyDescent="0.25">
      <c r="A69" s="7">
        <v>159749</v>
      </c>
      <c r="B69" s="7" t="s">
        <v>172</v>
      </c>
      <c r="C69" s="7" t="s">
        <v>44</v>
      </c>
      <c r="D69" s="7" t="s">
        <v>32</v>
      </c>
      <c r="E69" s="7" t="s">
        <v>32</v>
      </c>
      <c r="F69" s="7" t="s">
        <v>34</v>
      </c>
      <c r="G69" s="7" t="s">
        <v>32</v>
      </c>
      <c r="H69" s="7" t="s">
        <v>36</v>
      </c>
      <c r="I69" s="7" t="s">
        <v>36</v>
      </c>
      <c r="J69" s="8">
        <v>1</v>
      </c>
      <c r="K69" s="7" t="s">
        <v>37</v>
      </c>
      <c r="L69" s="8">
        <v>48</v>
      </c>
      <c r="M69" s="7" t="s">
        <v>32</v>
      </c>
      <c r="N69" s="8">
        <v>0</v>
      </c>
      <c r="O69" s="7" t="s">
        <v>32</v>
      </c>
      <c r="P69" s="8">
        <v>0</v>
      </c>
      <c r="Q69" s="9">
        <v>0.22</v>
      </c>
      <c r="R69" s="8">
        <v>0</v>
      </c>
      <c r="S69" s="7" t="s">
        <v>38</v>
      </c>
      <c r="T69" s="9">
        <v>8.5</v>
      </c>
      <c r="U69" s="9">
        <v>7.5</v>
      </c>
      <c r="V69" s="8">
        <v>4</v>
      </c>
      <c r="W69" s="9">
        <v>0.443</v>
      </c>
      <c r="X69" s="9">
        <v>0.70399999999999996</v>
      </c>
      <c r="Y69" s="9">
        <v>0</v>
      </c>
      <c r="Z69" s="17">
        <v>24000155997</v>
      </c>
      <c r="AA69" s="8">
        <v>729</v>
      </c>
      <c r="AB69" s="8">
        <v>60</v>
      </c>
      <c r="AC69" s="7" t="s">
        <v>47</v>
      </c>
      <c r="AD69" s="11">
        <v>48</v>
      </c>
      <c r="AE69">
        <f t="shared" si="2"/>
        <v>159749</v>
      </c>
    </row>
    <row r="70" spans="1:31" x14ac:dyDescent="0.25">
      <c r="A70" s="7">
        <v>159750</v>
      </c>
      <c r="B70" s="7" t="s">
        <v>173</v>
      </c>
      <c r="C70" s="7" t="s">
        <v>44</v>
      </c>
      <c r="D70" s="7" t="s">
        <v>32</v>
      </c>
      <c r="E70" s="7" t="s">
        <v>32</v>
      </c>
      <c r="F70" s="7" t="s">
        <v>34</v>
      </c>
      <c r="G70" s="7" t="s">
        <v>32</v>
      </c>
      <c r="H70" s="7" t="s">
        <v>36</v>
      </c>
      <c r="I70" s="7" t="s">
        <v>36</v>
      </c>
      <c r="J70" s="8">
        <v>1</v>
      </c>
      <c r="K70" s="7" t="s">
        <v>37</v>
      </c>
      <c r="L70" s="8">
        <v>48</v>
      </c>
      <c r="M70" s="7" t="s">
        <v>32</v>
      </c>
      <c r="N70" s="8">
        <v>0</v>
      </c>
      <c r="O70" s="7" t="s">
        <v>32</v>
      </c>
      <c r="P70" s="8">
        <v>0</v>
      </c>
      <c r="Q70" s="9">
        <v>0.22</v>
      </c>
      <c r="R70" s="8">
        <v>0</v>
      </c>
      <c r="S70" s="7" t="s">
        <v>38</v>
      </c>
      <c r="T70" s="9">
        <v>8.5</v>
      </c>
      <c r="U70" s="9">
        <v>7.5</v>
      </c>
      <c r="V70" s="8">
        <v>4</v>
      </c>
      <c r="W70" s="9">
        <v>0.45</v>
      </c>
      <c r="X70" s="9">
        <v>0.70599999999999996</v>
      </c>
      <c r="Y70" s="9">
        <v>0</v>
      </c>
      <c r="Z70" s="17">
        <v>24000156000</v>
      </c>
      <c r="AA70" s="8">
        <v>729</v>
      </c>
      <c r="AB70" s="8">
        <v>60</v>
      </c>
      <c r="AC70" s="7" t="s">
        <v>47</v>
      </c>
      <c r="AD70" s="11">
        <v>48</v>
      </c>
      <c r="AE70">
        <f t="shared" si="2"/>
        <v>159750</v>
      </c>
    </row>
    <row r="71" spans="1:31" x14ac:dyDescent="0.25">
      <c r="A71" s="7">
        <v>164357</v>
      </c>
      <c r="B71" s="7" t="s">
        <v>174</v>
      </c>
      <c r="C71" s="7" t="s">
        <v>175</v>
      </c>
      <c r="D71" s="7" t="s">
        <v>32</v>
      </c>
      <c r="E71" s="7" t="s">
        <v>176</v>
      </c>
      <c r="F71" s="7" t="s">
        <v>34</v>
      </c>
      <c r="G71" s="7" t="s">
        <v>32</v>
      </c>
      <c r="H71" s="7" t="s">
        <v>177</v>
      </c>
      <c r="I71" s="7" t="s">
        <v>36</v>
      </c>
      <c r="J71" s="8">
        <v>1</v>
      </c>
      <c r="K71" s="7" t="s">
        <v>37</v>
      </c>
      <c r="L71" s="8">
        <v>24</v>
      </c>
      <c r="M71" s="7" t="s">
        <v>177</v>
      </c>
      <c r="N71" s="8">
        <v>1</v>
      </c>
      <c r="O71" s="7" t="s">
        <v>93</v>
      </c>
      <c r="P71" s="8">
        <v>5000</v>
      </c>
      <c r="Q71" s="9">
        <v>0.23</v>
      </c>
      <c r="R71" s="9">
        <v>0.2</v>
      </c>
      <c r="S71" s="7" t="s">
        <v>38</v>
      </c>
      <c r="T71" s="8">
        <v>17</v>
      </c>
      <c r="U71" s="8">
        <v>7</v>
      </c>
      <c r="V71" s="8">
        <v>7</v>
      </c>
      <c r="W71" s="9">
        <v>0.30399999999999999</v>
      </c>
      <c r="X71" s="9">
        <v>0.38100000000000001</v>
      </c>
      <c r="Y71" s="9">
        <v>0</v>
      </c>
      <c r="Z71" s="17">
        <v>5351904104031</v>
      </c>
      <c r="AA71" s="8">
        <v>540</v>
      </c>
      <c r="AB71" s="8">
        <v>93</v>
      </c>
      <c r="AC71" s="7" t="s">
        <v>178</v>
      </c>
      <c r="AD71" s="11">
        <v>24</v>
      </c>
      <c r="AE71">
        <f t="shared" si="2"/>
        <v>164357</v>
      </c>
    </row>
    <row r="72" spans="1:31" x14ac:dyDescent="0.25">
      <c r="A72" s="7">
        <v>164412</v>
      </c>
      <c r="B72" s="7" t="s">
        <v>179</v>
      </c>
      <c r="C72" s="7" t="s">
        <v>180</v>
      </c>
      <c r="D72" s="7" t="s">
        <v>32</v>
      </c>
      <c r="E72" s="7" t="s">
        <v>181</v>
      </c>
      <c r="F72" s="7" t="s">
        <v>86</v>
      </c>
      <c r="G72" s="7" t="s">
        <v>32</v>
      </c>
      <c r="H72" s="7" t="s">
        <v>87</v>
      </c>
      <c r="I72" s="7" t="s">
        <v>36</v>
      </c>
      <c r="J72" s="8">
        <v>1</v>
      </c>
      <c r="K72" s="7" t="s">
        <v>37</v>
      </c>
      <c r="L72" s="8">
        <v>6</v>
      </c>
      <c r="M72" s="7" t="s">
        <v>87</v>
      </c>
      <c r="N72" s="8">
        <v>1</v>
      </c>
      <c r="O72" s="7" t="s">
        <v>32</v>
      </c>
      <c r="P72" s="8">
        <v>0</v>
      </c>
      <c r="Q72" s="9">
        <v>0.66</v>
      </c>
      <c r="R72" s="9">
        <v>0.9</v>
      </c>
      <c r="S72" s="7" t="s">
        <v>38</v>
      </c>
      <c r="T72" s="9">
        <v>6.5</v>
      </c>
      <c r="U72" s="8">
        <v>7</v>
      </c>
      <c r="V72" s="8">
        <v>14</v>
      </c>
      <c r="W72" s="9">
        <v>0.623</v>
      </c>
      <c r="X72" s="9">
        <v>1.2769999999999999</v>
      </c>
      <c r="Y72" s="9">
        <v>0</v>
      </c>
      <c r="Z72" s="17">
        <v>6221024199547</v>
      </c>
      <c r="AA72" s="8">
        <v>730</v>
      </c>
      <c r="AB72" s="8">
        <v>93</v>
      </c>
      <c r="AC72" s="7" t="s">
        <v>182</v>
      </c>
      <c r="AD72" s="11">
        <v>6</v>
      </c>
      <c r="AE72">
        <f t="shared" si="2"/>
        <v>164412</v>
      </c>
    </row>
    <row r="73" spans="1:31" x14ac:dyDescent="0.25">
      <c r="A73" s="7">
        <v>164416</v>
      </c>
      <c r="B73" s="7" t="s">
        <v>183</v>
      </c>
      <c r="C73" s="7" t="s">
        <v>180</v>
      </c>
      <c r="D73" s="7" t="s">
        <v>32</v>
      </c>
      <c r="E73" s="7" t="s">
        <v>184</v>
      </c>
      <c r="F73" s="7" t="s">
        <v>34</v>
      </c>
      <c r="G73" s="7" t="s">
        <v>32</v>
      </c>
      <c r="H73" s="7" t="s">
        <v>35</v>
      </c>
      <c r="I73" s="7" t="s">
        <v>35</v>
      </c>
      <c r="J73" s="8">
        <v>1</v>
      </c>
      <c r="K73" s="7" t="s">
        <v>36</v>
      </c>
      <c r="L73" s="8">
        <v>1</v>
      </c>
      <c r="M73" s="7" t="s">
        <v>37</v>
      </c>
      <c r="N73" s="8">
        <v>12</v>
      </c>
      <c r="O73" s="7" t="s">
        <v>32</v>
      </c>
      <c r="P73" s="8">
        <v>0</v>
      </c>
      <c r="Q73" s="9">
        <v>0.64</v>
      </c>
      <c r="R73" s="9">
        <v>0.45</v>
      </c>
      <c r="S73" s="7" t="s">
        <v>38</v>
      </c>
      <c r="T73" s="8">
        <v>14</v>
      </c>
      <c r="U73" s="8">
        <v>7</v>
      </c>
      <c r="V73" s="8">
        <v>7</v>
      </c>
      <c r="W73" s="9">
        <v>0.56899999999999995</v>
      </c>
      <c r="X73" s="9">
        <v>0.77</v>
      </c>
      <c r="Y73" s="9">
        <v>0</v>
      </c>
      <c r="Z73" s="17">
        <v>8711173007605</v>
      </c>
      <c r="AA73" s="8">
        <v>730</v>
      </c>
      <c r="AB73" s="8">
        <v>93</v>
      </c>
      <c r="AC73" s="7" t="s">
        <v>182</v>
      </c>
      <c r="AD73" s="11">
        <v>12</v>
      </c>
      <c r="AE73">
        <f t="shared" si="2"/>
        <v>164416</v>
      </c>
    </row>
    <row r="74" spans="1:31" x14ac:dyDescent="0.25">
      <c r="A74" s="7">
        <v>164417</v>
      </c>
      <c r="B74" s="7" t="s">
        <v>185</v>
      </c>
      <c r="C74" s="7" t="s">
        <v>180</v>
      </c>
      <c r="D74" s="7" t="s">
        <v>32</v>
      </c>
      <c r="E74" s="7" t="s">
        <v>186</v>
      </c>
      <c r="F74" s="7" t="s">
        <v>34</v>
      </c>
      <c r="G74" s="7" t="s">
        <v>32</v>
      </c>
      <c r="H74" s="7" t="s">
        <v>35</v>
      </c>
      <c r="I74" s="7" t="s">
        <v>35</v>
      </c>
      <c r="J74" s="8">
        <v>1</v>
      </c>
      <c r="K74" s="7" t="s">
        <v>36</v>
      </c>
      <c r="L74" s="8">
        <v>1</v>
      </c>
      <c r="M74" s="7" t="s">
        <v>37</v>
      </c>
      <c r="N74" s="8">
        <v>12</v>
      </c>
      <c r="O74" s="7" t="s">
        <v>32</v>
      </c>
      <c r="P74" s="8">
        <v>0</v>
      </c>
      <c r="Q74" s="9">
        <v>0.66</v>
      </c>
      <c r="R74" s="9">
        <v>0.45</v>
      </c>
      <c r="S74" s="7" t="s">
        <v>38</v>
      </c>
      <c r="T74" s="9">
        <v>6.5</v>
      </c>
      <c r="U74" s="8">
        <v>7</v>
      </c>
      <c r="V74" s="8">
        <v>14</v>
      </c>
      <c r="W74" s="9">
        <v>0.56899999999999995</v>
      </c>
      <c r="X74" s="9">
        <v>0.77</v>
      </c>
      <c r="Y74" s="9">
        <v>0</v>
      </c>
      <c r="Z74" s="17">
        <v>8711173007612</v>
      </c>
      <c r="AA74" s="8">
        <v>730</v>
      </c>
      <c r="AB74" s="8">
        <v>93</v>
      </c>
      <c r="AC74" s="7" t="s">
        <v>182</v>
      </c>
      <c r="AD74" s="11">
        <v>12</v>
      </c>
      <c r="AE74">
        <f t="shared" si="2"/>
        <v>164417</v>
      </c>
    </row>
    <row r="75" spans="1:31" x14ac:dyDescent="0.25">
      <c r="A75" s="7">
        <v>164418</v>
      </c>
      <c r="B75" s="7" t="s">
        <v>187</v>
      </c>
      <c r="C75" s="7" t="s">
        <v>180</v>
      </c>
      <c r="D75" s="7" t="s">
        <v>32</v>
      </c>
      <c r="E75" s="7" t="s">
        <v>188</v>
      </c>
      <c r="F75" s="7" t="s">
        <v>34</v>
      </c>
      <c r="G75" s="7" t="s">
        <v>32</v>
      </c>
      <c r="H75" s="7" t="s">
        <v>35</v>
      </c>
      <c r="I75" s="7" t="s">
        <v>35</v>
      </c>
      <c r="J75" s="8">
        <v>1</v>
      </c>
      <c r="K75" s="7" t="s">
        <v>36</v>
      </c>
      <c r="L75" s="8">
        <v>1</v>
      </c>
      <c r="M75" s="7" t="s">
        <v>37</v>
      </c>
      <c r="N75" s="8">
        <v>12</v>
      </c>
      <c r="O75" s="7" t="s">
        <v>32</v>
      </c>
      <c r="P75" s="8">
        <v>0</v>
      </c>
      <c r="Q75" s="9">
        <v>0.66</v>
      </c>
      <c r="R75" s="9">
        <v>0.45</v>
      </c>
      <c r="S75" s="7" t="s">
        <v>38</v>
      </c>
      <c r="T75" s="9">
        <v>6.5</v>
      </c>
      <c r="U75" s="8">
        <v>7</v>
      </c>
      <c r="V75" s="8">
        <v>14</v>
      </c>
      <c r="W75" s="9">
        <v>0.56899999999999995</v>
      </c>
      <c r="X75" s="9">
        <v>0.77</v>
      </c>
      <c r="Y75" s="9">
        <v>0</v>
      </c>
      <c r="Z75" s="17">
        <v>8711173007636</v>
      </c>
      <c r="AA75" s="8">
        <v>730</v>
      </c>
      <c r="AB75" s="8">
        <v>93</v>
      </c>
      <c r="AC75" s="7" t="s">
        <v>182</v>
      </c>
      <c r="AD75" s="11">
        <v>12</v>
      </c>
      <c r="AE75">
        <f t="shared" si="2"/>
        <v>164418</v>
      </c>
    </row>
    <row r="76" spans="1:31" x14ac:dyDescent="0.25">
      <c r="A76" s="7">
        <v>164419</v>
      </c>
      <c r="B76" s="7" t="s">
        <v>189</v>
      </c>
      <c r="C76" s="7" t="s">
        <v>180</v>
      </c>
      <c r="D76" s="7" t="s">
        <v>32</v>
      </c>
      <c r="E76" s="7" t="s">
        <v>190</v>
      </c>
      <c r="F76" s="7" t="s">
        <v>34</v>
      </c>
      <c r="G76" s="7" t="s">
        <v>32</v>
      </c>
      <c r="H76" s="7" t="s">
        <v>35</v>
      </c>
      <c r="I76" s="7" t="s">
        <v>35</v>
      </c>
      <c r="J76" s="8">
        <v>1</v>
      </c>
      <c r="K76" s="7" t="s">
        <v>36</v>
      </c>
      <c r="L76" s="8">
        <v>1</v>
      </c>
      <c r="M76" s="7" t="s">
        <v>37</v>
      </c>
      <c r="N76" s="8">
        <v>12</v>
      </c>
      <c r="O76" s="7" t="s">
        <v>32</v>
      </c>
      <c r="P76" s="8">
        <v>0</v>
      </c>
      <c r="Q76" s="9">
        <v>0.66</v>
      </c>
      <c r="R76" s="9">
        <v>0.45</v>
      </c>
      <c r="S76" s="7" t="s">
        <v>38</v>
      </c>
      <c r="T76" s="9">
        <v>6.5</v>
      </c>
      <c r="U76" s="8">
        <v>7</v>
      </c>
      <c r="V76" s="8">
        <v>14</v>
      </c>
      <c r="W76" s="9">
        <v>0.56899999999999995</v>
      </c>
      <c r="X76" s="9">
        <v>0.77</v>
      </c>
      <c r="Y76" s="9">
        <v>0</v>
      </c>
      <c r="Z76" s="17">
        <v>8711173007643</v>
      </c>
      <c r="AA76" s="8">
        <v>730</v>
      </c>
      <c r="AB76" s="8">
        <v>93</v>
      </c>
      <c r="AC76" s="7" t="s">
        <v>182</v>
      </c>
      <c r="AD76" s="11">
        <v>12</v>
      </c>
      <c r="AE76">
        <f t="shared" si="2"/>
        <v>164419</v>
      </c>
    </row>
    <row r="77" spans="1:31" x14ac:dyDescent="0.25">
      <c r="A77" s="7">
        <v>164420</v>
      </c>
      <c r="B77" s="7" t="s">
        <v>191</v>
      </c>
      <c r="C77" s="7" t="s">
        <v>180</v>
      </c>
      <c r="D77" s="7" t="s">
        <v>32</v>
      </c>
      <c r="E77" s="7" t="s">
        <v>192</v>
      </c>
      <c r="F77" s="7" t="s">
        <v>34</v>
      </c>
      <c r="G77" s="7" t="s">
        <v>32</v>
      </c>
      <c r="H77" s="7" t="s">
        <v>35</v>
      </c>
      <c r="I77" s="7" t="s">
        <v>35</v>
      </c>
      <c r="J77" s="8">
        <v>1</v>
      </c>
      <c r="K77" s="7" t="s">
        <v>36</v>
      </c>
      <c r="L77" s="8">
        <v>1</v>
      </c>
      <c r="M77" s="7" t="s">
        <v>37</v>
      </c>
      <c r="N77" s="8">
        <v>12</v>
      </c>
      <c r="O77" s="7" t="s">
        <v>32</v>
      </c>
      <c r="P77" s="8">
        <v>0</v>
      </c>
      <c r="Q77" s="9">
        <v>0.66</v>
      </c>
      <c r="R77" s="9">
        <v>0.45</v>
      </c>
      <c r="S77" s="7" t="s">
        <v>38</v>
      </c>
      <c r="T77" s="9">
        <v>6.5</v>
      </c>
      <c r="U77" s="8">
        <v>7</v>
      </c>
      <c r="V77" s="8">
        <v>14</v>
      </c>
      <c r="W77" s="9">
        <v>0.56899999999999995</v>
      </c>
      <c r="X77" s="9">
        <v>0.77</v>
      </c>
      <c r="Y77" s="9">
        <v>0</v>
      </c>
      <c r="Z77" s="17">
        <v>8711173007650</v>
      </c>
      <c r="AA77" s="8">
        <v>730</v>
      </c>
      <c r="AB77" s="8">
        <v>93</v>
      </c>
      <c r="AC77" s="7" t="s">
        <v>182</v>
      </c>
      <c r="AD77" s="11">
        <v>12</v>
      </c>
      <c r="AE77">
        <f t="shared" si="2"/>
        <v>164420</v>
      </c>
    </row>
    <row r="78" spans="1:31" x14ac:dyDescent="0.25">
      <c r="A78" s="7">
        <v>164422</v>
      </c>
      <c r="B78" s="7" t="s">
        <v>193</v>
      </c>
      <c r="C78" s="7" t="s">
        <v>180</v>
      </c>
      <c r="D78" s="7" t="s">
        <v>32</v>
      </c>
      <c r="E78" s="7" t="s">
        <v>194</v>
      </c>
      <c r="F78" s="7" t="s">
        <v>34</v>
      </c>
      <c r="G78" s="7" t="s">
        <v>32</v>
      </c>
      <c r="H78" s="7" t="s">
        <v>35</v>
      </c>
      <c r="I78" s="7" t="s">
        <v>35</v>
      </c>
      <c r="J78" s="8">
        <v>1</v>
      </c>
      <c r="K78" s="7" t="s">
        <v>36</v>
      </c>
      <c r="L78" s="8">
        <v>1</v>
      </c>
      <c r="M78" s="7" t="s">
        <v>37</v>
      </c>
      <c r="N78" s="8">
        <v>12</v>
      </c>
      <c r="O78" s="7" t="s">
        <v>32</v>
      </c>
      <c r="P78" s="8">
        <v>0</v>
      </c>
      <c r="Q78" s="9">
        <v>0.68</v>
      </c>
      <c r="R78" s="9">
        <v>0.45</v>
      </c>
      <c r="S78" s="7" t="s">
        <v>38</v>
      </c>
      <c r="T78" s="8">
        <v>8</v>
      </c>
      <c r="U78" s="8">
        <v>8</v>
      </c>
      <c r="V78" s="9">
        <v>13.5</v>
      </c>
      <c r="W78" s="9">
        <v>0.56899999999999995</v>
      </c>
      <c r="X78" s="9">
        <v>0.71499999999999997</v>
      </c>
      <c r="Y78" s="9">
        <v>0</v>
      </c>
      <c r="Z78" s="17">
        <v>8711173007698</v>
      </c>
      <c r="AA78" s="8">
        <v>730</v>
      </c>
      <c r="AB78" s="8">
        <v>93</v>
      </c>
      <c r="AC78" s="7" t="s">
        <v>182</v>
      </c>
      <c r="AD78" s="11">
        <v>12</v>
      </c>
      <c r="AE78">
        <f t="shared" si="2"/>
        <v>164422</v>
      </c>
    </row>
    <row r="79" spans="1:31" x14ac:dyDescent="0.25">
      <c r="A79" s="7">
        <v>164423</v>
      </c>
      <c r="B79" s="7" t="s">
        <v>195</v>
      </c>
      <c r="C79" s="7" t="s">
        <v>196</v>
      </c>
      <c r="D79" s="7" t="s">
        <v>32</v>
      </c>
      <c r="E79" s="7" t="s">
        <v>197</v>
      </c>
      <c r="F79" s="7" t="s">
        <v>34</v>
      </c>
      <c r="G79" s="7" t="s">
        <v>32</v>
      </c>
      <c r="H79" s="7" t="s">
        <v>36</v>
      </c>
      <c r="I79" s="7" t="s">
        <v>36</v>
      </c>
      <c r="J79" s="8">
        <v>1</v>
      </c>
      <c r="K79" s="7" t="s">
        <v>37</v>
      </c>
      <c r="L79" s="8">
        <v>12</v>
      </c>
      <c r="M79" s="7" t="s">
        <v>32</v>
      </c>
      <c r="N79" s="8">
        <v>0</v>
      </c>
      <c r="O79" s="7" t="s">
        <v>32</v>
      </c>
      <c r="P79" s="8">
        <v>0</v>
      </c>
      <c r="Q79" s="9">
        <v>0.23</v>
      </c>
      <c r="R79" s="8">
        <v>0</v>
      </c>
      <c r="S79" s="7" t="s">
        <v>38</v>
      </c>
      <c r="T79" s="9">
        <v>5.5</v>
      </c>
      <c r="U79" s="9">
        <v>5.5</v>
      </c>
      <c r="V79" s="8">
        <v>7</v>
      </c>
      <c r="W79" s="9">
        <v>0.34899999999999998</v>
      </c>
      <c r="X79" s="9">
        <v>0.45600000000000002</v>
      </c>
      <c r="Y79" s="9">
        <v>0</v>
      </c>
      <c r="Z79" s="17">
        <v>8690504550594</v>
      </c>
      <c r="AA79" s="8">
        <v>540</v>
      </c>
      <c r="AB79" s="8">
        <v>93</v>
      </c>
      <c r="AC79" s="7" t="s">
        <v>182</v>
      </c>
      <c r="AD79" s="11">
        <v>12</v>
      </c>
      <c r="AE79">
        <f t="shared" si="2"/>
        <v>164423</v>
      </c>
    </row>
    <row r="80" spans="1:31" x14ac:dyDescent="0.25">
      <c r="A80" s="7">
        <v>164425</v>
      </c>
      <c r="B80" s="7" t="s">
        <v>198</v>
      </c>
      <c r="C80" s="7" t="s">
        <v>196</v>
      </c>
      <c r="D80" s="7" t="s">
        <v>32</v>
      </c>
      <c r="E80" s="7" t="s">
        <v>199</v>
      </c>
      <c r="F80" s="7" t="s">
        <v>34</v>
      </c>
      <c r="G80" s="7" t="s">
        <v>32</v>
      </c>
      <c r="H80" s="7" t="s">
        <v>36</v>
      </c>
      <c r="I80" s="7" t="s">
        <v>36</v>
      </c>
      <c r="J80" s="8">
        <v>1</v>
      </c>
      <c r="K80" s="7" t="s">
        <v>37</v>
      </c>
      <c r="L80" s="8">
        <v>12</v>
      </c>
      <c r="M80" s="7" t="s">
        <v>32</v>
      </c>
      <c r="N80" s="8">
        <v>0</v>
      </c>
      <c r="O80" s="7" t="s">
        <v>32</v>
      </c>
      <c r="P80" s="8">
        <v>0</v>
      </c>
      <c r="Q80" s="9">
        <v>0.23</v>
      </c>
      <c r="R80" s="8">
        <v>0</v>
      </c>
      <c r="S80" s="7" t="s">
        <v>38</v>
      </c>
      <c r="T80" s="8">
        <v>6</v>
      </c>
      <c r="U80" s="8">
        <v>6</v>
      </c>
      <c r="V80" s="8">
        <v>7</v>
      </c>
      <c r="W80" s="9">
        <v>0.34899999999999998</v>
      </c>
      <c r="X80" s="9">
        <v>0.45600000000000002</v>
      </c>
      <c r="Y80" s="9">
        <v>0</v>
      </c>
      <c r="Z80" s="17">
        <v>8690504550587</v>
      </c>
      <c r="AA80" s="8">
        <v>540</v>
      </c>
      <c r="AB80" s="8">
        <v>93</v>
      </c>
      <c r="AC80" s="7" t="s">
        <v>182</v>
      </c>
      <c r="AD80" s="11">
        <v>12</v>
      </c>
      <c r="AE80">
        <f t="shared" si="2"/>
        <v>164425</v>
      </c>
    </row>
    <row r="81" spans="1:31" x14ac:dyDescent="0.25">
      <c r="A81" s="7">
        <v>164426</v>
      </c>
      <c r="B81" s="7" t="s">
        <v>200</v>
      </c>
      <c r="C81" s="7" t="s">
        <v>196</v>
      </c>
      <c r="D81" s="7" t="s">
        <v>32</v>
      </c>
      <c r="E81" s="7" t="s">
        <v>201</v>
      </c>
      <c r="F81" s="7" t="s">
        <v>34</v>
      </c>
      <c r="G81" s="7" t="s">
        <v>32</v>
      </c>
      <c r="H81" s="7" t="s">
        <v>36</v>
      </c>
      <c r="I81" s="7" t="s">
        <v>36</v>
      </c>
      <c r="J81" s="8">
        <v>1</v>
      </c>
      <c r="K81" s="7" t="s">
        <v>37</v>
      </c>
      <c r="L81" s="8">
        <v>12</v>
      </c>
      <c r="M81" s="7" t="s">
        <v>32</v>
      </c>
      <c r="N81" s="8">
        <v>0</v>
      </c>
      <c r="O81" s="7" t="s">
        <v>32</v>
      </c>
      <c r="P81" s="8">
        <v>0</v>
      </c>
      <c r="Q81" s="9">
        <v>0.23</v>
      </c>
      <c r="R81" s="8">
        <v>0</v>
      </c>
      <c r="S81" s="7" t="s">
        <v>38</v>
      </c>
      <c r="T81" s="8">
        <v>6</v>
      </c>
      <c r="U81" s="8">
        <v>6</v>
      </c>
      <c r="V81" s="8">
        <v>7</v>
      </c>
      <c r="W81" s="9">
        <v>0.34899999999999998</v>
      </c>
      <c r="X81" s="9">
        <v>0.45600000000000002</v>
      </c>
      <c r="Y81" s="9">
        <v>0</v>
      </c>
      <c r="Z81" s="17">
        <v>8690504550570</v>
      </c>
      <c r="AA81" s="8">
        <v>540</v>
      </c>
      <c r="AB81" s="8">
        <v>93</v>
      </c>
      <c r="AC81" s="7" t="s">
        <v>182</v>
      </c>
      <c r="AD81" s="11">
        <v>12</v>
      </c>
      <c r="AE81">
        <f t="shared" si="2"/>
        <v>164426</v>
      </c>
    </row>
    <row r="82" spans="1:31" x14ac:dyDescent="0.25">
      <c r="A82" s="7">
        <v>164427</v>
      </c>
      <c r="B82" s="7" t="s">
        <v>202</v>
      </c>
      <c r="C82" s="7" t="s">
        <v>196</v>
      </c>
      <c r="D82" s="7" t="s">
        <v>32</v>
      </c>
      <c r="E82" s="7" t="s">
        <v>203</v>
      </c>
      <c r="F82" s="7" t="s">
        <v>34</v>
      </c>
      <c r="G82" s="7" t="s">
        <v>32</v>
      </c>
      <c r="H82" s="7" t="s">
        <v>36</v>
      </c>
      <c r="I82" s="7" t="s">
        <v>36</v>
      </c>
      <c r="J82" s="8">
        <v>1</v>
      </c>
      <c r="K82" s="7" t="s">
        <v>37</v>
      </c>
      <c r="L82" s="8">
        <v>12</v>
      </c>
      <c r="M82" s="7" t="s">
        <v>32</v>
      </c>
      <c r="N82" s="8">
        <v>0</v>
      </c>
      <c r="O82" s="7" t="s">
        <v>32</v>
      </c>
      <c r="P82" s="8">
        <v>0</v>
      </c>
      <c r="Q82" s="9">
        <v>0.23</v>
      </c>
      <c r="R82" s="8">
        <v>0</v>
      </c>
      <c r="S82" s="7" t="s">
        <v>38</v>
      </c>
      <c r="T82" s="8">
        <v>6</v>
      </c>
      <c r="U82" s="8">
        <v>6</v>
      </c>
      <c r="V82" s="8">
        <v>7</v>
      </c>
      <c r="W82" s="9">
        <v>0.34899999999999998</v>
      </c>
      <c r="X82" s="9">
        <v>0.45600000000000002</v>
      </c>
      <c r="Y82" s="9">
        <v>0</v>
      </c>
      <c r="Z82" s="17">
        <v>8690504550648</v>
      </c>
      <c r="AA82" s="8">
        <v>540</v>
      </c>
      <c r="AB82" s="8">
        <v>93</v>
      </c>
      <c r="AC82" s="7" t="s">
        <v>182</v>
      </c>
      <c r="AD82" s="11">
        <v>12</v>
      </c>
      <c r="AE82">
        <f t="shared" si="2"/>
        <v>164427</v>
      </c>
    </row>
    <row r="83" spans="1:31" x14ac:dyDescent="0.25">
      <c r="A83" s="7">
        <v>164428</v>
      </c>
      <c r="B83" s="7" t="s">
        <v>204</v>
      </c>
      <c r="C83" s="7" t="s">
        <v>196</v>
      </c>
      <c r="D83" s="7" t="s">
        <v>32</v>
      </c>
      <c r="E83" s="7" t="s">
        <v>205</v>
      </c>
      <c r="F83" s="7" t="s">
        <v>34</v>
      </c>
      <c r="G83" s="7" t="s">
        <v>32</v>
      </c>
      <c r="H83" s="7" t="s">
        <v>36</v>
      </c>
      <c r="I83" s="7" t="s">
        <v>36</v>
      </c>
      <c r="J83" s="8">
        <v>1</v>
      </c>
      <c r="K83" s="7" t="s">
        <v>37</v>
      </c>
      <c r="L83" s="8">
        <v>12</v>
      </c>
      <c r="M83" s="7" t="s">
        <v>32</v>
      </c>
      <c r="N83" s="8">
        <v>0</v>
      </c>
      <c r="O83" s="7" t="s">
        <v>32</v>
      </c>
      <c r="P83" s="8">
        <v>0</v>
      </c>
      <c r="Q83" s="9">
        <v>0.23</v>
      </c>
      <c r="R83" s="8">
        <v>0</v>
      </c>
      <c r="S83" s="7" t="s">
        <v>38</v>
      </c>
      <c r="T83" s="9">
        <v>5.5</v>
      </c>
      <c r="U83" s="9">
        <v>5.5</v>
      </c>
      <c r="V83" s="8">
        <v>7</v>
      </c>
      <c r="W83" s="9">
        <v>0.34899999999999998</v>
      </c>
      <c r="X83" s="9">
        <v>0.45600000000000002</v>
      </c>
      <c r="Y83" s="9">
        <v>0</v>
      </c>
      <c r="Z83" s="17">
        <v>8690504550655</v>
      </c>
      <c r="AA83" s="8">
        <v>540</v>
      </c>
      <c r="AB83" s="8">
        <v>93</v>
      </c>
      <c r="AC83" s="7" t="s">
        <v>182</v>
      </c>
      <c r="AD83" s="11">
        <v>12</v>
      </c>
      <c r="AE83">
        <f t="shared" si="2"/>
        <v>164428</v>
      </c>
    </row>
    <row r="84" spans="1:31" x14ac:dyDescent="0.25">
      <c r="A84" s="7">
        <v>164429</v>
      </c>
      <c r="B84" s="7" t="s">
        <v>206</v>
      </c>
      <c r="C84" s="7" t="s">
        <v>196</v>
      </c>
      <c r="D84" s="7" t="s">
        <v>32</v>
      </c>
      <c r="E84" s="7" t="s">
        <v>207</v>
      </c>
      <c r="F84" s="7" t="s">
        <v>34</v>
      </c>
      <c r="G84" s="7" t="s">
        <v>32</v>
      </c>
      <c r="H84" s="7" t="s">
        <v>36</v>
      </c>
      <c r="I84" s="7" t="s">
        <v>36</v>
      </c>
      <c r="J84" s="8">
        <v>1</v>
      </c>
      <c r="K84" s="7" t="s">
        <v>37</v>
      </c>
      <c r="L84" s="8">
        <v>12</v>
      </c>
      <c r="M84" s="7" t="s">
        <v>32</v>
      </c>
      <c r="N84" s="8">
        <v>0</v>
      </c>
      <c r="O84" s="7" t="s">
        <v>32</v>
      </c>
      <c r="P84" s="8">
        <v>0</v>
      </c>
      <c r="Q84" s="9">
        <v>0.22</v>
      </c>
      <c r="R84" s="8">
        <v>0</v>
      </c>
      <c r="S84" s="7" t="s">
        <v>38</v>
      </c>
      <c r="T84" s="8">
        <v>6</v>
      </c>
      <c r="U84" s="8">
        <v>6</v>
      </c>
      <c r="V84" s="8">
        <v>7</v>
      </c>
      <c r="W84" s="9">
        <v>0.34899999999999998</v>
      </c>
      <c r="X84" s="9">
        <v>0.441</v>
      </c>
      <c r="Y84" s="9">
        <v>0</v>
      </c>
      <c r="Z84" s="17">
        <v>8690504550686</v>
      </c>
      <c r="AA84" s="8">
        <v>540</v>
      </c>
      <c r="AB84" s="8">
        <v>93</v>
      </c>
      <c r="AC84" s="7" t="s">
        <v>182</v>
      </c>
      <c r="AD84" s="11">
        <v>12</v>
      </c>
      <c r="AE84">
        <f t="shared" si="2"/>
        <v>164429</v>
      </c>
    </row>
    <row r="85" spans="1:31" x14ac:dyDescent="0.25">
      <c r="A85" s="7">
        <v>164430</v>
      </c>
      <c r="B85" s="7" t="s">
        <v>208</v>
      </c>
      <c r="C85" s="7" t="s">
        <v>196</v>
      </c>
      <c r="D85" s="7" t="s">
        <v>91</v>
      </c>
      <c r="E85" s="7" t="s">
        <v>209</v>
      </c>
      <c r="F85" s="7" t="s">
        <v>34</v>
      </c>
      <c r="G85" s="7" t="s">
        <v>32</v>
      </c>
      <c r="H85" s="7" t="s">
        <v>36</v>
      </c>
      <c r="I85" s="7" t="s">
        <v>36</v>
      </c>
      <c r="J85" s="8">
        <v>1</v>
      </c>
      <c r="K85" s="7" t="s">
        <v>37</v>
      </c>
      <c r="L85" s="8">
        <v>12</v>
      </c>
      <c r="M85" s="7" t="s">
        <v>32</v>
      </c>
      <c r="N85" s="8">
        <v>0</v>
      </c>
      <c r="O85" s="7" t="s">
        <v>32</v>
      </c>
      <c r="P85" s="8">
        <v>0</v>
      </c>
      <c r="Q85" s="9">
        <v>0.1</v>
      </c>
      <c r="R85" s="8">
        <v>0</v>
      </c>
      <c r="S85" s="7" t="s">
        <v>38</v>
      </c>
      <c r="T85" s="9">
        <v>3.5</v>
      </c>
      <c r="U85" s="9">
        <v>3.5</v>
      </c>
      <c r="V85" s="8">
        <v>9</v>
      </c>
      <c r="W85" s="9">
        <v>0.34899999999999998</v>
      </c>
      <c r="X85" s="9">
        <v>0.45600000000000002</v>
      </c>
      <c r="Y85" s="9">
        <v>0</v>
      </c>
      <c r="Z85" s="17">
        <v>8690504550631</v>
      </c>
      <c r="AA85" s="8">
        <v>540</v>
      </c>
      <c r="AB85" s="8">
        <v>93</v>
      </c>
      <c r="AC85" s="7" t="s">
        <v>182</v>
      </c>
      <c r="AD85" s="11">
        <v>12</v>
      </c>
      <c r="AE85">
        <f t="shared" si="2"/>
        <v>164430</v>
      </c>
    </row>
    <row r="86" spans="1:31" x14ac:dyDescent="0.25">
      <c r="A86" s="7">
        <v>164431</v>
      </c>
      <c r="B86" s="7" t="s">
        <v>210</v>
      </c>
      <c r="C86" s="7" t="s">
        <v>196</v>
      </c>
      <c r="D86" s="7" t="s">
        <v>32</v>
      </c>
      <c r="E86" s="7" t="s">
        <v>211</v>
      </c>
      <c r="F86" s="7" t="s">
        <v>34</v>
      </c>
      <c r="G86" s="7" t="s">
        <v>32</v>
      </c>
      <c r="H86" s="7" t="s">
        <v>36</v>
      </c>
      <c r="I86" s="7" t="s">
        <v>36</v>
      </c>
      <c r="J86" s="8">
        <v>1</v>
      </c>
      <c r="K86" s="7" t="s">
        <v>37</v>
      </c>
      <c r="L86" s="8">
        <v>12</v>
      </c>
      <c r="M86" s="7" t="s">
        <v>32</v>
      </c>
      <c r="N86" s="8">
        <v>0</v>
      </c>
      <c r="O86" s="7" t="s">
        <v>32</v>
      </c>
      <c r="P86" s="8">
        <v>0</v>
      </c>
      <c r="Q86" s="9">
        <v>0.23</v>
      </c>
      <c r="R86" s="8">
        <v>0</v>
      </c>
      <c r="S86" s="7" t="s">
        <v>38</v>
      </c>
      <c r="T86" s="8">
        <v>6</v>
      </c>
      <c r="U86" s="8">
        <v>6</v>
      </c>
      <c r="V86" s="8">
        <v>7</v>
      </c>
      <c r="W86" s="9">
        <v>0.34899999999999998</v>
      </c>
      <c r="X86" s="9">
        <v>0.45600000000000002</v>
      </c>
      <c r="Y86" s="9">
        <v>0</v>
      </c>
      <c r="Z86" s="17">
        <v>8690504550662</v>
      </c>
      <c r="AA86" s="8">
        <v>540</v>
      </c>
      <c r="AB86" s="8">
        <v>93</v>
      </c>
      <c r="AC86" s="7" t="s">
        <v>182</v>
      </c>
      <c r="AD86" s="11">
        <v>12</v>
      </c>
      <c r="AE86">
        <f t="shared" si="2"/>
        <v>164431</v>
      </c>
    </row>
    <row r="87" spans="1:31" x14ac:dyDescent="0.25">
      <c r="A87" s="7">
        <v>165099</v>
      </c>
      <c r="B87" s="7" t="s">
        <v>212</v>
      </c>
      <c r="C87" s="7" t="s">
        <v>44</v>
      </c>
      <c r="D87" s="7" t="s">
        <v>32</v>
      </c>
      <c r="E87" s="7" t="s">
        <v>213</v>
      </c>
      <c r="F87" s="7" t="s">
        <v>34</v>
      </c>
      <c r="G87" s="7" t="s">
        <v>32</v>
      </c>
      <c r="H87" s="7" t="s">
        <v>36</v>
      </c>
      <c r="I87" s="7" t="s">
        <v>36</v>
      </c>
      <c r="J87" s="8">
        <v>1</v>
      </c>
      <c r="K87" s="7" t="s">
        <v>37</v>
      </c>
      <c r="L87" s="8">
        <v>24</v>
      </c>
      <c r="M87" s="7" t="s">
        <v>32</v>
      </c>
      <c r="N87" s="8">
        <v>0</v>
      </c>
      <c r="O87" s="7" t="s">
        <v>32</v>
      </c>
      <c r="P87" s="8">
        <v>0</v>
      </c>
      <c r="Q87" s="9">
        <v>0.5</v>
      </c>
      <c r="R87" s="9">
        <v>0.42499999999999999</v>
      </c>
      <c r="S87" s="7" t="s">
        <v>38</v>
      </c>
      <c r="T87" s="9">
        <v>7.5</v>
      </c>
      <c r="U87" s="9">
        <v>7.5</v>
      </c>
      <c r="V87" s="8">
        <v>11</v>
      </c>
      <c r="W87" s="9">
        <v>0.36599999999999999</v>
      </c>
      <c r="X87" s="9">
        <v>0.442</v>
      </c>
      <c r="Y87" s="9">
        <v>0</v>
      </c>
      <c r="Z87" s="17">
        <v>24000238171</v>
      </c>
      <c r="AA87" s="8">
        <v>729</v>
      </c>
      <c r="AB87" s="8">
        <v>90</v>
      </c>
      <c r="AC87" s="7" t="s">
        <v>47</v>
      </c>
      <c r="AD87" s="11">
        <v>24</v>
      </c>
      <c r="AE87">
        <f t="shared" si="2"/>
        <v>165099</v>
      </c>
    </row>
    <row r="88" spans="1:31" x14ac:dyDescent="0.25">
      <c r="A88" s="7">
        <v>165100</v>
      </c>
      <c r="B88" s="7" t="s">
        <v>214</v>
      </c>
      <c r="C88" s="7" t="s">
        <v>44</v>
      </c>
      <c r="D88" s="7" t="s">
        <v>32</v>
      </c>
      <c r="E88" s="7" t="s">
        <v>215</v>
      </c>
      <c r="F88" s="7" t="s">
        <v>34</v>
      </c>
      <c r="G88" s="7" t="s">
        <v>32</v>
      </c>
      <c r="H88" s="7" t="s">
        <v>36</v>
      </c>
      <c r="I88" s="7" t="s">
        <v>36</v>
      </c>
      <c r="J88" s="8">
        <v>1</v>
      </c>
      <c r="K88" s="7" t="s">
        <v>37</v>
      </c>
      <c r="L88" s="8">
        <v>24</v>
      </c>
      <c r="M88" s="7" t="s">
        <v>32</v>
      </c>
      <c r="N88" s="8">
        <v>0</v>
      </c>
      <c r="O88" s="7" t="s">
        <v>32</v>
      </c>
      <c r="P88" s="8">
        <v>0</v>
      </c>
      <c r="Q88" s="9">
        <v>0.48</v>
      </c>
      <c r="R88" s="9">
        <v>0.42499999999999999</v>
      </c>
      <c r="S88" s="7" t="s">
        <v>38</v>
      </c>
      <c r="T88" s="9">
        <v>7.5</v>
      </c>
      <c r="U88" s="9">
        <v>7.5</v>
      </c>
      <c r="V88" s="8">
        <v>11</v>
      </c>
      <c r="W88" s="9">
        <v>0.38700000000000001</v>
      </c>
      <c r="X88" s="9">
        <v>0.45300000000000001</v>
      </c>
      <c r="Y88" s="9">
        <v>0</v>
      </c>
      <c r="Z88" s="17">
        <v>24000238188</v>
      </c>
      <c r="AA88" s="8">
        <v>729</v>
      </c>
      <c r="AB88" s="8">
        <v>90</v>
      </c>
      <c r="AC88" s="7" t="s">
        <v>47</v>
      </c>
      <c r="AD88" s="11">
        <v>24</v>
      </c>
      <c r="AE88">
        <f t="shared" si="2"/>
        <v>165100</v>
      </c>
    </row>
    <row r="89" spans="1:31" x14ac:dyDescent="0.25">
      <c r="A89" s="7">
        <v>165101</v>
      </c>
      <c r="B89" s="7" t="s">
        <v>216</v>
      </c>
      <c r="C89" s="7" t="s">
        <v>44</v>
      </c>
      <c r="D89" s="7" t="s">
        <v>32</v>
      </c>
      <c r="E89" s="7" t="s">
        <v>217</v>
      </c>
      <c r="F89" s="7" t="s">
        <v>34</v>
      </c>
      <c r="G89" s="7" t="s">
        <v>32</v>
      </c>
      <c r="H89" s="7" t="s">
        <v>36</v>
      </c>
      <c r="I89" s="7" t="s">
        <v>36</v>
      </c>
      <c r="J89" s="8">
        <v>1</v>
      </c>
      <c r="K89" s="7" t="s">
        <v>37</v>
      </c>
      <c r="L89" s="8">
        <v>24</v>
      </c>
      <c r="M89" s="7" t="s">
        <v>32</v>
      </c>
      <c r="N89" s="8">
        <v>0</v>
      </c>
      <c r="O89" s="7" t="s">
        <v>32</v>
      </c>
      <c r="P89" s="8">
        <v>0</v>
      </c>
      <c r="Q89" s="9">
        <v>0.5</v>
      </c>
      <c r="R89" s="9">
        <v>0.42499999999999999</v>
      </c>
      <c r="S89" s="7" t="s">
        <v>38</v>
      </c>
      <c r="T89" s="9">
        <v>7.5</v>
      </c>
      <c r="U89" s="9">
        <v>7.5</v>
      </c>
      <c r="V89" s="8">
        <v>11</v>
      </c>
      <c r="W89" s="9">
        <v>0.377</v>
      </c>
      <c r="X89" s="9">
        <v>0.44400000000000001</v>
      </c>
      <c r="Y89" s="9">
        <v>0</v>
      </c>
      <c r="Z89" s="17">
        <v>24000238201</v>
      </c>
      <c r="AA89" s="8">
        <v>729</v>
      </c>
      <c r="AB89" s="8">
        <v>90</v>
      </c>
      <c r="AC89" s="7" t="s">
        <v>47</v>
      </c>
      <c r="AD89" s="11">
        <v>24</v>
      </c>
      <c r="AE89">
        <f t="shared" si="2"/>
        <v>165101</v>
      </c>
    </row>
    <row r="90" spans="1:31" x14ac:dyDescent="0.25">
      <c r="A90" s="7">
        <v>176167</v>
      </c>
      <c r="B90" s="7" t="s">
        <v>218</v>
      </c>
      <c r="C90" s="7" t="s">
        <v>143</v>
      </c>
      <c r="D90" s="7" t="s">
        <v>91</v>
      </c>
      <c r="E90" s="7" t="s">
        <v>32</v>
      </c>
      <c r="F90" s="7" t="s">
        <v>34</v>
      </c>
      <c r="G90" s="7" t="s">
        <v>32</v>
      </c>
      <c r="H90" s="7" t="s">
        <v>36</v>
      </c>
      <c r="I90" s="7" t="s">
        <v>145</v>
      </c>
      <c r="J90" s="8">
        <v>24</v>
      </c>
      <c r="K90" s="7" t="s">
        <v>36</v>
      </c>
      <c r="L90" s="8">
        <v>1</v>
      </c>
      <c r="M90" s="7" t="s">
        <v>37</v>
      </c>
      <c r="N90" s="8">
        <v>288</v>
      </c>
      <c r="O90" s="7" t="s">
        <v>32</v>
      </c>
      <c r="P90" s="8">
        <v>0</v>
      </c>
      <c r="Q90" s="9">
        <v>0.03</v>
      </c>
      <c r="R90" s="8">
        <v>0</v>
      </c>
      <c r="S90" s="7" t="s">
        <v>38</v>
      </c>
      <c r="T90" s="8">
        <v>2</v>
      </c>
      <c r="U90" s="8">
        <v>2</v>
      </c>
      <c r="V90" s="9">
        <v>10.5</v>
      </c>
      <c r="W90" s="9">
        <v>6.8000000000000005E-2</v>
      </c>
      <c r="X90" s="9">
        <v>9.1999999999999998E-2</v>
      </c>
      <c r="Y90" s="9">
        <v>0</v>
      </c>
      <c r="Z90" s="17">
        <v>8990800015224</v>
      </c>
      <c r="AA90" s="8">
        <v>540</v>
      </c>
      <c r="AB90" s="8">
        <v>60</v>
      </c>
      <c r="AC90" s="7" t="s">
        <v>146</v>
      </c>
      <c r="AD90" s="11">
        <v>288</v>
      </c>
      <c r="AE90">
        <f t="shared" si="2"/>
        <v>176167</v>
      </c>
    </row>
    <row r="91" spans="1:31" x14ac:dyDescent="0.25">
      <c r="A91" s="7">
        <v>176168</v>
      </c>
      <c r="B91" s="7" t="s">
        <v>219</v>
      </c>
      <c r="C91" s="7" t="s">
        <v>143</v>
      </c>
      <c r="D91" s="7" t="s">
        <v>91</v>
      </c>
      <c r="E91" s="7" t="s">
        <v>32</v>
      </c>
      <c r="F91" s="7" t="s">
        <v>34</v>
      </c>
      <c r="G91" s="7" t="s">
        <v>32</v>
      </c>
      <c r="H91" s="7" t="s">
        <v>36</v>
      </c>
      <c r="I91" s="7" t="s">
        <v>145</v>
      </c>
      <c r="J91" s="8">
        <v>24</v>
      </c>
      <c r="K91" s="7" t="s">
        <v>36</v>
      </c>
      <c r="L91" s="8">
        <v>1</v>
      </c>
      <c r="M91" s="7" t="s">
        <v>37</v>
      </c>
      <c r="N91" s="8">
        <v>288</v>
      </c>
      <c r="O91" s="7" t="s">
        <v>32</v>
      </c>
      <c r="P91" s="8">
        <v>0</v>
      </c>
      <c r="Q91" s="9">
        <v>0.03</v>
      </c>
      <c r="R91" s="8">
        <v>0</v>
      </c>
      <c r="S91" s="7" t="s">
        <v>38</v>
      </c>
      <c r="T91" s="8">
        <v>2</v>
      </c>
      <c r="U91" s="8">
        <v>2</v>
      </c>
      <c r="V91" s="8">
        <v>10</v>
      </c>
      <c r="W91" s="9">
        <v>6.8000000000000005E-2</v>
      </c>
      <c r="X91" s="9">
        <v>9.1999999999999998E-2</v>
      </c>
      <c r="Y91" s="9">
        <v>0</v>
      </c>
      <c r="Z91" s="17">
        <v>8990800015255</v>
      </c>
      <c r="AA91" s="8">
        <v>540</v>
      </c>
      <c r="AB91" s="8">
        <v>60</v>
      </c>
      <c r="AC91" s="7" t="s">
        <v>146</v>
      </c>
      <c r="AD91" s="11">
        <v>288</v>
      </c>
      <c r="AE91">
        <f t="shared" si="2"/>
        <v>176168</v>
      </c>
    </row>
    <row r="92" spans="1:31" x14ac:dyDescent="0.25">
      <c r="A92" s="7">
        <v>176169</v>
      </c>
      <c r="B92" s="7" t="s">
        <v>220</v>
      </c>
      <c r="C92" s="7" t="s">
        <v>143</v>
      </c>
      <c r="D92" s="7" t="s">
        <v>91</v>
      </c>
      <c r="E92" s="7" t="s">
        <v>32</v>
      </c>
      <c r="F92" s="7" t="s">
        <v>34</v>
      </c>
      <c r="G92" s="7" t="s">
        <v>32</v>
      </c>
      <c r="H92" s="7" t="s">
        <v>36</v>
      </c>
      <c r="I92" s="7" t="s">
        <v>145</v>
      </c>
      <c r="J92" s="8">
        <v>24</v>
      </c>
      <c r="K92" s="7" t="s">
        <v>36</v>
      </c>
      <c r="L92" s="8">
        <v>1</v>
      </c>
      <c r="M92" s="7" t="s">
        <v>37</v>
      </c>
      <c r="N92" s="8">
        <v>288</v>
      </c>
      <c r="O92" s="7" t="s">
        <v>32</v>
      </c>
      <c r="P92" s="8">
        <v>0</v>
      </c>
      <c r="Q92" s="9">
        <v>0.03</v>
      </c>
      <c r="R92" s="8">
        <v>0</v>
      </c>
      <c r="S92" s="7" t="s">
        <v>38</v>
      </c>
      <c r="T92" s="8">
        <v>2</v>
      </c>
      <c r="U92" s="8">
        <v>2</v>
      </c>
      <c r="V92" s="8">
        <v>10</v>
      </c>
      <c r="W92" s="9">
        <v>6.8000000000000005E-2</v>
      </c>
      <c r="X92" s="9">
        <v>9.1999999999999998E-2</v>
      </c>
      <c r="Y92" s="9">
        <v>0</v>
      </c>
      <c r="Z92" s="17">
        <v>8990800015286</v>
      </c>
      <c r="AA92" s="8">
        <v>540</v>
      </c>
      <c r="AB92" s="8">
        <v>60</v>
      </c>
      <c r="AC92" s="7" t="s">
        <v>146</v>
      </c>
      <c r="AD92" s="11">
        <v>288</v>
      </c>
      <c r="AE92">
        <f t="shared" si="2"/>
        <v>176169</v>
      </c>
    </row>
    <row r="93" spans="1:31" x14ac:dyDescent="0.25">
      <c r="A93" s="7">
        <v>176170</v>
      </c>
      <c r="B93" s="7" t="s">
        <v>221</v>
      </c>
      <c r="C93" s="7" t="s">
        <v>143</v>
      </c>
      <c r="D93" s="7" t="s">
        <v>91</v>
      </c>
      <c r="E93" s="7" t="s">
        <v>32</v>
      </c>
      <c r="F93" s="7" t="s">
        <v>34</v>
      </c>
      <c r="G93" s="7" t="s">
        <v>32</v>
      </c>
      <c r="H93" s="7" t="s">
        <v>36</v>
      </c>
      <c r="I93" s="7" t="s">
        <v>145</v>
      </c>
      <c r="J93" s="8">
        <v>24</v>
      </c>
      <c r="K93" s="7" t="s">
        <v>36</v>
      </c>
      <c r="L93" s="8">
        <v>1</v>
      </c>
      <c r="M93" s="7" t="s">
        <v>37</v>
      </c>
      <c r="N93" s="8">
        <v>288</v>
      </c>
      <c r="O93" s="7" t="s">
        <v>32</v>
      </c>
      <c r="P93" s="8">
        <v>0</v>
      </c>
      <c r="Q93" s="9">
        <v>0.03</v>
      </c>
      <c r="R93" s="8">
        <v>0</v>
      </c>
      <c r="S93" s="7" t="s">
        <v>38</v>
      </c>
      <c r="T93" s="8">
        <v>2</v>
      </c>
      <c r="U93" s="8">
        <v>2</v>
      </c>
      <c r="V93" s="9">
        <v>10.5</v>
      </c>
      <c r="W93" s="9">
        <v>6.8000000000000005E-2</v>
      </c>
      <c r="X93" s="9">
        <v>9.1999999999999998E-2</v>
      </c>
      <c r="Y93" s="9">
        <v>0</v>
      </c>
      <c r="Z93" s="17">
        <v>8990800015316</v>
      </c>
      <c r="AA93" s="8">
        <v>540</v>
      </c>
      <c r="AB93" s="8">
        <v>60</v>
      </c>
      <c r="AC93" s="7" t="s">
        <v>146</v>
      </c>
      <c r="AD93" s="11">
        <v>288</v>
      </c>
      <c r="AE93">
        <f t="shared" si="2"/>
        <v>176170</v>
      </c>
    </row>
    <row r="94" spans="1:31" x14ac:dyDescent="0.25">
      <c r="A94" s="7">
        <v>176171</v>
      </c>
      <c r="B94" s="7" t="s">
        <v>222</v>
      </c>
      <c r="C94" s="7" t="s">
        <v>143</v>
      </c>
      <c r="D94" s="7" t="s">
        <v>91</v>
      </c>
      <c r="E94" s="7" t="s">
        <v>32</v>
      </c>
      <c r="F94" s="7" t="s">
        <v>34</v>
      </c>
      <c r="G94" s="7" t="s">
        <v>32</v>
      </c>
      <c r="H94" s="7" t="s">
        <v>36</v>
      </c>
      <c r="I94" s="7" t="s">
        <v>145</v>
      </c>
      <c r="J94" s="8">
        <v>24</v>
      </c>
      <c r="K94" s="7" t="s">
        <v>36</v>
      </c>
      <c r="L94" s="8">
        <v>1</v>
      </c>
      <c r="M94" s="7" t="s">
        <v>37</v>
      </c>
      <c r="N94" s="8">
        <v>288</v>
      </c>
      <c r="O94" s="7" t="s">
        <v>32</v>
      </c>
      <c r="P94" s="8">
        <v>0</v>
      </c>
      <c r="Q94" s="9">
        <v>0.03</v>
      </c>
      <c r="R94" s="8">
        <v>0</v>
      </c>
      <c r="S94" s="7" t="s">
        <v>38</v>
      </c>
      <c r="T94" s="8">
        <v>2</v>
      </c>
      <c r="U94" s="8">
        <v>2</v>
      </c>
      <c r="V94" s="9">
        <v>10.5</v>
      </c>
      <c r="W94" s="9">
        <v>6.8000000000000005E-2</v>
      </c>
      <c r="X94" s="9">
        <v>9.1999999999999998E-2</v>
      </c>
      <c r="Y94" s="9">
        <v>0</v>
      </c>
      <c r="Z94" s="17">
        <v>8990800015347</v>
      </c>
      <c r="AA94" s="8">
        <v>540</v>
      </c>
      <c r="AB94" s="8">
        <v>60</v>
      </c>
      <c r="AC94" s="7" t="s">
        <v>146</v>
      </c>
      <c r="AD94" s="11">
        <v>288</v>
      </c>
      <c r="AE94">
        <f t="shared" si="2"/>
        <v>176171</v>
      </c>
    </row>
    <row r="95" spans="1:31" x14ac:dyDescent="0.25">
      <c r="A95" s="7">
        <v>176172</v>
      </c>
      <c r="B95" s="7" t="s">
        <v>223</v>
      </c>
      <c r="C95" s="7" t="s">
        <v>143</v>
      </c>
      <c r="D95" s="7" t="s">
        <v>91</v>
      </c>
      <c r="E95" s="7" t="s">
        <v>32</v>
      </c>
      <c r="F95" s="7" t="s">
        <v>34</v>
      </c>
      <c r="G95" s="7" t="s">
        <v>32</v>
      </c>
      <c r="H95" s="7" t="s">
        <v>36</v>
      </c>
      <c r="I95" s="7" t="s">
        <v>145</v>
      </c>
      <c r="J95" s="8">
        <v>20</v>
      </c>
      <c r="K95" s="7" t="s">
        <v>36</v>
      </c>
      <c r="L95" s="8">
        <v>1</v>
      </c>
      <c r="M95" s="7" t="s">
        <v>37</v>
      </c>
      <c r="N95" s="8">
        <v>160</v>
      </c>
      <c r="O95" s="7" t="s">
        <v>32</v>
      </c>
      <c r="P95" s="8">
        <v>0</v>
      </c>
      <c r="Q95" s="9">
        <v>0.04</v>
      </c>
      <c r="R95" s="8">
        <v>0</v>
      </c>
      <c r="S95" s="7" t="s">
        <v>38</v>
      </c>
      <c r="T95" s="8">
        <v>2</v>
      </c>
      <c r="U95" s="8">
        <v>2</v>
      </c>
      <c r="V95" s="9">
        <v>13.5</v>
      </c>
      <c r="W95" s="9">
        <v>7.2999999999999995E-2</v>
      </c>
      <c r="X95" s="9">
        <v>9.4E-2</v>
      </c>
      <c r="Y95" s="9">
        <v>0</v>
      </c>
      <c r="Z95" s="17">
        <v>8990800000053</v>
      </c>
      <c r="AA95" s="8">
        <v>540</v>
      </c>
      <c r="AB95" s="8">
        <v>60</v>
      </c>
      <c r="AC95" s="7" t="s">
        <v>146</v>
      </c>
      <c r="AD95" s="11">
        <v>160</v>
      </c>
      <c r="AE95">
        <f t="shared" si="2"/>
        <v>176172</v>
      </c>
    </row>
    <row r="96" spans="1:31" x14ac:dyDescent="0.25">
      <c r="A96" s="7">
        <v>176174</v>
      </c>
      <c r="B96" s="7" t="s">
        <v>224</v>
      </c>
      <c r="C96" s="7" t="s">
        <v>143</v>
      </c>
      <c r="D96" s="7" t="s">
        <v>91</v>
      </c>
      <c r="E96" s="7" t="s">
        <v>32</v>
      </c>
      <c r="F96" s="7" t="s">
        <v>34</v>
      </c>
      <c r="G96" s="7" t="s">
        <v>32</v>
      </c>
      <c r="H96" s="7" t="s">
        <v>36</v>
      </c>
      <c r="I96" s="7" t="s">
        <v>145</v>
      </c>
      <c r="J96" s="8">
        <v>1</v>
      </c>
      <c r="K96" s="7" t="s">
        <v>36</v>
      </c>
      <c r="L96" s="8">
        <v>1</v>
      </c>
      <c r="M96" s="7" t="s">
        <v>37</v>
      </c>
      <c r="N96" s="8">
        <v>6</v>
      </c>
      <c r="O96" s="7" t="s">
        <v>32</v>
      </c>
      <c r="P96" s="8">
        <v>0</v>
      </c>
      <c r="Q96" s="9">
        <v>0.65</v>
      </c>
      <c r="R96" s="8">
        <v>0</v>
      </c>
      <c r="S96" s="7" t="s">
        <v>38</v>
      </c>
      <c r="T96" s="8">
        <v>11</v>
      </c>
      <c r="U96" s="8">
        <v>11</v>
      </c>
      <c r="V96" s="8">
        <v>19</v>
      </c>
      <c r="W96" s="9">
        <v>1.413</v>
      </c>
      <c r="X96" s="9">
        <v>1.911</v>
      </c>
      <c r="Y96" s="9">
        <v>0</v>
      </c>
      <c r="Z96" s="17">
        <v>8990800001807</v>
      </c>
      <c r="AA96" s="8">
        <v>540</v>
      </c>
      <c r="AB96" s="8">
        <v>60</v>
      </c>
      <c r="AC96" s="7" t="s">
        <v>146</v>
      </c>
      <c r="AD96" s="11">
        <v>6</v>
      </c>
      <c r="AE96">
        <f t="shared" si="2"/>
        <v>176174</v>
      </c>
    </row>
    <row r="97" spans="1:31" x14ac:dyDescent="0.25">
      <c r="A97" s="7">
        <v>176175</v>
      </c>
      <c r="B97" s="7" t="s">
        <v>225</v>
      </c>
      <c r="C97" s="7" t="s">
        <v>143</v>
      </c>
      <c r="D97" s="7" t="s">
        <v>91</v>
      </c>
      <c r="E97" s="7" t="s">
        <v>32</v>
      </c>
      <c r="F97" s="7" t="s">
        <v>34</v>
      </c>
      <c r="G97" s="7" t="s">
        <v>32</v>
      </c>
      <c r="H97" s="7" t="s">
        <v>36</v>
      </c>
      <c r="I97" s="7" t="s">
        <v>145</v>
      </c>
      <c r="J97" s="8">
        <v>1</v>
      </c>
      <c r="K97" s="7" t="s">
        <v>36</v>
      </c>
      <c r="L97" s="8">
        <v>1</v>
      </c>
      <c r="M97" s="7" t="s">
        <v>37</v>
      </c>
      <c r="N97" s="8">
        <v>6</v>
      </c>
      <c r="O97" s="7" t="s">
        <v>32</v>
      </c>
      <c r="P97" s="8">
        <v>0</v>
      </c>
      <c r="Q97" s="9">
        <v>0.65</v>
      </c>
      <c r="R97" s="8">
        <v>0</v>
      </c>
      <c r="S97" s="7" t="s">
        <v>38</v>
      </c>
      <c r="T97" s="8">
        <v>11</v>
      </c>
      <c r="U97" s="8">
        <v>11</v>
      </c>
      <c r="V97" s="8">
        <v>19</v>
      </c>
      <c r="W97" s="9">
        <v>1.413</v>
      </c>
      <c r="X97" s="9">
        <v>1.911</v>
      </c>
      <c r="Y97" s="9">
        <v>0</v>
      </c>
      <c r="Z97" s="17">
        <v>8990800001814</v>
      </c>
      <c r="AA97" s="8">
        <v>540</v>
      </c>
      <c r="AB97" s="8">
        <v>60</v>
      </c>
      <c r="AC97" s="7" t="s">
        <v>146</v>
      </c>
      <c r="AD97" s="11">
        <v>6</v>
      </c>
      <c r="AE97">
        <f t="shared" si="2"/>
        <v>176175</v>
      </c>
    </row>
    <row r="98" spans="1:31" x14ac:dyDescent="0.25">
      <c r="A98" s="7">
        <v>176176</v>
      </c>
      <c r="B98" s="7" t="s">
        <v>226</v>
      </c>
      <c r="C98" s="7" t="s">
        <v>143</v>
      </c>
      <c r="D98" s="7" t="s">
        <v>91</v>
      </c>
      <c r="E98" s="7" t="s">
        <v>32</v>
      </c>
      <c r="F98" s="7" t="s">
        <v>34</v>
      </c>
      <c r="G98" s="7" t="s">
        <v>32</v>
      </c>
      <c r="H98" s="7" t="s">
        <v>36</v>
      </c>
      <c r="I98" s="7" t="s">
        <v>145</v>
      </c>
      <c r="J98" s="8">
        <v>1</v>
      </c>
      <c r="K98" s="7" t="s">
        <v>36</v>
      </c>
      <c r="L98" s="8">
        <v>1</v>
      </c>
      <c r="M98" s="7" t="s">
        <v>37</v>
      </c>
      <c r="N98" s="8">
        <v>24</v>
      </c>
      <c r="O98" s="7" t="s">
        <v>32</v>
      </c>
      <c r="P98" s="8">
        <v>0</v>
      </c>
      <c r="Q98" s="9">
        <v>0.28000000000000003</v>
      </c>
      <c r="R98" s="8">
        <v>0</v>
      </c>
      <c r="S98" s="7" t="s">
        <v>38</v>
      </c>
      <c r="T98" s="8">
        <v>14</v>
      </c>
      <c r="U98" s="8">
        <v>22</v>
      </c>
      <c r="V98" s="8">
        <v>2</v>
      </c>
      <c r="W98" s="9">
        <v>0.51200000000000001</v>
      </c>
      <c r="X98" s="9">
        <v>0.69099999999999995</v>
      </c>
      <c r="Y98" s="9">
        <v>0</v>
      </c>
      <c r="Z98" s="17">
        <v>8990800007793</v>
      </c>
      <c r="AA98" s="8">
        <v>540</v>
      </c>
      <c r="AB98" s="8">
        <v>60</v>
      </c>
      <c r="AC98" s="7" t="s">
        <v>146</v>
      </c>
      <c r="AD98" s="11">
        <v>24</v>
      </c>
      <c r="AE98">
        <f t="shared" si="2"/>
        <v>176176</v>
      </c>
    </row>
    <row r="99" spans="1:31" x14ac:dyDescent="0.25">
      <c r="A99" s="7">
        <v>176188</v>
      </c>
      <c r="B99" s="7" t="s">
        <v>227</v>
      </c>
      <c r="C99" s="7" t="s">
        <v>228</v>
      </c>
      <c r="D99" s="7" t="s">
        <v>91</v>
      </c>
      <c r="E99" s="7" t="s">
        <v>32</v>
      </c>
      <c r="F99" s="7" t="s">
        <v>34</v>
      </c>
      <c r="G99" s="7" t="s">
        <v>32</v>
      </c>
      <c r="H99" s="7" t="s">
        <v>36</v>
      </c>
      <c r="I99" s="7" t="s">
        <v>145</v>
      </c>
      <c r="J99" s="8">
        <v>12</v>
      </c>
      <c r="K99" s="7" t="s">
        <v>36</v>
      </c>
      <c r="L99" s="8">
        <v>1</v>
      </c>
      <c r="M99" s="7" t="s">
        <v>37</v>
      </c>
      <c r="N99" s="8">
        <v>144</v>
      </c>
      <c r="O99" s="7" t="s">
        <v>32</v>
      </c>
      <c r="P99" s="8">
        <v>0</v>
      </c>
      <c r="Q99" s="9">
        <v>0.04</v>
      </c>
      <c r="R99" s="8">
        <v>0</v>
      </c>
      <c r="S99" s="7" t="s">
        <v>38</v>
      </c>
      <c r="T99" s="8">
        <v>19</v>
      </c>
      <c r="U99" s="8">
        <v>5</v>
      </c>
      <c r="V99" s="9">
        <v>18.5</v>
      </c>
      <c r="W99" s="9">
        <v>0.31</v>
      </c>
      <c r="X99" s="9">
        <v>0.41899999999999998</v>
      </c>
      <c r="Y99" s="9">
        <v>0</v>
      </c>
      <c r="Z99" s="17">
        <v>84155634</v>
      </c>
      <c r="AA99" s="8">
        <v>730</v>
      </c>
      <c r="AB99" s="8">
        <v>60</v>
      </c>
      <c r="AC99" s="7" t="s">
        <v>146</v>
      </c>
      <c r="AD99" s="11">
        <v>144</v>
      </c>
      <c r="AE99">
        <f t="shared" si="2"/>
        <v>176188</v>
      </c>
    </row>
    <row r="100" spans="1:31" x14ac:dyDescent="0.25">
      <c r="A100" s="7">
        <v>176189</v>
      </c>
      <c r="B100" s="7" t="s">
        <v>229</v>
      </c>
      <c r="C100" s="7" t="s">
        <v>228</v>
      </c>
      <c r="D100" s="7" t="s">
        <v>91</v>
      </c>
      <c r="E100" s="7" t="s">
        <v>32</v>
      </c>
      <c r="F100" s="7" t="s">
        <v>34</v>
      </c>
      <c r="G100" s="7" t="s">
        <v>32</v>
      </c>
      <c r="H100" s="7" t="s">
        <v>36</v>
      </c>
      <c r="I100" s="7" t="s">
        <v>145</v>
      </c>
      <c r="J100" s="8">
        <v>12</v>
      </c>
      <c r="K100" s="7" t="s">
        <v>36</v>
      </c>
      <c r="L100" s="8">
        <v>1</v>
      </c>
      <c r="M100" s="7" t="s">
        <v>37</v>
      </c>
      <c r="N100" s="8">
        <v>144</v>
      </c>
      <c r="O100" s="7" t="s">
        <v>32</v>
      </c>
      <c r="P100" s="8">
        <v>0</v>
      </c>
      <c r="Q100" s="9">
        <v>0.04</v>
      </c>
      <c r="R100" s="8">
        <v>0</v>
      </c>
      <c r="S100" s="7" t="s">
        <v>38</v>
      </c>
      <c r="T100" s="8">
        <v>19</v>
      </c>
      <c r="U100" s="8">
        <v>5</v>
      </c>
      <c r="V100" s="9">
        <v>18.5</v>
      </c>
      <c r="W100" s="9">
        <v>0.31</v>
      </c>
      <c r="X100" s="9">
        <v>0.41899999999999998</v>
      </c>
      <c r="Y100" s="9">
        <v>0</v>
      </c>
      <c r="Z100" s="17">
        <v>84158833</v>
      </c>
      <c r="AA100" s="8">
        <v>730</v>
      </c>
      <c r="AB100" s="8">
        <v>60</v>
      </c>
      <c r="AC100" s="7" t="s">
        <v>146</v>
      </c>
      <c r="AD100" s="11">
        <v>144</v>
      </c>
      <c r="AE100">
        <f t="shared" si="2"/>
        <v>176189</v>
      </c>
    </row>
    <row r="101" spans="1:31" x14ac:dyDescent="0.25">
      <c r="A101" s="7">
        <v>176191</v>
      </c>
      <c r="B101" s="7" t="s">
        <v>230</v>
      </c>
      <c r="C101" s="7" t="s">
        <v>228</v>
      </c>
      <c r="D101" s="7" t="s">
        <v>91</v>
      </c>
      <c r="E101" s="7" t="s">
        <v>32</v>
      </c>
      <c r="F101" s="7" t="s">
        <v>34</v>
      </c>
      <c r="G101" s="7" t="s">
        <v>32</v>
      </c>
      <c r="H101" s="7" t="s">
        <v>36</v>
      </c>
      <c r="I101" s="7" t="s">
        <v>145</v>
      </c>
      <c r="J101" s="8">
        <v>12</v>
      </c>
      <c r="K101" s="7" t="s">
        <v>36</v>
      </c>
      <c r="L101" s="8">
        <v>1</v>
      </c>
      <c r="M101" s="7" t="s">
        <v>37</v>
      </c>
      <c r="N101" s="8">
        <v>144</v>
      </c>
      <c r="O101" s="7" t="s">
        <v>32</v>
      </c>
      <c r="P101" s="8">
        <v>0</v>
      </c>
      <c r="Q101" s="9">
        <v>7.0000000000000007E-2</v>
      </c>
      <c r="R101" s="8">
        <v>0</v>
      </c>
      <c r="S101" s="7" t="s">
        <v>38</v>
      </c>
      <c r="T101" s="8">
        <v>19</v>
      </c>
      <c r="U101" s="8">
        <v>5</v>
      </c>
      <c r="V101" s="9">
        <v>18.5</v>
      </c>
      <c r="W101" s="9">
        <v>0.31</v>
      </c>
      <c r="X101" s="9">
        <v>0.41899999999999998</v>
      </c>
      <c r="Y101" s="9">
        <v>0</v>
      </c>
      <c r="Z101" s="17">
        <v>84196033</v>
      </c>
      <c r="AA101" s="8">
        <v>540</v>
      </c>
      <c r="AB101" s="8">
        <v>60</v>
      </c>
      <c r="AC101" s="7" t="s">
        <v>146</v>
      </c>
      <c r="AD101" s="11">
        <v>144</v>
      </c>
      <c r="AE101">
        <f t="shared" si="2"/>
        <v>176191</v>
      </c>
    </row>
    <row r="102" spans="1:31" x14ac:dyDescent="0.25">
      <c r="A102" s="7">
        <v>176198</v>
      </c>
      <c r="B102" s="7" t="s">
        <v>231</v>
      </c>
      <c r="C102" s="7" t="s">
        <v>232</v>
      </c>
      <c r="D102" s="7" t="s">
        <v>91</v>
      </c>
      <c r="E102" s="7" t="s">
        <v>32</v>
      </c>
      <c r="F102" s="7" t="s">
        <v>34</v>
      </c>
      <c r="G102" s="7" t="s">
        <v>32</v>
      </c>
      <c r="H102" s="7" t="s">
        <v>36</v>
      </c>
      <c r="I102" s="7" t="s">
        <v>145</v>
      </c>
      <c r="J102" s="8">
        <v>1</v>
      </c>
      <c r="K102" s="7" t="s">
        <v>36</v>
      </c>
      <c r="L102" s="8">
        <v>1</v>
      </c>
      <c r="M102" s="7" t="s">
        <v>37</v>
      </c>
      <c r="N102" s="8">
        <v>12</v>
      </c>
      <c r="O102" s="7" t="s">
        <v>32</v>
      </c>
      <c r="P102" s="8">
        <v>0</v>
      </c>
      <c r="Q102" s="9">
        <v>0.13</v>
      </c>
      <c r="R102" s="8">
        <v>0</v>
      </c>
      <c r="S102" s="7" t="s">
        <v>38</v>
      </c>
      <c r="T102" s="9">
        <v>15.5</v>
      </c>
      <c r="U102" s="8">
        <v>2</v>
      </c>
      <c r="V102" s="9">
        <v>17.5</v>
      </c>
      <c r="W102" s="9">
        <v>0.46</v>
      </c>
      <c r="X102" s="9">
        <v>0.625</v>
      </c>
      <c r="Y102" s="9">
        <v>0</v>
      </c>
      <c r="Z102" s="17">
        <v>8410031914443</v>
      </c>
      <c r="AA102" s="8">
        <v>730</v>
      </c>
      <c r="AB102" s="8">
        <v>63</v>
      </c>
      <c r="AC102" s="7" t="s">
        <v>146</v>
      </c>
      <c r="AD102" s="11">
        <v>12</v>
      </c>
      <c r="AE102">
        <f t="shared" si="2"/>
        <v>176198</v>
      </c>
    </row>
    <row r="103" spans="1:31" x14ac:dyDescent="0.25">
      <c r="A103" s="7">
        <v>176199</v>
      </c>
      <c r="B103" s="7" t="s">
        <v>233</v>
      </c>
      <c r="C103" s="7" t="s">
        <v>232</v>
      </c>
      <c r="D103" s="7" t="s">
        <v>91</v>
      </c>
      <c r="E103" s="7" t="s">
        <v>32</v>
      </c>
      <c r="F103" s="7" t="s">
        <v>34</v>
      </c>
      <c r="G103" s="7" t="s">
        <v>32</v>
      </c>
      <c r="H103" s="7" t="s">
        <v>36</v>
      </c>
      <c r="I103" s="7" t="s">
        <v>145</v>
      </c>
      <c r="J103" s="8">
        <v>1</v>
      </c>
      <c r="K103" s="7" t="s">
        <v>36</v>
      </c>
      <c r="L103" s="8">
        <v>1</v>
      </c>
      <c r="M103" s="7" t="s">
        <v>37</v>
      </c>
      <c r="N103" s="8">
        <v>12</v>
      </c>
      <c r="O103" s="7" t="s">
        <v>32</v>
      </c>
      <c r="P103" s="8">
        <v>0</v>
      </c>
      <c r="Q103" s="9">
        <v>0.13</v>
      </c>
      <c r="R103" s="8">
        <v>0</v>
      </c>
      <c r="S103" s="7" t="s">
        <v>38</v>
      </c>
      <c r="T103" s="8">
        <v>15</v>
      </c>
      <c r="U103" s="9">
        <v>2.5</v>
      </c>
      <c r="V103" s="9">
        <v>17.5</v>
      </c>
      <c r="W103" s="9">
        <v>0.46</v>
      </c>
      <c r="X103" s="9">
        <v>0.625</v>
      </c>
      <c r="Y103" s="9">
        <v>0</v>
      </c>
      <c r="Z103" s="17">
        <v>8410031996852</v>
      </c>
      <c r="AA103" s="8">
        <v>730</v>
      </c>
      <c r="AB103" s="8">
        <v>60</v>
      </c>
      <c r="AC103" s="7" t="s">
        <v>146</v>
      </c>
      <c r="AD103" s="11">
        <v>12</v>
      </c>
      <c r="AE103">
        <f t="shared" si="2"/>
        <v>176199</v>
      </c>
    </row>
    <row r="104" spans="1:31" x14ac:dyDescent="0.25">
      <c r="A104" s="7">
        <v>176200</v>
      </c>
      <c r="B104" s="7" t="s">
        <v>234</v>
      </c>
      <c r="C104" s="7" t="s">
        <v>232</v>
      </c>
      <c r="D104" s="7" t="s">
        <v>91</v>
      </c>
      <c r="E104" s="7" t="s">
        <v>32</v>
      </c>
      <c r="F104" s="7" t="s">
        <v>34</v>
      </c>
      <c r="G104" s="7" t="s">
        <v>32</v>
      </c>
      <c r="H104" s="7" t="s">
        <v>36</v>
      </c>
      <c r="I104" s="7" t="s">
        <v>145</v>
      </c>
      <c r="J104" s="8">
        <v>1</v>
      </c>
      <c r="K104" s="7" t="s">
        <v>36</v>
      </c>
      <c r="L104" s="8">
        <v>1</v>
      </c>
      <c r="M104" s="7" t="s">
        <v>37</v>
      </c>
      <c r="N104" s="8">
        <v>12</v>
      </c>
      <c r="O104" s="7" t="s">
        <v>32</v>
      </c>
      <c r="P104" s="8">
        <v>0</v>
      </c>
      <c r="Q104" s="9">
        <v>7.0000000000000007E-2</v>
      </c>
      <c r="R104" s="8">
        <v>0</v>
      </c>
      <c r="S104" s="7" t="s">
        <v>38</v>
      </c>
      <c r="T104" s="8">
        <v>5</v>
      </c>
      <c r="U104" s="8">
        <v>5</v>
      </c>
      <c r="V104" s="8">
        <v>8</v>
      </c>
      <c r="W104" s="9">
        <v>0.46</v>
      </c>
      <c r="X104" s="9">
        <v>0.625</v>
      </c>
      <c r="Y104" s="9">
        <v>0</v>
      </c>
      <c r="Z104" s="17">
        <v>8410031122510</v>
      </c>
      <c r="AA104" s="8">
        <v>730</v>
      </c>
      <c r="AB104" s="8">
        <v>63</v>
      </c>
      <c r="AC104" s="7" t="s">
        <v>146</v>
      </c>
      <c r="AD104" s="11">
        <v>12</v>
      </c>
      <c r="AE104">
        <f t="shared" si="2"/>
        <v>176200</v>
      </c>
    </row>
    <row r="105" spans="1:31" x14ac:dyDescent="0.25">
      <c r="A105" s="7">
        <v>176201</v>
      </c>
      <c r="B105" s="7" t="s">
        <v>235</v>
      </c>
      <c r="C105" s="7" t="s">
        <v>232</v>
      </c>
      <c r="D105" s="7" t="s">
        <v>91</v>
      </c>
      <c r="E105" s="7" t="s">
        <v>32</v>
      </c>
      <c r="F105" s="7" t="s">
        <v>34</v>
      </c>
      <c r="G105" s="7" t="s">
        <v>32</v>
      </c>
      <c r="H105" s="7" t="s">
        <v>36</v>
      </c>
      <c r="I105" s="7" t="s">
        <v>145</v>
      </c>
      <c r="J105" s="8">
        <v>1</v>
      </c>
      <c r="K105" s="7" t="s">
        <v>36</v>
      </c>
      <c r="L105" s="8">
        <v>1</v>
      </c>
      <c r="M105" s="7" t="s">
        <v>37</v>
      </c>
      <c r="N105" s="8">
        <v>12</v>
      </c>
      <c r="O105" s="7" t="s">
        <v>32</v>
      </c>
      <c r="P105" s="8">
        <v>0</v>
      </c>
      <c r="Q105" s="9">
        <v>0.13</v>
      </c>
      <c r="R105" s="8">
        <v>0</v>
      </c>
      <c r="S105" s="7" t="s">
        <v>38</v>
      </c>
      <c r="T105" s="8">
        <v>15</v>
      </c>
      <c r="U105" s="9">
        <v>2.5</v>
      </c>
      <c r="V105" s="9">
        <v>18.5</v>
      </c>
      <c r="W105" s="9">
        <v>0.46</v>
      </c>
      <c r="X105" s="9">
        <v>0.625</v>
      </c>
      <c r="Y105" s="9">
        <v>0</v>
      </c>
      <c r="Z105" s="17">
        <v>8410031132519</v>
      </c>
      <c r="AA105" s="8">
        <v>730</v>
      </c>
      <c r="AB105" s="8">
        <v>63</v>
      </c>
      <c r="AC105" s="7" t="s">
        <v>146</v>
      </c>
      <c r="AD105" s="11">
        <v>12</v>
      </c>
      <c r="AE105">
        <f t="shared" si="2"/>
        <v>176201</v>
      </c>
    </row>
    <row r="106" spans="1:31" x14ac:dyDescent="0.25">
      <c r="A106" s="7">
        <v>176204</v>
      </c>
      <c r="B106" s="7" t="s">
        <v>236</v>
      </c>
      <c r="C106" s="7" t="s">
        <v>232</v>
      </c>
      <c r="D106" s="7" t="s">
        <v>91</v>
      </c>
      <c r="E106" s="7" t="s">
        <v>32</v>
      </c>
      <c r="F106" s="7" t="s">
        <v>34</v>
      </c>
      <c r="G106" s="7" t="s">
        <v>32</v>
      </c>
      <c r="H106" s="7" t="s">
        <v>36</v>
      </c>
      <c r="I106" s="7" t="s">
        <v>145</v>
      </c>
      <c r="J106" s="8">
        <v>120</v>
      </c>
      <c r="K106" s="7" t="s">
        <v>36</v>
      </c>
      <c r="L106" s="8">
        <v>1</v>
      </c>
      <c r="M106" s="7" t="s">
        <v>37</v>
      </c>
      <c r="N106" s="8">
        <v>720</v>
      </c>
      <c r="O106" s="7" t="s">
        <v>32</v>
      </c>
      <c r="P106" s="8">
        <v>0</v>
      </c>
      <c r="Q106" s="9">
        <v>1.4999999999999999E-2</v>
      </c>
      <c r="R106" s="8">
        <v>0</v>
      </c>
      <c r="S106" s="7" t="s">
        <v>38</v>
      </c>
      <c r="T106" s="8">
        <v>21</v>
      </c>
      <c r="U106" s="8">
        <v>5</v>
      </c>
      <c r="V106" s="8">
        <v>19</v>
      </c>
      <c r="W106" s="9">
        <v>3.2000000000000001E-2</v>
      </c>
      <c r="X106" s="9">
        <v>4.2999999999999997E-2</v>
      </c>
      <c r="Y106" s="9">
        <v>0</v>
      </c>
      <c r="Z106" s="17">
        <v>8410031923605</v>
      </c>
      <c r="AA106" s="8">
        <v>730</v>
      </c>
      <c r="AB106" s="8">
        <v>60</v>
      </c>
      <c r="AC106" s="7" t="s">
        <v>146</v>
      </c>
      <c r="AD106" s="11">
        <v>720</v>
      </c>
      <c r="AE106">
        <f t="shared" si="2"/>
        <v>176204</v>
      </c>
    </row>
    <row r="107" spans="1:31" x14ac:dyDescent="0.25">
      <c r="A107" s="7">
        <v>176205</v>
      </c>
      <c r="B107" s="7" t="s">
        <v>237</v>
      </c>
      <c r="C107" s="7" t="s">
        <v>232</v>
      </c>
      <c r="D107" s="7" t="s">
        <v>91</v>
      </c>
      <c r="E107" s="7" t="s">
        <v>32</v>
      </c>
      <c r="F107" s="7" t="s">
        <v>34</v>
      </c>
      <c r="G107" s="7" t="s">
        <v>32</v>
      </c>
      <c r="H107" s="7" t="s">
        <v>36</v>
      </c>
      <c r="I107" s="7" t="s">
        <v>145</v>
      </c>
      <c r="J107" s="8">
        <v>1</v>
      </c>
      <c r="K107" s="7" t="s">
        <v>36</v>
      </c>
      <c r="L107" s="8">
        <v>1</v>
      </c>
      <c r="M107" s="7" t="s">
        <v>37</v>
      </c>
      <c r="N107" s="8">
        <v>24</v>
      </c>
      <c r="O107" s="7" t="s">
        <v>32</v>
      </c>
      <c r="P107" s="8">
        <v>0</v>
      </c>
      <c r="Q107" s="9">
        <v>0.25</v>
      </c>
      <c r="R107" s="8">
        <v>0</v>
      </c>
      <c r="S107" s="7" t="s">
        <v>38</v>
      </c>
      <c r="T107" s="8">
        <v>16</v>
      </c>
      <c r="U107" s="8">
        <v>3</v>
      </c>
      <c r="V107" s="8">
        <v>20</v>
      </c>
      <c r="W107" s="9">
        <v>0.85499999999999998</v>
      </c>
      <c r="X107" s="9">
        <v>1.159</v>
      </c>
      <c r="Y107" s="9">
        <v>0</v>
      </c>
      <c r="Z107" s="17">
        <v>8410031936988</v>
      </c>
      <c r="AA107" s="8">
        <v>730</v>
      </c>
      <c r="AB107" s="8">
        <v>63</v>
      </c>
      <c r="AC107" s="7" t="s">
        <v>146</v>
      </c>
      <c r="AD107" s="11">
        <v>24</v>
      </c>
      <c r="AE107">
        <f t="shared" si="2"/>
        <v>176205</v>
      </c>
    </row>
    <row r="108" spans="1:31" x14ac:dyDescent="0.25">
      <c r="A108" s="7">
        <v>176206</v>
      </c>
      <c r="B108" s="7" t="s">
        <v>238</v>
      </c>
      <c r="C108" s="7" t="s">
        <v>232</v>
      </c>
      <c r="D108" s="7" t="s">
        <v>91</v>
      </c>
      <c r="E108" s="7" t="s">
        <v>32</v>
      </c>
      <c r="F108" s="7" t="s">
        <v>34</v>
      </c>
      <c r="G108" s="7" t="s">
        <v>32</v>
      </c>
      <c r="H108" s="7" t="s">
        <v>36</v>
      </c>
      <c r="I108" s="7" t="s">
        <v>145</v>
      </c>
      <c r="J108" s="8">
        <v>16</v>
      </c>
      <c r="K108" s="7" t="s">
        <v>36</v>
      </c>
      <c r="L108" s="8">
        <v>1</v>
      </c>
      <c r="M108" s="7" t="s">
        <v>37</v>
      </c>
      <c r="N108" s="8">
        <v>96</v>
      </c>
      <c r="O108" s="7" t="s">
        <v>32</v>
      </c>
      <c r="P108" s="8">
        <v>0</v>
      </c>
      <c r="Q108" s="9">
        <v>0.47</v>
      </c>
      <c r="R108" s="8">
        <v>0</v>
      </c>
      <c r="S108" s="7" t="s">
        <v>38</v>
      </c>
      <c r="T108" s="8">
        <v>20</v>
      </c>
      <c r="U108" s="9">
        <v>10.3</v>
      </c>
      <c r="V108" s="8">
        <v>10</v>
      </c>
      <c r="W108" s="9">
        <v>0.215</v>
      </c>
      <c r="X108" s="9">
        <v>0.28999999999999998</v>
      </c>
      <c r="Y108" s="9">
        <v>0</v>
      </c>
      <c r="Z108" s="17">
        <v>84194107</v>
      </c>
      <c r="AA108" s="8">
        <v>730</v>
      </c>
      <c r="AB108" s="8">
        <v>60</v>
      </c>
      <c r="AC108" s="7" t="s">
        <v>146</v>
      </c>
      <c r="AD108" s="11">
        <v>96</v>
      </c>
      <c r="AE108">
        <f t="shared" si="2"/>
        <v>176206</v>
      </c>
    </row>
    <row r="109" spans="1:31" x14ac:dyDescent="0.25">
      <c r="A109" s="7">
        <v>176207</v>
      </c>
      <c r="B109" s="7" t="s">
        <v>239</v>
      </c>
      <c r="C109" s="7" t="s">
        <v>232</v>
      </c>
      <c r="D109" s="7" t="s">
        <v>91</v>
      </c>
      <c r="E109" s="7" t="s">
        <v>32</v>
      </c>
      <c r="F109" s="7" t="s">
        <v>34</v>
      </c>
      <c r="G109" s="7" t="s">
        <v>32</v>
      </c>
      <c r="H109" s="7" t="s">
        <v>36</v>
      </c>
      <c r="I109" s="7" t="s">
        <v>145</v>
      </c>
      <c r="J109" s="8">
        <v>25</v>
      </c>
      <c r="K109" s="7" t="s">
        <v>36</v>
      </c>
      <c r="L109" s="8">
        <v>1</v>
      </c>
      <c r="M109" s="7" t="s">
        <v>37</v>
      </c>
      <c r="N109" s="8">
        <v>300</v>
      </c>
      <c r="O109" s="7" t="s">
        <v>32</v>
      </c>
      <c r="P109" s="8">
        <v>0</v>
      </c>
      <c r="Q109" s="9">
        <v>0.03</v>
      </c>
      <c r="R109" s="8">
        <v>0</v>
      </c>
      <c r="S109" s="7" t="s">
        <v>38</v>
      </c>
      <c r="T109" s="9">
        <v>3.5</v>
      </c>
      <c r="U109" s="9">
        <v>3.5</v>
      </c>
      <c r="V109" s="8">
        <v>10</v>
      </c>
      <c r="W109" s="9">
        <v>0.111</v>
      </c>
      <c r="X109" s="9">
        <v>0.151</v>
      </c>
      <c r="Y109" s="9">
        <v>0</v>
      </c>
      <c r="Z109" s="17">
        <v>8935001723684</v>
      </c>
      <c r="AA109" s="8">
        <v>540</v>
      </c>
      <c r="AB109" s="8">
        <v>60</v>
      </c>
      <c r="AC109" s="7" t="s">
        <v>146</v>
      </c>
      <c r="AD109" s="11">
        <v>300</v>
      </c>
      <c r="AE109">
        <f t="shared" si="2"/>
        <v>176207</v>
      </c>
    </row>
    <row r="110" spans="1:31" x14ac:dyDescent="0.25">
      <c r="A110" s="7">
        <v>176208</v>
      </c>
      <c r="B110" s="7" t="s">
        <v>240</v>
      </c>
      <c r="C110" s="7" t="s">
        <v>232</v>
      </c>
      <c r="D110" s="7" t="s">
        <v>91</v>
      </c>
      <c r="E110" s="7" t="s">
        <v>32</v>
      </c>
      <c r="F110" s="7" t="s">
        <v>34</v>
      </c>
      <c r="G110" s="7" t="s">
        <v>32</v>
      </c>
      <c r="H110" s="7" t="s">
        <v>36</v>
      </c>
      <c r="I110" s="7" t="s">
        <v>145</v>
      </c>
      <c r="J110" s="8">
        <v>70</v>
      </c>
      <c r="K110" s="7" t="s">
        <v>36</v>
      </c>
      <c r="L110" s="8">
        <v>1</v>
      </c>
      <c r="M110" s="7" t="s">
        <v>37</v>
      </c>
      <c r="N110" s="8">
        <v>840</v>
      </c>
      <c r="O110" s="7" t="s">
        <v>32</v>
      </c>
      <c r="P110" s="8">
        <v>0</v>
      </c>
      <c r="Q110" s="9">
        <v>0.02</v>
      </c>
      <c r="R110" s="8">
        <v>0</v>
      </c>
      <c r="S110" s="7" t="s">
        <v>38</v>
      </c>
      <c r="T110" s="8">
        <v>3</v>
      </c>
      <c r="U110" s="8">
        <v>3</v>
      </c>
      <c r="V110" s="9">
        <v>9.5</v>
      </c>
      <c r="W110" s="9">
        <v>5.6000000000000001E-2</v>
      </c>
      <c r="X110" s="9">
        <v>7.4999999999999997E-2</v>
      </c>
      <c r="Y110" s="9">
        <v>0</v>
      </c>
      <c r="Z110" s="17">
        <v>46055460</v>
      </c>
      <c r="AA110" s="8">
        <v>540</v>
      </c>
      <c r="AB110" s="8">
        <v>60</v>
      </c>
      <c r="AC110" s="7" t="s">
        <v>146</v>
      </c>
      <c r="AD110" s="11">
        <v>840</v>
      </c>
      <c r="AE110">
        <f t="shared" si="2"/>
        <v>176208</v>
      </c>
    </row>
    <row r="111" spans="1:31" x14ac:dyDescent="0.25">
      <c r="A111" s="7">
        <v>176210</v>
      </c>
      <c r="B111" s="7" t="s">
        <v>241</v>
      </c>
      <c r="C111" s="7" t="s">
        <v>232</v>
      </c>
      <c r="D111" s="7" t="s">
        <v>91</v>
      </c>
      <c r="E111" s="7" t="s">
        <v>32</v>
      </c>
      <c r="F111" s="7" t="s">
        <v>34</v>
      </c>
      <c r="G111" s="7" t="s">
        <v>32</v>
      </c>
      <c r="H111" s="7" t="s">
        <v>36</v>
      </c>
      <c r="I111" s="7" t="s">
        <v>145</v>
      </c>
      <c r="J111" s="8">
        <v>48</v>
      </c>
      <c r="K111" s="7" t="s">
        <v>36</v>
      </c>
      <c r="L111" s="8">
        <v>1</v>
      </c>
      <c r="M111" s="7" t="s">
        <v>37</v>
      </c>
      <c r="N111" s="8">
        <v>288</v>
      </c>
      <c r="O111" s="7" t="s">
        <v>32</v>
      </c>
      <c r="P111" s="8">
        <v>0</v>
      </c>
      <c r="Q111" s="9">
        <v>0.27</v>
      </c>
      <c r="R111" s="8">
        <v>0</v>
      </c>
      <c r="S111" s="7" t="s">
        <v>38</v>
      </c>
      <c r="T111" s="9">
        <v>2.5</v>
      </c>
      <c r="U111" s="8">
        <v>2</v>
      </c>
      <c r="V111" s="8">
        <v>12</v>
      </c>
      <c r="W111" s="9">
        <v>7.0000000000000007E-2</v>
      </c>
      <c r="X111" s="9">
        <v>9.5000000000000001E-2</v>
      </c>
      <c r="Y111" s="9">
        <v>0</v>
      </c>
      <c r="Z111" s="17">
        <v>84196842</v>
      </c>
      <c r="AA111" s="8">
        <v>730</v>
      </c>
      <c r="AB111" s="8">
        <v>60</v>
      </c>
      <c r="AC111" s="7" t="s">
        <v>146</v>
      </c>
      <c r="AD111" s="11">
        <v>288</v>
      </c>
      <c r="AE111">
        <f t="shared" si="2"/>
        <v>176210</v>
      </c>
    </row>
    <row r="112" spans="1:31" x14ac:dyDescent="0.25">
      <c r="A112" s="7">
        <v>177009</v>
      </c>
      <c r="B112" s="7" t="s">
        <v>242</v>
      </c>
      <c r="C112" s="7" t="s">
        <v>90</v>
      </c>
      <c r="D112" s="7" t="s">
        <v>91</v>
      </c>
      <c r="E112" s="7" t="s">
        <v>32</v>
      </c>
      <c r="F112" s="7" t="s">
        <v>34</v>
      </c>
      <c r="G112" s="7" t="s">
        <v>32</v>
      </c>
      <c r="H112" s="7" t="s">
        <v>36</v>
      </c>
      <c r="I112" s="7" t="s">
        <v>36</v>
      </c>
      <c r="J112" s="8">
        <v>1</v>
      </c>
      <c r="K112" s="7" t="s">
        <v>37</v>
      </c>
      <c r="L112" s="8">
        <v>8</v>
      </c>
      <c r="M112" s="7" t="s">
        <v>38</v>
      </c>
      <c r="N112" s="8">
        <v>1389</v>
      </c>
      <c r="O112" s="7" t="s">
        <v>93</v>
      </c>
      <c r="P112" s="8">
        <v>1389</v>
      </c>
      <c r="Q112" s="9">
        <v>0.8</v>
      </c>
      <c r="R112" s="8">
        <v>0</v>
      </c>
      <c r="S112" s="7" t="s">
        <v>38</v>
      </c>
      <c r="T112" s="9">
        <v>11.5</v>
      </c>
      <c r="U112" s="9">
        <v>11.5</v>
      </c>
      <c r="V112" s="9">
        <v>10.5</v>
      </c>
      <c r="W112" s="9">
        <v>1.82</v>
      </c>
      <c r="X112" s="9">
        <v>2.206</v>
      </c>
      <c r="Y112" s="9">
        <v>0</v>
      </c>
      <c r="Z112" s="17">
        <v>3073781046601</v>
      </c>
      <c r="AA112" s="8">
        <v>288</v>
      </c>
      <c r="AB112" s="8">
        <v>60</v>
      </c>
      <c r="AC112" s="7" t="s">
        <v>94</v>
      </c>
      <c r="AD112" s="11">
        <v>8</v>
      </c>
      <c r="AE112">
        <f t="shared" si="2"/>
        <v>177009</v>
      </c>
    </row>
    <row r="113" spans="1:31" x14ac:dyDescent="0.25">
      <c r="A113" s="7">
        <v>177501</v>
      </c>
      <c r="B113" s="7" t="s">
        <v>243</v>
      </c>
      <c r="C113" s="7" t="s">
        <v>232</v>
      </c>
      <c r="D113" s="7" t="s">
        <v>91</v>
      </c>
      <c r="E113" s="7" t="s">
        <v>32</v>
      </c>
      <c r="F113" s="7" t="s">
        <v>86</v>
      </c>
      <c r="G113" s="7" t="s">
        <v>32</v>
      </c>
      <c r="H113" s="7" t="s">
        <v>87</v>
      </c>
      <c r="I113" s="7" t="s">
        <v>145</v>
      </c>
      <c r="J113" s="8">
        <v>1</v>
      </c>
      <c r="K113" s="7" t="s">
        <v>36</v>
      </c>
      <c r="L113" s="8">
        <v>1</v>
      </c>
      <c r="M113" s="7" t="s">
        <v>37</v>
      </c>
      <c r="N113" s="8">
        <v>6</v>
      </c>
      <c r="O113" s="7" t="s">
        <v>87</v>
      </c>
      <c r="P113" s="8">
        <v>1</v>
      </c>
      <c r="Q113" s="9">
        <v>0.13</v>
      </c>
      <c r="R113" s="8">
        <v>0</v>
      </c>
      <c r="S113" s="7" t="s">
        <v>38</v>
      </c>
      <c r="T113" s="8">
        <v>15</v>
      </c>
      <c r="U113" s="9">
        <v>2.5</v>
      </c>
      <c r="V113" s="9">
        <v>18.5</v>
      </c>
      <c r="W113" s="9">
        <v>0.76800000000000002</v>
      </c>
      <c r="X113" s="9">
        <v>1.0429999999999999</v>
      </c>
      <c r="Y113" s="9">
        <v>0</v>
      </c>
      <c r="Z113" s="17">
        <v>1800000006939</v>
      </c>
      <c r="AA113" s="8">
        <v>730</v>
      </c>
      <c r="AB113" s="8">
        <v>63</v>
      </c>
      <c r="AC113" s="7" t="s">
        <v>146</v>
      </c>
      <c r="AD113" s="11">
        <v>6</v>
      </c>
      <c r="AE113">
        <f t="shared" si="2"/>
        <v>177501</v>
      </c>
    </row>
    <row r="114" spans="1:31" x14ac:dyDescent="0.25">
      <c r="A114" s="7">
        <v>177778</v>
      </c>
      <c r="B114" s="7" t="s">
        <v>244</v>
      </c>
      <c r="C114" s="7" t="s">
        <v>175</v>
      </c>
      <c r="D114" s="7" t="s">
        <v>32</v>
      </c>
      <c r="E114" s="7" t="s">
        <v>32</v>
      </c>
      <c r="F114" s="7" t="s">
        <v>34</v>
      </c>
      <c r="G114" s="7" t="s">
        <v>245</v>
      </c>
      <c r="H114" s="7" t="s">
        <v>36</v>
      </c>
      <c r="I114" s="7" t="s">
        <v>36</v>
      </c>
      <c r="J114" s="8">
        <v>1</v>
      </c>
      <c r="K114" s="7" t="s">
        <v>37</v>
      </c>
      <c r="L114" s="8">
        <v>24</v>
      </c>
      <c r="M114" s="7" t="s">
        <v>32</v>
      </c>
      <c r="N114" s="8">
        <v>0</v>
      </c>
      <c r="O114" s="7" t="s">
        <v>32</v>
      </c>
      <c r="P114" s="8">
        <v>0</v>
      </c>
      <c r="Q114" s="9">
        <v>0.26</v>
      </c>
      <c r="R114" s="8">
        <v>0</v>
      </c>
      <c r="S114" s="7" t="s">
        <v>38</v>
      </c>
      <c r="T114" s="8">
        <v>17</v>
      </c>
      <c r="U114" s="8">
        <v>7</v>
      </c>
      <c r="V114" s="8">
        <v>7</v>
      </c>
      <c r="W114" s="9">
        <v>0.34799999999999998</v>
      </c>
      <c r="X114" s="9">
        <v>0.435</v>
      </c>
      <c r="Y114" s="9">
        <v>0</v>
      </c>
      <c r="Z114" s="17">
        <v>5351904104048</v>
      </c>
      <c r="AA114" s="8">
        <v>540</v>
      </c>
      <c r="AB114" s="8">
        <v>93</v>
      </c>
      <c r="AC114" s="7" t="s">
        <v>178</v>
      </c>
      <c r="AD114" s="11">
        <v>24</v>
      </c>
      <c r="AE114">
        <f t="shared" si="2"/>
        <v>177778</v>
      </c>
    </row>
    <row r="115" spans="1:31" x14ac:dyDescent="0.25">
      <c r="A115" s="7">
        <v>181554</v>
      </c>
      <c r="B115" s="7" t="s">
        <v>246</v>
      </c>
      <c r="C115" s="7" t="s">
        <v>232</v>
      </c>
      <c r="D115" s="7" t="s">
        <v>91</v>
      </c>
      <c r="E115" s="7" t="s">
        <v>32</v>
      </c>
      <c r="F115" s="7" t="s">
        <v>34</v>
      </c>
      <c r="G115" s="7" t="s">
        <v>32</v>
      </c>
      <c r="H115" s="7" t="s">
        <v>36</v>
      </c>
      <c r="I115" s="7" t="s">
        <v>36</v>
      </c>
      <c r="J115" s="8">
        <v>1</v>
      </c>
      <c r="K115" s="7" t="s">
        <v>37</v>
      </c>
      <c r="L115" s="8">
        <v>12</v>
      </c>
      <c r="M115" s="7" t="s">
        <v>32</v>
      </c>
      <c r="N115" s="8">
        <v>0</v>
      </c>
      <c r="O115" s="7" t="s">
        <v>32</v>
      </c>
      <c r="P115" s="8">
        <v>0</v>
      </c>
      <c r="Q115" s="9">
        <v>0.1</v>
      </c>
      <c r="R115" s="8">
        <v>0</v>
      </c>
      <c r="S115" s="7" t="s">
        <v>38</v>
      </c>
      <c r="T115" s="9">
        <v>11.5</v>
      </c>
      <c r="U115" s="9">
        <v>2.5</v>
      </c>
      <c r="V115" s="9">
        <v>11.5</v>
      </c>
      <c r="W115" s="9">
        <v>0.33</v>
      </c>
      <c r="X115" s="9">
        <v>0.44600000000000001</v>
      </c>
      <c r="Y115" s="9">
        <v>0</v>
      </c>
      <c r="Z115" s="17">
        <v>6925425474363</v>
      </c>
      <c r="AA115" s="8">
        <v>450</v>
      </c>
      <c r="AB115" s="8">
        <v>60</v>
      </c>
      <c r="AC115" s="7" t="s">
        <v>146</v>
      </c>
      <c r="AD115" s="11">
        <v>12</v>
      </c>
      <c r="AE115">
        <f t="shared" si="2"/>
        <v>181554</v>
      </c>
    </row>
    <row r="116" spans="1:31" x14ac:dyDescent="0.25">
      <c r="A116" s="7">
        <v>181557</v>
      </c>
      <c r="B116" s="7" t="s">
        <v>247</v>
      </c>
      <c r="C116" s="7" t="s">
        <v>232</v>
      </c>
      <c r="D116" s="7" t="s">
        <v>91</v>
      </c>
      <c r="E116" s="7" t="s">
        <v>32</v>
      </c>
      <c r="F116" s="7" t="s">
        <v>34</v>
      </c>
      <c r="G116" s="7" t="s">
        <v>32</v>
      </c>
      <c r="H116" s="7" t="s">
        <v>36</v>
      </c>
      <c r="I116" s="7" t="s">
        <v>36</v>
      </c>
      <c r="J116" s="8">
        <v>1</v>
      </c>
      <c r="K116" s="7" t="s">
        <v>37</v>
      </c>
      <c r="L116" s="8">
        <v>12</v>
      </c>
      <c r="M116" s="7" t="s">
        <v>32</v>
      </c>
      <c r="N116" s="8">
        <v>0</v>
      </c>
      <c r="O116" s="7" t="s">
        <v>32</v>
      </c>
      <c r="P116" s="8">
        <v>0</v>
      </c>
      <c r="Q116" s="9">
        <v>0.1</v>
      </c>
      <c r="R116" s="8">
        <v>0</v>
      </c>
      <c r="S116" s="7" t="s">
        <v>38</v>
      </c>
      <c r="T116" s="8">
        <v>11</v>
      </c>
      <c r="U116" s="8">
        <v>2</v>
      </c>
      <c r="V116" s="8">
        <v>16</v>
      </c>
      <c r="W116" s="9">
        <v>0.33</v>
      </c>
      <c r="X116" s="9">
        <v>0.44600000000000001</v>
      </c>
      <c r="Y116" s="9">
        <v>0</v>
      </c>
      <c r="Z116" s="17">
        <v>6925425474387</v>
      </c>
      <c r="AA116" s="8">
        <v>450</v>
      </c>
      <c r="AB116" s="8">
        <v>60</v>
      </c>
      <c r="AC116" s="7" t="s">
        <v>146</v>
      </c>
      <c r="AD116" s="11">
        <v>12</v>
      </c>
      <c r="AE116">
        <f t="shared" si="2"/>
        <v>181557</v>
      </c>
    </row>
    <row r="117" spans="1:31" x14ac:dyDescent="0.25">
      <c r="A117" s="7">
        <v>181558</v>
      </c>
      <c r="B117" s="7" t="s">
        <v>248</v>
      </c>
      <c r="C117" s="7" t="s">
        <v>232</v>
      </c>
      <c r="D117" s="7" t="s">
        <v>91</v>
      </c>
      <c r="E117" s="7" t="s">
        <v>32</v>
      </c>
      <c r="F117" s="7" t="s">
        <v>34</v>
      </c>
      <c r="G117" s="7" t="s">
        <v>32</v>
      </c>
      <c r="H117" s="7" t="s">
        <v>36</v>
      </c>
      <c r="I117" s="7" t="s">
        <v>36</v>
      </c>
      <c r="J117" s="8">
        <v>1</v>
      </c>
      <c r="K117" s="7" t="s">
        <v>37</v>
      </c>
      <c r="L117" s="8">
        <v>12</v>
      </c>
      <c r="M117" s="7" t="s">
        <v>32</v>
      </c>
      <c r="N117" s="8">
        <v>0</v>
      </c>
      <c r="O117" s="7" t="s">
        <v>32</v>
      </c>
      <c r="P117" s="8">
        <v>0</v>
      </c>
      <c r="Q117" s="9">
        <v>0.1</v>
      </c>
      <c r="R117" s="8">
        <v>0</v>
      </c>
      <c r="S117" s="7" t="s">
        <v>38</v>
      </c>
      <c r="T117" s="8">
        <v>11</v>
      </c>
      <c r="U117" s="8">
        <v>2</v>
      </c>
      <c r="V117" s="8">
        <v>16</v>
      </c>
      <c r="W117" s="9">
        <v>0.33</v>
      </c>
      <c r="X117" s="9">
        <v>0.44600000000000001</v>
      </c>
      <c r="Y117" s="9">
        <v>0</v>
      </c>
      <c r="Z117" s="17">
        <v>6925425474462</v>
      </c>
      <c r="AA117" s="8">
        <v>450</v>
      </c>
      <c r="AB117" s="8">
        <v>60</v>
      </c>
      <c r="AC117" s="7" t="s">
        <v>146</v>
      </c>
      <c r="AD117" s="11">
        <v>12</v>
      </c>
      <c r="AE117">
        <f t="shared" si="2"/>
        <v>181558</v>
      </c>
    </row>
    <row r="118" spans="1:31" x14ac:dyDescent="0.25">
      <c r="A118" s="7">
        <v>181559</v>
      </c>
      <c r="B118" s="7" t="s">
        <v>249</v>
      </c>
      <c r="C118" s="7" t="s">
        <v>232</v>
      </c>
      <c r="D118" s="7" t="s">
        <v>91</v>
      </c>
      <c r="E118" s="7" t="s">
        <v>32</v>
      </c>
      <c r="F118" s="7" t="s">
        <v>34</v>
      </c>
      <c r="G118" s="7" t="s">
        <v>32</v>
      </c>
      <c r="H118" s="7" t="s">
        <v>36</v>
      </c>
      <c r="I118" s="7" t="s">
        <v>36</v>
      </c>
      <c r="J118" s="8">
        <v>1</v>
      </c>
      <c r="K118" s="7" t="s">
        <v>37</v>
      </c>
      <c r="L118" s="8">
        <v>12</v>
      </c>
      <c r="M118" s="7" t="s">
        <v>32</v>
      </c>
      <c r="N118" s="8">
        <v>0</v>
      </c>
      <c r="O118" s="7" t="s">
        <v>32</v>
      </c>
      <c r="P118" s="8">
        <v>0</v>
      </c>
      <c r="Q118" s="9">
        <v>0.12</v>
      </c>
      <c r="R118" s="8">
        <v>0</v>
      </c>
      <c r="S118" s="7" t="s">
        <v>38</v>
      </c>
      <c r="T118" s="9">
        <v>11.5</v>
      </c>
      <c r="U118" s="9">
        <v>2.5</v>
      </c>
      <c r="V118" s="9">
        <v>17.5</v>
      </c>
      <c r="W118" s="9">
        <v>0.33</v>
      </c>
      <c r="X118" s="9">
        <v>0.44600000000000001</v>
      </c>
      <c r="Y118" s="9">
        <v>0</v>
      </c>
      <c r="Z118" s="17">
        <v>6925425474424</v>
      </c>
      <c r="AA118" s="8">
        <v>450</v>
      </c>
      <c r="AB118" s="8">
        <v>60</v>
      </c>
      <c r="AC118" s="7" t="s">
        <v>146</v>
      </c>
      <c r="AD118" s="11">
        <v>12</v>
      </c>
      <c r="AE118">
        <f t="shared" si="2"/>
        <v>181559</v>
      </c>
    </row>
    <row r="119" spans="1:31" x14ac:dyDescent="0.25">
      <c r="A119" s="7">
        <v>182808</v>
      </c>
      <c r="B119" s="7" t="s">
        <v>250</v>
      </c>
      <c r="C119" s="7" t="s">
        <v>125</v>
      </c>
      <c r="D119" s="7" t="s">
        <v>91</v>
      </c>
      <c r="E119" s="7" t="s">
        <v>32</v>
      </c>
      <c r="F119" s="7" t="s">
        <v>34</v>
      </c>
      <c r="G119" s="7" t="s">
        <v>32</v>
      </c>
      <c r="H119" s="7" t="s">
        <v>36</v>
      </c>
      <c r="I119" s="7" t="s">
        <v>36</v>
      </c>
      <c r="J119" s="8">
        <v>1</v>
      </c>
      <c r="K119" s="7" t="s">
        <v>37</v>
      </c>
      <c r="L119" s="8">
        <v>60</v>
      </c>
      <c r="M119" s="7" t="s">
        <v>38</v>
      </c>
      <c r="N119" s="8">
        <v>9259</v>
      </c>
      <c r="O119" s="7" t="s">
        <v>93</v>
      </c>
      <c r="P119" s="8">
        <v>9259</v>
      </c>
      <c r="Q119" s="9">
        <v>0.12</v>
      </c>
      <c r="R119" s="8">
        <v>0</v>
      </c>
      <c r="S119" s="7" t="s">
        <v>38</v>
      </c>
      <c r="T119" s="9">
        <v>8.5</v>
      </c>
      <c r="U119" s="8">
        <v>2</v>
      </c>
      <c r="V119" s="8">
        <v>14</v>
      </c>
      <c r="W119" s="9">
        <v>0.49099999999999999</v>
      </c>
      <c r="X119" s="9">
        <v>0.59399999999999997</v>
      </c>
      <c r="Y119" s="9">
        <v>0</v>
      </c>
      <c r="Z119" s="17">
        <v>3073780839631</v>
      </c>
      <c r="AA119" s="8">
        <v>301</v>
      </c>
      <c r="AB119" s="8">
        <v>30</v>
      </c>
      <c r="AC119" s="7" t="s">
        <v>94</v>
      </c>
      <c r="AD119" s="11">
        <v>60</v>
      </c>
      <c r="AE119">
        <f t="shared" si="2"/>
        <v>182808</v>
      </c>
    </row>
    <row r="120" spans="1:31" x14ac:dyDescent="0.25">
      <c r="A120" s="7">
        <v>182809</v>
      </c>
      <c r="B120" s="7" t="s">
        <v>251</v>
      </c>
      <c r="C120" s="7" t="s">
        <v>125</v>
      </c>
      <c r="D120" s="7" t="s">
        <v>91</v>
      </c>
      <c r="E120" s="7" t="s">
        <v>32</v>
      </c>
      <c r="F120" s="7" t="s">
        <v>34</v>
      </c>
      <c r="G120" s="7" t="s">
        <v>32</v>
      </c>
      <c r="H120" s="7" t="s">
        <v>36</v>
      </c>
      <c r="I120" s="7" t="s">
        <v>36</v>
      </c>
      <c r="J120" s="8">
        <v>1</v>
      </c>
      <c r="K120" s="7" t="s">
        <v>37</v>
      </c>
      <c r="L120" s="8">
        <v>40</v>
      </c>
      <c r="M120" s="7" t="s">
        <v>38</v>
      </c>
      <c r="N120" s="8">
        <v>463</v>
      </c>
      <c r="O120" s="7" t="s">
        <v>93</v>
      </c>
      <c r="P120" s="8">
        <v>4630</v>
      </c>
      <c r="Q120" s="9">
        <v>0.25</v>
      </c>
      <c r="R120" s="8">
        <v>0</v>
      </c>
      <c r="S120" s="7" t="s">
        <v>38</v>
      </c>
      <c r="T120" s="8">
        <v>9</v>
      </c>
      <c r="U120" s="8">
        <v>2</v>
      </c>
      <c r="V120" s="9">
        <v>25.5</v>
      </c>
      <c r="W120" s="9">
        <v>0.91500000000000004</v>
      </c>
      <c r="X120" s="9">
        <v>1.1100000000000001</v>
      </c>
      <c r="Y120" s="9">
        <v>0</v>
      </c>
      <c r="Z120" s="17">
        <v>3073780624435</v>
      </c>
      <c r="AA120" s="8">
        <v>301</v>
      </c>
      <c r="AB120" s="8">
        <v>30</v>
      </c>
      <c r="AC120" s="7" t="s">
        <v>94</v>
      </c>
      <c r="AD120" s="11">
        <v>40</v>
      </c>
      <c r="AE120">
        <f t="shared" si="2"/>
        <v>182809</v>
      </c>
    </row>
    <row r="121" spans="1:31" x14ac:dyDescent="0.25">
      <c r="A121" s="7">
        <v>183930</v>
      </c>
      <c r="B121" s="7" t="s">
        <v>252</v>
      </c>
      <c r="C121" s="7" t="s">
        <v>143</v>
      </c>
      <c r="D121" s="7" t="s">
        <v>91</v>
      </c>
      <c r="E121" s="7" t="s">
        <v>32</v>
      </c>
      <c r="F121" s="7" t="s">
        <v>34</v>
      </c>
      <c r="G121" s="7" t="s">
        <v>32</v>
      </c>
      <c r="H121" s="7" t="s">
        <v>36</v>
      </c>
      <c r="I121" s="7" t="s">
        <v>145</v>
      </c>
      <c r="J121" s="8">
        <v>6</v>
      </c>
      <c r="K121" s="7" t="s">
        <v>36</v>
      </c>
      <c r="L121" s="8">
        <v>1</v>
      </c>
      <c r="M121" s="7" t="s">
        <v>37</v>
      </c>
      <c r="N121" s="8">
        <v>48</v>
      </c>
      <c r="O121" s="7" t="s">
        <v>32</v>
      </c>
      <c r="P121" s="8">
        <v>0</v>
      </c>
      <c r="Q121" s="9">
        <v>0.1</v>
      </c>
      <c r="R121" s="8">
        <v>0</v>
      </c>
      <c r="S121" s="7" t="s">
        <v>38</v>
      </c>
      <c r="T121" s="8">
        <v>11</v>
      </c>
      <c r="U121" s="8">
        <v>2</v>
      </c>
      <c r="V121" s="8">
        <v>16</v>
      </c>
      <c r="W121" s="9">
        <v>0.81499999999999995</v>
      </c>
      <c r="X121" s="9">
        <v>1.087</v>
      </c>
      <c r="Y121" s="9">
        <v>0</v>
      </c>
      <c r="Z121" s="17">
        <v>8935001722519</v>
      </c>
      <c r="AA121" s="8">
        <v>540</v>
      </c>
      <c r="AB121" s="8">
        <v>60</v>
      </c>
      <c r="AC121" s="7" t="s">
        <v>146</v>
      </c>
      <c r="AD121" s="11">
        <v>48</v>
      </c>
      <c r="AE121">
        <f t="shared" si="2"/>
        <v>183930</v>
      </c>
    </row>
    <row r="122" spans="1:31" x14ac:dyDescent="0.25">
      <c r="A122" s="7">
        <v>184051</v>
      </c>
      <c r="B122" s="7" t="s">
        <v>253</v>
      </c>
      <c r="C122" s="7" t="s">
        <v>143</v>
      </c>
      <c r="D122" s="7" t="s">
        <v>91</v>
      </c>
      <c r="E122" s="7" t="s">
        <v>32</v>
      </c>
      <c r="F122" s="7" t="s">
        <v>34</v>
      </c>
      <c r="G122" s="7" t="s">
        <v>32</v>
      </c>
      <c r="H122" s="7" t="s">
        <v>36</v>
      </c>
      <c r="I122" s="7" t="s">
        <v>145</v>
      </c>
      <c r="J122" s="8">
        <v>6</v>
      </c>
      <c r="K122" s="7" t="s">
        <v>36</v>
      </c>
      <c r="L122" s="8">
        <v>1</v>
      </c>
      <c r="M122" s="7" t="s">
        <v>37</v>
      </c>
      <c r="N122" s="8">
        <v>48</v>
      </c>
      <c r="O122" s="7" t="s">
        <v>32</v>
      </c>
      <c r="P122" s="8">
        <v>0</v>
      </c>
      <c r="Q122" s="9">
        <v>0.1</v>
      </c>
      <c r="R122" s="8">
        <v>0</v>
      </c>
      <c r="S122" s="7" t="s">
        <v>38</v>
      </c>
      <c r="T122" s="8">
        <v>11</v>
      </c>
      <c r="U122" s="8">
        <v>2</v>
      </c>
      <c r="V122" s="8">
        <v>16</v>
      </c>
      <c r="W122" s="9">
        <v>0.81499999999999995</v>
      </c>
      <c r="X122" s="9">
        <v>1.087</v>
      </c>
      <c r="Y122" s="9">
        <v>0</v>
      </c>
      <c r="Z122" s="17">
        <v>8935001722533</v>
      </c>
      <c r="AA122" s="8">
        <v>540</v>
      </c>
      <c r="AB122" s="8">
        <v>60</v>
      </c>
      <c r="AC122" s="7" t="s">
        <v>146</v>
      </c>
      <c r="AD122" s="11">
        <v>48</v>
      </c>
      <c r="AE122">
        <f t="shared" si="2"/>
        <v>184051</v>
      </c>
    </row>
    <row r="123" spans="1:31" x14ac:dyDescent="0.25">
      <c r="A123" s="7">
        <v>193127</v>
      </c>
      <c r="B123" s="7" t="s">
        <v>254</v>
      </c>
      <c r="C123" s="7" t="s">
        <v>44</v>
      </c>
      <c r="D123" s="7" t="s">
        <v>32</v>
      </c>
      <c r="E123" s="7" t="s">
        <v>32</v>
      </c>
      <c r="F123" s="7" t="s">
        <v>34</v>
      </c>
      <c r="G123" s="7" t="s">
        <v>32</v>
      </c>
      <c r="H123" s="7" t="s">
        <v>36</v>
      </c>
      <c r="I123" s="7" t="s">
        <v>36</v>
      </c>
      <c r="J123" s="8">
        <v>1</v>
      </c>
      <c r="K123" s="7" t="s">
        <v>37</v>
      </c>
      <c r="L123" s="8">
        <v>6</v>
      </c>
      <c r="M123" s="7" t="s">
        <v>32</v>
      </c>
      <c r="N123" s="8">
        <v>0</v>
      </c>
      <c r="O123" s="7" t="s">
        <v>32</v>
      </c>
      <c r="P123" s="8">
        <v>0</v>
      </c>
      <c r="Q123" s="9">
        <v>1.4</v>
      </c>
      <c r="R123" s="8">
        <v>907</v>
      </c>
      <c r="S123" s="7" t="s">
        <v>38</v>
      </c>
      <c r="T123" s="8">
        <v>10</v>
      </c>
      <c r="U123" s="8">
        <v>10</v>
      </c>
      <c r="V123" s="8">
        <v>15</v>
      </c>
      <c r="W123" s="9">
        <v>0.98199999999999998</v>
      </c>
      <c r="X123" s="9">
        <v>1.5880000000000001</v>
      </c>
      <c r="Y123" s="9">
        <v>0</v>
      </c>
      <c r="Z123" s="17">
        <v>24000244417</v>
      </c>
      <c r="AA123" s="8">
        <v>729</v>
      </c>
      <c r="AB123" s="8">
        <v>60</v>
      </c>
      <c r="AC123" s="7" t="s">
        <v>47</v>
      </c>
      <c r="AD123" s="11">
        <v>6</v>
      </c>
      <c r="AE123">
        <f t="shared" si="2"/>
        <v>193127</v>
      </c>
    </row>
    <row r="124" spans="1:31" x14ac:dyDescent="0.25">
      <c r="A124" s="7">
        <v>194757</v>
      </c>
      <c r="B124" s="7" t="s">
        <v>255</v>
      </c>
      <c r="C124" s="7" t="s">
        <v>256</v>
      </c>
      <c r="D124" s="7" t="s">
        <v>32</v>
      </c>
      <c r="E124" s="7" t="s">
        <v>32</v>
      </c>
      <c r="F124" s="7" t="s">
        <v>34</v>
      </c>
      <c r="G124" s="7" t="s">
        <v>32</v>
      </c>
      <c r="H124" s="7" t="s">
        <v>36</v>
      </c>
      <c r="I124" s="7" t="s">
        <v>36</v>
      </c>
      <c r="J124" s="8">
        <v>1</v>
      </c>
      <c r="K124" s="7" t="s">
        <v>37</v>
      </c>
      <c r="L124" s="8">
        <v>216</v>
      </c>
      <c r="M124" s="7" t="s">
        <v>32</v>
      </c>
      <c r="N124" s="8">
        <v>0</v>
      </c>
      <c r="O124" s="7" t="s">
        <v>32</v>
      </c>
      <c r="P124" s="8">
        <v>0</v>
      </c>
      <c r="Q124" s="9">
        <v>0.08</v>
      </c>
      <c r="R124" s="8">
        <v>0</v>
      </c>
      <c r="S124" s="7" t="s">
        <v>38</v>
      </c>
      <c r="T124" s="8">
        <v>9</v>
      </c>
      <c r="U124" s="8">
        <v>3</v>
      </c>
      <c r="V124" s="8">
        <v>6</v>
      </c>
      <c r="W124" s="9">
        <v>9.6000000000000002E-2</v>
      </c>
      <c r="X124" s="9">
        <v>0.16</v>
      </c>
      <c r="Y124" s="9">
        <v>0</v>
      </c>
      <c r="Z124" s="17">
        <v>8906009372518</v>
      </c>
      <c r="AA124" s="8">
        <v>1095</v>
      </c>
      <c r="AB124" s="8">
        <v>92</v>
      </c>
      <c r="AC124" s="7" t="s">
        <v>257</v>
      </c>
      <c r="AD124" s="11">
        <v>216</v>
      </c>
      <c r="AE124">
        <f t="shared" si="2"/>
        <v>194757</v>
      </c>
    </row>
    <row r="125" spans="1:31" x14ac:dyDescent="0.25">
      <c r="A125" s="7">
        <v>194758</v>
      </c>
      <c r="B125" s="7" t="s">
        <v>258</v>
      </c>
      <c r="C125" s="7" t="s">
        <v>256</v>
      </c>
      <c r="D125" s="7" t="s">
        <v>32</v>
      </c>
      <c r="E125" s="7" t="s">
        <v>32</v>
      </c>
      <c r="F125" s="7" t="s">
        <v>34</v>
      </c>
      <c r="G125" s="7" t="s">
        <v>32</v>
      </c>
      <c r="H125" s="7" t="s">
        <v>36</v>
      </c>
      <c r="I125" s="7" t="s">
        <v>36</v>
      </c>
      <c r="J125" s="8">
        <v>1</v>
      </c>
      <c r="K125" s="7" t="s">
        <v>37</v>
      </c>
      <c r="L125" s="8">
        <v>216</v>
      </c>
      <c r="M125" s="7" t="s">
        <v>32</v>
      </c>
      <c r="N125" s="8">
        <v>0</v>
      </c>
      <c r="O125" s="7" t="s">
        <v>32</v>
      </c>
      <c r="P125" s="8">
        <v>0</v>
      </c>
      <c r="Q125" s="9">
        <v>0.09</v>
      </c>
      <c r="R125" s="8">
        <v>0</v>
      </c>
      <c r="S125" s="7" t="s">
        <v>38</v>
      </c>
      <c r="T125" s="8">
        <v>6</v>
      </c>
      <c r="U125" s="8">
        <v>3</v>
      </c>
      <c r="V125" s="8">
        <v>9</v>
      </c>
      <c r="W125" s="9">
        <v>0.13100000000000001</v>
      </c>
      <c r="X125" s="9">
        <v>0.3</v>
      </c>
      <c r="Y125" s="9">
        <v>0</v>
      </c>
      <c r="Z125" s="17">
        <v>8906009374826</v>
      </c>
      <c r="AA125" s="8">
        <v>1095</v>
      </c>
      <c r="AB125" s="8">
        <v>92</v>
      </c>
      <c r="AC125" s="7" t="s">
        <v>257</v>
      </c>
      <c r="AD125" s="11">
        <v>216</v>
      </c>
      <c r="AE125">
        <f t="shared" si="2"/>
        <v>194758</v>
      </c>
    </row>
    <row r="126" spans="1:31" x14ac:dyDescent="0.25">
      <c r="A126" s="7">
        <v>194957</v>
      </c>
      <c r="B126" s="7" t="s">
        <v>259</v>
      </c>
      <c r="C126" s="7" t="s">
        <v>125</v>
      </c>
      <c r="D126" s="7" t="s">
        <v>91</v>
      </c>
      <c r="E126" s="7" t="s">
        <v>32</v>
      </c>
      <c r="F126" s="7" t="s">
        <v>34</v>
      </c>
      <c r="G126" s="7" t="s">
        <v>32</v>
      </c>
      <c r="H126" s="7" t="s">
        <v>36</v>
      </c>
      <c r="I126" s="7" t="s">
        <v>36</v>
      </c>
      <c r="J126" s="8">
        <v>1</v>
      </c>
      <c r="K126" s="7" t="s">
        <v>37</v>
      </c>
      <c r="L126" s="8">
        <v>12</v>
      </c>
      <c r="M126" s="7" t="s">
        <v>38</v>
      </c>
      <c r="N126" s="8">
        <v>1</v>
      </c>
      <c r="O126" s="7" t="s">
        <v>93</v>
      </c>
      <c r="P126" s="8">
        <v>1000</v>
      </c>
      <c r="Q126" s="9">
        <v>1.07</v>
      </c>
      <c r="R126" s="8">
        <v>0</v>
      </c>
      <c r="S126" s="7" t="s">
        <v>38</v>
      </c>
      <c r="T126" s="8">
        <v>19</v>
      </c>
      <c r="U126" s="9">
        <v>8.5</v>
      </c>
      <c r="V126" s="9">
        <v>8.5</v>
      </c>
      <c r="W126" s="9">
        <v>3.774</v>
      </c>
      <c r="X126" s="9">
        <v>4.5739999999999998</v>
      </c>
      <c r="Y126" s="9">
        <v>0</v>
      </c>
      <c r="Z126" s="17">
        <v>3073780853545</v>
      </c>
      <c r="AA126" s="8">
        <v>273</v>
      </c>
      <c r="AB126" s="8">
        <v>30</v>
      </c>
      <c r="AC126" s="7" t="s">
        <v>94</v>
      </c>
      <c r="AD126" s="11">
        <v>12</v>
      </c>
      <c r="AE126">
        <f t="shared" si="2"/>
        <v>194957</v>
      </c>
    </row>
    <row r="127" spans="1:31" x14ac:dyDescent="0.25">
      <c r="A127" s="7">
        <v>194958</v>
      </c>
      <c r="B127" s="7" t="s">
        <v>260</v>
      </c>
      <c r="C127" s="7" t="s">
        <v>125</v>
      </c>
      <c r="D127" s="7" t="s">
        <v>91</v>
      </c>
      <c r="E127" s="7" t="s">
        <v>32</v>
      </c>
      <c r="F127" s="7" t="s">
        <v>34</v>
      </c>
      <c r="G127" s="7" t="s">
        <v>32</v>
      </c>
      <c r="H127" s="7" t="s">
        <v>36</v>
      </c>
      <c r="I127" s="7" t="s">
        <v>36</v>
      </c>
      <c r="J127" s="8">
        <v>1</v>
      </c>
      <c r="K127" s="7" t="s">
        <v>37</v>
      </c>
      <c r="L127" s="8">
        <v>18</v>
      </c>
      <c r="M127" s="7" t="s">
        <v>38</v>
      </c>
      <c r="N127" s="8">
        <v>5</v>
      </c>
      <c r="O127" s="7" t="s">
        <v>93</v>
      </c>
      <c r="P127" s="8">
        <v>5000</v>
      </c>
      <c r="Q127" s="9">
        <v>0.22</v>
      </c>
      <c r="R127" s="8">
        <v>0</v>
      </c>
      <c r="S127" s="7" t="s">
        <v>38</v>
      </c>
      <c r="T127" s="8">
        <v>14</v>
      </c>
      <c r="U127" s="9">
        <v>7.5</v>
      </c>
      <c r="V127" s="9">
        <v>4.5</v>
      </c>
      <c r="W127" s="9">
        <v>0.76700000000000002</v>
      </c>
      <c r="X127" s="9">
        <v>0.92900000000000005</v>
      </c>
      <c r="Y127" s="9">
        <v>0</v>
      </c>
      <c r="Z127" s="17">
        <v>3073781010725</v>
      </c>
      <c r="AA127" s="8">
        <v>210</v>
      </c>
      <c r="AB127" s="8">
        <v>30</v>
      </c>
      <c r="AC127" s="7" t="s">
        <v>94</v>
      </c>
      <c r="AD127" s="11">
        <v>18</v>
      </c>
      <c r="AE127">
        <f t="shared" si="2"/>
        <v>194958</v>
      </c>
    </row>
    <row r="128" spans="1:31" x14ac:dyDescent="0.25">
      <c r="A128" s="7">
        <v>194963</v>
      </c>
      <c r="B128" s="7" t="s">
        <v>261</v>
      </c>
      <c r="C128" s="7" t="s">
        <v>108</v>
      </c>
      <c r="D128" s="7" t="s">
        <v>91</v>
      </c>
      <c r="E128" s="7" t="s">
        <v>32</v>
      </c>
      <c r="F128" s="7" t="s">
        <v>34</v>
      </c>
      <c r="G128" s="7" t="s">
        <v>32</v>
      </c>
      <c r="H128" s="7" t="s">
        <v>36</v>
      </c>
      <c r="I128" s="7" t="s">
        <v>36</v>
      </c>
      <c r="J128" s="8">
        <v>1</v>
      </c>
      <c r="K128" s="7" t="s">
        <v>37</v>
      </c>
      <c r="L128" s="8">
        <v>12</v>
      </c>
      <c r="M128" s="7" t="s">
        <v>38</v>
      </c>
      <c r="N128" s="8">
        <v>3571</v>
      </c>
      <c r="O128" s="7" t="s">
        <v>93</v>
      </c>
      <c r="P128" s="8">
        <v>7142</v>
      </c>
      <c r="Q128" s="9">
        <v>0.2</v>
      </c>
      <c r="R128" s="8">
        <v>0</v>
      </c>
      <c r="S128" s="7" t="s">
        <v>38</v>
      </c>
      <c r="T128" s="9">
        <v>8.5</v>
      </c>
      <c r="U128" s="9">
        <v>8.5</v>
      </c>
      <c r="V128" s="8">
        <v>3</v>
      </c>
      <c r="W128" s="9">
        <v>0.98499999999999999</v>
      </c>
      <c r="X128" s="9">
        <v>1.1930000000000001</v>
      </c>
      <c r="Y128" s="9">
        <v>0</v>
      </c>
      <c r="Z128" s="17">
        <v>3073780810661</v>
      </c>
      <c r="AA128" s="8">
        <v>245</v>
      </c>
      <c r="AB128" s="8">
        <v>30</v>
      </c>
      <c r="AC128" s="7" t="s">
        <v>94</v>
      </c>
      <c r="AD128" s="11">
        <v>12</v>
      </c>
      <c r="AE128">
        <f t="shared" si="2"/>
        <v>194963</v>
      </c>
    </row>
    <row r="129" spans="1:31" x14ac:dyDescent="0.25">
      <c r="A129" s="7">
        <v>195536</v>
      </c>
      <c r="B129" s="7" t="s">
        <v>262</v>
      </c>
      <c r="C129" s="7" t="s">
        <v>125</v>
      </c>
      <c r="D129" s="7" t="s">
        <v>91</v>
      </c>
      <c r="E129" s="7" t="s">
        <v>32</v>
      </c>
      <c r="F129" s="7" t="s">
        <v>103</v>
      </c>
      <c r="G129" s="7" t="s">
        <v>32</v>
      </c>
      <c r="H129" s="7" t="s">
        <v>87</v>
      </c>
      <c r="I129" s="7" t="s">
        <v>36</v>
      </c>
      <c r="J129" s="8">
        <v>1</v>
      </c>
      <c r="K129" s="7" t="s">
        <v>37</v>
      </c>
      <c r="L129" s="8">
        <v>12</v>
      </c>
      <c r="M129" s="7" t="s">
        <v>38</v>
      </c>
      <c r="N129" s="8">
        <v>1543</v>
      </c>
      <c r="O129" s="7" t="s">
        <v>87</v>
      </c>
      <c r="P129" s="8">
        <v>1</v>
      </c>
      <c r="Q129" s="9">
        <v>0.99</v>
      </c>
      <c r="R129" s="8">
        <v>0</v>
      </c>
      <c r="S129" s="7" t="s">
        <v>38</v>
      </c>
      <c r="T129" s="9">
        <v>18.5</v>
      </c>
      <c r="U129" s="9">
        <v>12.5</v>
      </c>
      <c r="V129" s="9">
        <v>6.5</v>
      </c>
      <c r="W129" s="9">
        <v>2.3239999999999998</v>
      </c>
      <c r="X129" s="9">
        <v>2.8149999999999999</v>
      </c>
      <c r="Y129" s="9">
        <v>0</v>
      </c>
      <c r="Z129" s="17">
        <v>3073781053562</v>
      </c>
      <c r="AA129" s="8">
        <v>301</v>
      </c>
      <c r="AB129" s="8">
        <v>30</v>
      </c>
      <c r="AC129" s="7" t="s">
        <v>94</v>
      </c>
      <c r="AD129" s="11">
        <v>12</v>
      </c>
      <c r="AE129">
        <f t="shared" si="2"/>
        <v>195536</v>
      </c>
    </row>
    <row r="130" spans="1:31" x14ac:dyDescent="0.25">
      <c r="A130" s="7">
        <v>195540</v>
      </c>
      <c r="B130" s="7" t="s">
        <v>263</v>
      </c>
      <c r="C130" s="7" t="s">
        <v>125</v>
      </c>
      <c r="D130" s="7" t="s">
        <v>91</v>
      </c>
      <c r="E130" s="7" t="s">
        <v>32</v>
      </c>
      <c r="F130" s="7" t="s">
        <v>103</v>
      </c>
      <c r="G130" s="7" t="s">
        <v>32</v>
      </c>
      <c r="H130" s="7" t="s">
        <v>87</v>
      </c>
      <c r="I130" s="7" t="s">
        <v>36</v>
      </c>
      <c r="J130" s="8">
        <v>1</v>
      </c>
      <c r="K130" s="7" t="s">
        <v>37</v>
      </c>
      <c r="L130" s="8">
        <v>12</v>
      </c>
      <c r="M130" s="7" t="s">
        <v>38</v>
      </c>
      <c r="N130" s="8">
        <v>1851</v>
      </c>
      <c r="O130" s="7" t="s">
        <v>87</v>
      </c>
      <c r="P130" s="8">
        <v>1</v>
      </c>
      <c r="Q130" s="9">
        <v>0.39</v>
      </c>
      <c r="R130" s="8">
        <v>0</v>
      </c>
      <c r="S130" s="7" t="s">
        <v>38</v>
      </c>
      <c r="T130" s="8">
        <v>14</v>
      </c>
      <c r="U130" s="8">
        <v>19</v>
      </c>
      <c r="V130" s="8">
        <v>6</v>
      </c>
      <c r="W130" s="9">
        <v>2.0819999999999999</v>
      </c>
      <c r="X130" s="9">
        <v>2.524</v>
      </c>
      <c r="Y130" s="9">
        <v>0</v>
      </c>
      <c r="Z130" s="17">
        <v>3073781053555</v>
      </c>
      <c r="AA130" s="8">
        <v>301</v>
      </c>
      <c r="AB130" s="8">
        <v>30</v>
      </c>
      <c r="AC130" s="7" t="s">
        <v>94</v>
      </c>
      <c r="AD130" s="11">
        <v>12</v>
      </c>
      <c r="AE130">
        <f t="shared" si="2"/>
        <v>195540</v>
      </c>
    </row>
    <row r="131" spans="1:31" x14ac:dyDescent="0.25">
      <c r="A131" s="7">
        <v>198563</v>
      </c>
      <c r="B131" s="7" t="s">
        <v>264</v>
      </c>
      <c r="C131" s="7" t="s">
        <v>44</v>
      </c>
      <c r="D131" s="7" t="s">
        <v>32</v>
      </c>
      <c r="E131" s="7" t="s">
        <v>32</v>
      </c>
      <c r="F131" s="7" t="s">
        <v>86</v>
      </c>
      <c r="G131" s="7" t="s">
        <v>32</v>
      </c>
      <c r="H131" s="7" t="s">
        <v>87</v>
      </c>
      <c r="I131" s="7" t="s">
        <v>37</v>
      </c>
      <c r="J131" s="8">
        <v>3</v>
      </c>
      <c r="K131" s="7" t="s">
        <v>87</v>
      </c>
      <c r="L131" s="8">
        <v>1</v>
      </c>
      <c r="M131" s="7" t="s">
        <v>32</v>
      </c>
      <c r="N131" s="8">
        <v>0</v>
      </c>
      <c r="O131" s="7" t="s">
        <v>32</v>
      </c>
      <c r="P131" s="8">
        <v>0</v>
      </c>
      <c r="Q131" s="9">
        <v>1.4</v>
      </c>
      <c r="R131" s="8">
        <v>1814</v>
      </c>
      <c r="S131" s="7" t="s">
        <v>38</v>
      </c>
      <c r="T131" s="8">
        <v>10</v>
      </c>
      <c r="U131" s="8">
        <v>10</v>
      </c>
      <c r="V131" s="8">
        <v>15</v>
      </c>
      <c r="W131" s="9">
        <v>1.6759999999999999</v>
      </c>
      <c r="X131" s="9">
        <v>2.7109999999999999</v>
      </c>
      <c r="Y131" s="9">
        <v>0</v>
      </c>
      <c r="Z131" s="10">
        <v>6291106772029</v>
      </c>
      <c r="AA131" s="8">
        <v>729</v>
      </c>
      <c r="AB131" s="8">
        <v>60</v>
      </c>
      <c r="AC131" s="7" t="s">
        <v>88</v>
      </c>
      <c r="AD131" s="11">
        <v>3</v>
      </c>
      <c r="AE131">
        <f t="shared" ref="AE131:AE194" si="3">A131</f>
        <v>198563</v>
      </c>
    </row>
    <row r="132" spans="1:31" x14ac:dyDescent="0.25">
      <c r="A132" s="7">
        <v>202753</v>
      </c>
      <c r="B132" s="7" t="s">
        <v>265</v>
      </c>
      <c r="C132" s="7" t="s">
        <v>105</v>
      </c>
      <c r="D132" s="7" t="s">
        <v>91</v>
      </c>
      <c r="E132" s="7" t="s">
        <v>32</v>
      </c>
      <c r="F132" s="7" t="s">
        <v>34</v>
      </c>
      <c r="G132" s="7" t="s">
        <v>32</v>
      </c>
      <c r="H132" s="7" t="s">
        <v>36</v>
      </c>
      <c r="I132" s="7" t="s">
        <v>36</v>
      </c>
      <c r="J132" s="8">
        <v>1</v>
      </c>
      <c r="K132" s="7" t="s">
        <v>37</v>
      </c>
      <c r="L132" s="8">
        <v>8</v>
      </c>
      <c r="M132" s="7" t="s">
        <v>38</v>
      </c>
      <c r="N132" s="8">
        <v>1389</v>
      </c>
      <c r="O132" s="7" t="s">
        <v>93</v>
      </c>
      <c r="P132" s="8">
        <v>1389</v>
      </c>
      <c r="Q132" s="9">
        <v>0.79</v>
      </c>
      <c r="R132" s="8">
        <v>0</v>
      </c>
      <c r="S132" s="7" t="s">
        <v>38</v>
      </c>
      <c r="T132" s="9">
        <v>11.5</v>
      </c>
      <c r="U132" s="9">
        <v>11.5</v>
      </c>
      <c r="V132" s="9">
        <v>10.5</v>
      </c>
      <c r="W132" s="9">
        <v>1.821</v>
      </c>
      <c r="X132" s="9">
        <v>2.2069999999999999</v>
      </c>
      <c r="Y132" s="9">
        <v>0</v>
      </c>
      <c r="Z132" s="17">
        <v>3073781061857</v>
      </c>
      <c r="AA132" s="8">
        <v>292</v>
      </c>
      <c r="AB132" s="8">
        <v>60</v>
      </c>
      <c r="AC132" s="7" t="s">
        <v>94</v>
      </c>
      <c r="AD132" s="11">
        <v>8</v>
      </c>
      <c r="AE132">
        <f t="shared" si="3"/>
        <v>202753</v>
      </c>
    </row>
    <row r="133" spans="1:31" x14ac:dyDescent="0.25">
      <c r="A133" s="7">
        <v>214355</v>
      </c>
      <c r="B133" s="7" t="s">
        <v>266</v>
      </c>
      <c r="C133" s="7" t="s">
        <v>130</v>
      </c>
      <c r="D133" s="7" t="s">
        <v>91</v>
      </c>
      <c r="E133" s="7" t="s">
        <v>32</v>
      </c>
      <c r="F133" s="7" t="s">
        <v>34</v>
      </c>
      <c r="G133" s="7" t="s">
        <v>32</v>
      </c>
      <c r="H133" s="7" t="s">
        <v>36</v>
      </c>
      <c r="I133" s="7" t="s">
        <v>36</v>
      </c>
      <c r="J133" s="8">
        <v>1</v>
      </c>
      <c r="K133" s="7" t="s">
        <v>37</v>
      </c>
      <c r="L133" s="8">
        <v>8</v>
      </c>
      <c r="M133" s="7" t="s">
        <v>38</v>
      </c>
      <c r="N133" s="8">
        <v>5</v>
      </c>
      <c r="O133" s="7" t="s">
        <v>93</v>
      </c>
      <c r="P133" s="8">
        <v>5000</v>
      </c>
      <c r="Q133" s="9">
        <v>0.24</v>
      </c>
      <c r="R133" s="8">
        <v>0</v>
      </c>
      <c r="S133" s="7" t="s">
        <v>38</v>
      </c>
      <c r="T133" s="8">
        <v>9</v>
      </c>
      <c r="U133" s="8">
        <v>9</v>
      </c>
      <c r="V133" s="8">
        <v>3</v>
      </c>
      <c r="W133" s="9">
        <v>1.347</v>
      </c>
      <c r="X133" s="9">
        <v>1.6339999999999999</v>
      </c>
      <c r="Y133" s="9">
        <v>0</v>
      </c>
      <c r="Z133" s="17">
        <v>3073780460262</v>
      </c>
      <c r="AA133" s="8">
        <v>273</v>
      </c>
      <c r="AB133" s="8">
        <v>30</v>
      </c>
      <c r="AC133" s="7" t="s">
        <v>94</v>
      </c>
      <c r="AD133" s="11">
        <v>8</v>
      </c>
      <c r="AE133">
        <f t="shared" si="3"/>
        <v>214355</v>
      </c>
    </row>
    <row r="134" spans="1:31" x14ac:dyDescent="0.25">
      <c r="A134" s="7">
        <v>215668</v>
      </c>
      <c r="B134" s="7" t="s">
        <v>267</v>
      </c>
      <c r="C134" s="7" t="s">
        <v>125</v>
      </c>
      <c r="D134" s="7" t="s">
        <v>91</v>
      </c>
      <c r="E134" s="7" t="s">
        <v>32</v>
      </c>
      <c r="F134" s="7" t="s">
        <v>34</v>
      </c>
      <c r="G134" s="7" t="s">
        <v>32</v>
      </c>
      <c r="H134" s="7" t="s">
        <v>36</v>
      </c>
      <c r="I134" s="7" t="s">
        <v>36</v>
      </c>
      <c r="J134" s="8">
        <v>1</v>
      </c>
      <c r="K134" s="7" t="s">
        <v>37</v>
      </c>
      <c r="L134" s="8">
        <v>18</v>
      </c>
      <c r="M134" s="7" t="s">
        <v>38</v>
      </c>
      <c r="N134" s="8">
        <v>5</v>
      </c>
      <c r="O134" s="7" t="s">
        <v>93</v>
      </c>
      <c r="P134" s="8">
        <v>5000</v>
      </c>
      <c r="Q134" s="9">
        <v>0.22</v>
      </c>
      <c r="R134" s="8">
        <v>0</v>
      </c>
      <c r="S134" s="7" t="s">
        <v>38</v>
      </c>
      <c r="T134" s="8">
        <v>12</v>
      </c>
      <c r="U134" s="9">
        <v>6.5</v>
      </c>
      <c r="V134" s="8">
        <v>3</v>
      </c>
      <c r="W134" s="9">
        <v>0.71199999999999997</v>
      </c>
      <c r="X134" s="9">
        <v>0.86199999999999999</v>
      </c>
      <c r="Y134" s="9">
        <v>0</v>
      </c>
      <c r="Z134" s="17">
        <v>3073780984492</v>
      </c>
      <c r="AA134" s="8">
        <v>180</v>
      </c>
      <c r="AB134" s="8">
        <v>30</v>
      </c>
      <c r="AC134" s="7" t="s">
        <v>94</v>
      </c>
      <c r="AD134" s="11">
        <v>18</v>
      </c>
      <c r="AE134">
        <f t="shared" si="3"/>
        <v>215668</v>
      </c>
    </row>
    <row r="135" spans="1:31" x14ac:dyDescent="0.25">
      <c r="A135" s="7">
        <v>229182</v>
      </c>
      <c r="B135" s="7" t="s">
        <v>268</v>
      </c>
      <c r="C135" s="7" t="s">
        <v>269</v>
      </c>
      <c r="D135" s="7" t="s">
        <v>91</v>
      </c>
      <c r="E135" s="7" t="s">
        <v>32</v>
      </c>
      <c r="F135" s="7" t="s">
        <v>34</v>
      </c>
      <c r="G135" s="7" t="s">
        <v>32</v>
      </c>
      <c r="H135" s="7" t="s">
        <v>36</v>
      </c>
      <c r="I135" s="7" t="s">
        <v>145</v>
      </c>
      <c r="J135" s="8">
        <v>1</v>
      </c>
      <c r="K135" s="7" t="s">
        <v>36</v>
      </c>
      <c r="L135" s="8">
        <v>1</v>
      </c>
      <c r="M135" s="7" t="s">
        <v>37</v>
      </c>
      <c r="N135" s="8">
        <v>12</v>
      </c>
      <c r="O135" s="7" t="s">
        <v>32</v>
      </c>
      <c r="P135" s="8">
        <v>0</v>
      </c>
      <c r="Q135" s="9">
        <v>0.74</v>
      </c>
      <c r="R135" s="8">
        <v>0</v>
      </c>
      <c r="S135" s="7" t="s">
        <v>38</v>
      </c>
      <c r="T135" s="8">
        <v>11</v>
      </c>
      <c r="U135" s="8">
        <v>11</v>
      </c>
      <c r="V135" s="9">
        <v>21.5</v>
      </c>
      <c r="W135" s="9">
        <v>1.3839999999999999</v>
      </c>
      <c r="X135" s="9">
        <v>1.871</v>
      </c>
      <c r="Y135" s="9">
        <v>0</v>
      </c>
      <c r="Z135" s="17">
        <v>8990800011554</v>
      </c>
      <c r="AA135" s="8">
        <v>730</v>
      </c>
      <c r="AB135" s="8">
        <v>60</v>
      </c>
      <c r="AC135" s="7" t="s">
        <v>146</v>
      </c>
      <c r="AD135" s="11">
        <v>12</v>
      </c>
      <c r="AE135">
        <f t="shared" si="3"/>
        <v>229182</v>
      </c>
    </row>
    <row r="136" spans="1:31" x14ac:dyDescent="0.25">
      <c r="A136" s="7">
        <v>229184</v>
      </c>
      <c r="B136" s="7" t="s">
        <v>270</v>
      </c>
      <c r="C136" s="7" t="s">
        <v>269</v>
      </c>
      <c r="D136" s="7" t="s">
        <v>91</v>
      </c>
      <c r="E136" s="7" t="s">
        <v>32</v>
      </c>
      <c r="F136" s="7" t="s">
        <v>34</v>
      </c>
      <c r="G136" s="7" t="s">
        <v>32</v>
      </c>
      <c r="H136" s="7" t="s">
        <v>36</v>
      </c>
      <c r="I136" s="7" t="s">
        <v>145</v>
      </c>
      <c r="J136" s="8">
        <v>16</v>
      </c>
      <c r="K136" s="7" t="s">
        <v>36</v>
      </c>
      <c r="L136" s="8">
        <v>1</v>
      </c>
      <c r="M136" s="7" t="s">
        <v>37</v>
      </c>
      <c r="N136" s="8">
        <v>384</v>
      </c>
      <c r="O136" s="7" t="s">
        <v>32</v>
      </c>
      <c r="P136" s="8">
        <v>0</v>
      </c>
      <c r="Q136" s="9">
        <v>0.03</v>
      </c>
      <c r="R136" s="8">
        <v>0</v>
      </c>
      <c r="S136" s="7" t="s">
        <v>38</v>
      </c>
      <c r="T136" s="8">
        <v>2</v>
      </c>
      <c r="U136" s="8">
        <v>2</v>
      </c>
      <c r="V136" s="8">
        <v>11</v>
      </c>
      <c r="W136" s="9">
        <v>7.0000000000000007E-2</v>
      </c>
      <c r="X136" s="9">
        <v>9.5000000000000001E-2</v>
      </c>
      <c r="Y136" s="9">
        <v>0</v>
      </c>
      <c r="Z136" s="17">
        <v>8990800011196</v>
      </c>
      <c r="AA136" s="8">
        <v>730</v>
      </c>
      <c r="AB136" s="8">
        <v>60</v>
      </c>
      <c r="AC136" s="7" t="s">
        <v>146</v>
      </c>
      <c r="AD136" s="11">
        <v>384</v>
      </c>
      <c r="AE136">
        <f t="shared" si="3"/>
        <v>229184</v>
      </c>
    </row>
    <row r="137" spans="1:31" x14ac:dyDescent="0.25">
      <c r="A137" s="7">
        <v>229186</v>
      </c>
      <c r="B137" s="7" t="s">
        <v>271</v>
      </c>
      <c r="C137" s="7" t="s">
        <v>272</v>
      </c>
      <c r="D137" s="7" t="s">
        <v>91</v>
      </c>
      <c r="E137" s="7" t="s">
        <v>32</v>
      </c>
      <c r="F137" s="7" t="s">
        <v>34</v>
      </c>
      <c r="G137" s="7" t="s">
        <v>32</v>
      </c>
      <c r="H137" s="7" t="s">
        <v>36</v>
      </c>
      <c r="I137" s="7" t="s">
        <v>145</v>
      </c>
      <c r="J137" s="8">
        <v>12</v>
      </c>
      <c r="K137" s="7" t="s">
        <v>36</v>
      </c>
      <c r="L137" s="8">
        <v>1</v>
      </c>
      <c r="M137" s="7" t="s">
        <v>37</v>
      </c>
      <c r="N137" s="8">
        <v>144</v>
      </c>
      <c r="O137" s="7" t="s">
        <v>32</v>
      </c>
      <c r="P137" s="8">
        <v>0</v>
      </c>
      <c r="Q137" s="9">
        <v>0.27</v>
      </c>
      <c r="R137" s="8">
        <v>0</v>
      </c>
      <c r="S137" s="7" t="s">
        <v>38</v>
      </c>
      <c r="T137" s="9">
        <v>10.9</v>
      </c>
      <c r="U137" s="8">
        <v>9</v>
      </c>
      <c r="V137" s="9">
        <v>10.7</v>
      </c>
      <c r="W137" s="9">
        <v>0.13900000000000001</v>
      </c>
      <c r="X137" s="9">
        <v>0.188</v>
      </c>
      <c r="Y137" s="9">
        <v>0</v>
      </c>
      <c r="Z137" s="17">
        <v>6921211111559</v>
      </c>
      <c r="AA137" s="8">
        <v>730</v>
      </c>
      <c r="AB137" s="8">
        <v>60</v>
      </c>
      <c r="AC137" s="7" t="s">
        <v>146</v>
      </c>
      <c r="AD137" s="11">
        <v>144</v>
      </c>
      <c r="AE137">
        <f t="shared" si="3"/>
        <v>229186</v>
      </c>
    </row>
    <row r="138" spans="1:31" x14ac:dyDescent="0.25">
      <c r="A138" s="7">
        <v>229187</v>
      </c>
      <c r="B138" s="7" t="s">
        <v>273</v>
      </c>
      <c r="C138" s="7" t="s">
        <v>272</v>
      </c>
      <c r="D138" s="7" t="s">
        <v>91</v>
      </c>
      <c r="E138" s="7" t="s">
        <v>32</v>
      </c>
      <c r="F138" s="7" t="s">
        <v>34</v>
      </c>
      <c r="G138" s="7" t="s">
        <v>32</v>
      </c>
      <c r="H138" s="7" t="s">
        <v>36</v>
      </c>
      <c r="I138" s="7" t="s">
        <v>145</v>
      </c>
      <c r="J138" s="8">
        <v>12</v>
      </c>
      <c r="K138" s="7" t="s">
        <v>36</v>
      </c>
      <c r="L138" s="8">
        <v>1</v>
      </c>
      <c r="M138" s="7" t="s">
        <v>37</v>
      </c>
      <c r="N138" s="8">
        <v>144</v>
      </c>
      <c r="O138" s="7" t="s">
        <v>32</v>
      </c>
      <c r="P138" s="8">
        <v>0</v>
      </c>
      <c r="Q138" s="9">
        <v>0.27</v>
      </c>
      <c r="R138" s="8">
        <v>0</v>
      </c>
      <c r="S138" s="7" t="s">
        <v>38</v>
      </c>
      <c r="T138" s="9">
        <v>10.9</v>
      </c>
      <c r="U138" s="8">
        <v>9</v>
      </c>
      <c r="V138" s="9">
        <v>10.7</v>
      </c>
      <c r="W138" s="9">
        <v>0.13900000000000001</v>
      </c>
      <c r="X138" s="9">
        <v>0.188</v>
      </c>
      <c r="Y138" s="9">
        <v>0</v>
      </c>
      <c r="Z138" s="17">
        <v>6921211111467</v>
      </c>
      <c r="AA138" s="8">
        <v>730</v>
      </c>
      <c r="AB138" s="8">
        <v>60</v>
      </c>
      <c r="AC138" s="7" t="s">
        <v>146</v>
      </c>
      <c r="AD138" s="11">
        <v>144</v>
      </c>
      <c r="AE138">
        <f t="shared" si="3"/>
        <v>229187</v>
      </c>
    </row>
    <row r="139" spans="1:31" x14ac:dyDescent="0.25">
      <c r="A139" s="7">
        <v>229189</v>
      </c>
      <c r="B139" s="7" t="s">
        <v>274</v>
      </c>
      <c r="C139" s="7" t="s">
        <v>272</v>
      </c>
      <c r="D139" s="7" t="s">
        <v>91</v>
      </c>
      <c r="E139" s="7" t="s">
        <v>32</v>
      </c>
      <c r="F139" s="7" t="s">
        <v>34</v>
      </c>
      <c r="G139" s="7" t="s">
        <v>32</v>
      </c>
      <c r="H139" s="7" t="s">
        <v>36</v>
      </c>
      <c r="I139" s="7" t="s">
        <v>145</v>
      </c>
      <c r="J139" s="8">
        <v>12</v>
      </c>
      <c r="K139" s="7" t="s">
        <v>36</v>
      </c>
      <c r="L139" s="8">
        <v>1</v>
      </c>
      <c r="M139" s="7" t="s">
        <v>37</v>
      </c>
      <c r="N139" s="8">
        <v>144</v>
      </c>
      <c r="O139" s="7" t="s">
        <v>32</v>
      </c>
      <c r="P139" s="8">
        <v>0</v>
      </c>
      <c r="Q139" s="9">
        <v>0.27</v>
      </c>
      <c r="R139" s="8">
        <v>0</v>
      </c>
      <c r="S139" s="7" t="s">
        <v>38</v>
      </c>
      <c r="T139" s="9">
        <v>10.9</v>
      </c>
      <c r="U139" s="8">
        <v>9</v>
      </c>
      <c r="V139" s="9">
        <v>10.7</v>
      </c>
      <c r="W139" s="9">
        <v>0.13900000000000001</v>
      </c>
      <c r="X139" s="9">
        <v>0.188</v>
      </c>
      <c r="Y139" s="9">
        <v>0</v>
      </c>
      <c r="Z139" s="17">
        <v>6921211112068</v>
      </c>
      <c r="AA139" s="8">
        <v>730</v>
      </c>
      <c r="AB139" s="8">
        <v>60</v>
      </c>
      <c r="AC139" s="7" t="s">
        <v>146</v>
      </c>
      <c r="AD139" s="11">
        <v>144</v>
      </c>
      <c r="AE139">
        <f t="shared" si="3"/>
        <v>229189</v>
      </c>
    </row>
    <row r="140" spans="1:31" x14ac:dyDescent="0.25">
      <c r="A140" s="7">
        <v>229190</v>
      </c>
      <c r="B140" s="7" t="s">
        <v>275</v>
      </c>
      <c r="C140" s="7" t="s">
        <v>272</v>
      </c>
      <c r="D140" s="7" t="s">
        <v>91</v>
      </c>
      <c r="E140" s="7" t="s">
        <v>32</v>
      </c>
      <c r="F140" s="7" t="s">
        <v>34</v>
      </c>
      <c r="G140" s="7" t="s">
        <v>32</v>
      </c>
      <c r="H140" s="7" t="s">
        <v>36</v>
      </c>
      <c r="I140" s="7" t="s">
        <v>145</v>
      </c>
      <c r="J140" s="8">
        <v>20</v>
      </c>
      <c r="K140" s="7" t="s">
        <v>36</v>
      </c>
      <c r="L140" s="8">
        <v>1</v>
      </c>
      <c r="M140" s="7" t="s">
        <v>37</v>
      </c>
      <c r="N140" s="8">
        <v>480</v>
      </c>
      <c r="O140" s="7" t="s">
        <v>32</v>
      </c>
      <c r="P140" s="8">
        <v>0</v>
      </c>
      <c r="Q140" s="9">
        <v>0.03</v>
      </c>
      <c r="R140" s="8">
        <v>0</v>
      </c>
      <c r="S140" s="7" t="s">
        <v>38</v>
      </c>
      <c r="T140" s="8">
        <v>3</v>
      </c>
      <c r="U140" s="9">
        <v>1.5</v>
      </c>
      <c r="V140" s="8">
        <v>11</v>
      </c>
      <c r="W140" s="9">
        <v>6.7000000000000004E-2</v>
      </c>
      <c r="X140" s="9">
        <v>9.0999999999999998E-2</v>
      </c>
      <c r="Y140" s="9">
        <v>0</v>
      </c>
      <c r="Z140" s="17">
        <v>80757450</v>
      </c>
      <c r="AA140" s="8">
        <v>570</v>
      </c>
      <c r="AB140" s="8">
        <v>60</v>
      </c>
      <c r="AC140" s="7" t="s">
        <v>146</v>
      </c>
      <c r="AD140" s="11">
        <v>480</v>
      </c>
      <c r="AE140">
        <f t="shared" si="3"/>
        <v>229190</v>
      </c>
    </row>
    <row r="141" spans="1:31" x14ac:dyDescent="0.25">
      <c r="A141" s="7">
        <v>229392</v>
      </c>
      <c r="B141" s="7" t="s">
        <v>276</v>
      </c>
      <c r="C141" s="7" t="s">
        <v>272</v>
      </c>
      <c r="D141" s="7" t="s">
        <v>91</v>
      </c>
      <c r="E141" s="7" t="s">
        <v>32</v>
      </c>
      <c r="F141" s="7" t="s">
        <v>34</v>
      </c>
      <c r="G141" s="7" t="s">
        <v>32</v>
      </c>
      <c r="H141" s="7" t="s">
        <v>36</v>
      </c>
      <c r="I141" s="7" t="s">
        <v>145</v>
      </c>
      <c r="J141" s="8">
        <v>20</v>
      </c>
      <c r="K141" s="7" t="s">
        <v>36</v>
      </c>
      <c r="L141" s="8">
        <v>1</v>
      </c>
      <c r="M141" s="7" t="s">
        <v>37</v>
      </c>
      <c r="N141" s="8">
        <v>480</v>
      </c>
      <c r="O141" s="7" t="s">
        <v>32</v>
      </c>
      <c r="P141" s="8">
        <v>0</v>
      </c>
      <c r="Q141" s="9">
        <v>0.03</v>
      </c>
      <c r="R141" s="8">
        <v>0</v>
      </c>
      <c r="S141" s="7" t="s">
        <v>38</v>
      </c>
      <c r="T141" s="8">
        <v>3</v>
      </c>
      <c r="U141" s="9">
        <v>1.5</v>
      </c>
      <c r="V141" s="9">
        <v>11.5</v>
      </c>
      <c r="W141" s="9">
        <v>6.7000000000000004E-2</v>
      </c>
      <c r="X141" s="9">
        <v>9.0999999999999998E-2</v>
      </c>
      <c r="Y141" s="9">
        <v>0</v>
      </c>
      <c r="Z141" s="17">
        <v>80757474</v>
      </c>
      <c r="AA141" s="8">
        <v>570</v>
      </c>
      <c r="AB141" s="8">
        <v>60</v>
      </c>
      <c r="AC141" s="7" t="s">
        <v>146</v>
      </c>
      <c r="AD141" s="11">
        <v>480</v>
      </c>
      <c r="AE141">
        <f t="shared" si="3"/>
        <v>229392</v>
      </c>
    </row>
    <row r="142" spans="1:31" x14ac:dyDescent="0.25">
      <c r="A142" s="7">
        <v>229393</v>
      </c>
      <c r="B142" s="7" t="s">
        <v>277</v>
      </c>
      <c r="C142" s="7" t="s">
        <v>272</v>
      </c>
      <c r="D142" s="7" t="s">
        <v>91</v>
      </c>
      <c r="E142" s="7" t="s">
        <v>32</v>
      </c>
      <c r="F142" s="7" t="s">
        <v>34</v>
      </c>
      <c r="G142" s="7" t="s">
        <v>32</v>
      </c>
      <c r="H142" s="7" t="s">
        <v>36</v>
      </c>
      <c r="I142" s="7" t="s">
        <v>145</v>
      </c>
      <c r="J142" s="8">
        <v>20</v>
      </c>
      <c r="K142" s="7" t="s">
        <v>36</v>
      </c>
      <c r="L142" s="8">
        <v>1</v>
      </c>
      <c r="M142" s="7" t="s">
        <v>37</v>
      </c>
      <c r="N142" s="8">
        <v>480</v>
      </c>
      <c r="O142" s="7" t="s">
        <v>32</v>
      </c>
      <c r="P142" s="8">
        <v>0</v>
      </c>
      <c r="Q142" s="9">
        <v>0.03</v>
      </c>
      <c r="R142" s="8">
        <v>0</v>
      </c>
      <c r="S142" s="7" t="s">
        <v>38</v>
      </c>
      <c r="T142" s="8">
        <v>3</v>
      </c>
      <c r="U142" s="8">
        <v>1</v>
      </c>
      <c r="V142" s="9">
        <v>11.5</v>
      </c>
      <c r="W142" s="9">
        <v>6.7000000000000004E-2</v>
      </c>
      <c r="X142" s="9">
        <v>9.0999999999999998E-2</v>
      </c>
      <c r="Y142" s="9">
        <v>0</v>
      </c>
      <c r="Z142" s="17">
        <v>80757481</v>
      </c>
      <c r="AA142" s="8">
        <v>570</v>
      </c>
      <c r="AB142" s="8">
        <v>60</v>
      </c>
      <c r="AC142" s="7" t="s">
        <v>146</v>
      </c>
      <c r="AD142" s="11">
        <v>480</v>
      </c>
      <c r="AE142">
        <f t="shared" si="3"/>
        <v>229393</v>
      </c>
    </row>
    <row r="143" spans="1:31" x14ac:dyDescent="0.25">
      <c r="A143" s="7">
        <v>229394</v>
      </c>
      <c r="B143" s="7" t="s">
        <v>278</v>
      </c>
      <c r="C143" s="7" t="s">
        <v>269</v>
      </c>
      <c r="D143" s="7" t="s">
        <v>91</v>
      </c>
      <c r="E143" s="7" t="s">
        <v>32</v>
      </c>
      <c r="F143" s="7" t="s">
        <v>34</v>
      </c>
      <c r="G143" s="7" t="s">
        <v>32</v>
      </c>
      <c r="H143" s="7" t="s">
        <v>36</v>
      </c>
      <c r="I143" s="7" t="s">
        <v>145</v>
      </c>
      <c r="J143" s="8">
        <v>20</v>
      </c>
      <c r="K143" s="7" t="s">
        <v>36</v>
      </c>
      <c r="L143" s="8">
        <v>1</v>
      </c>
      <c r="M143" s="7" t="s">
        <v>37</v>
      </c>
      <c r="N143" s="8">
        <v>240</v>
      </c>
      <c r="O143" s="7" t="s">
        <v>32</v>
      </c>
      <c r="P143" s="8">
        <v>0</v>
      </c>
      <c r="Q143" s="9">
        <v>0.04</v>
      </c>
      <c r="R143" s="8">
        <v>0</v>
      </c>
      <c r="S143" s="7" t="s">
        <v>38</v>
      </c>
      <c r="T143" s="8">
        <v>2</v>
      </c>
      <c r="U143" s="8">
        <v>2</v>
      </c>
      <c r="V143" s="9">
        <v>10.5</v>
      </c>
      <c r="W143" s="9">
        <v>0.10299999999999999</v>
      </c>
      <c r="X143" s="9">
        <v>0.13900000000000001</v>
      </c>
      <c r="Y143" s="9">
        <v>0</v>
      </c>
      <c r="Z143" s="17">
        <v>87108781</v>
      </c>
      <c r="AA143" s="8">
        <v>540</v>
      </c>
      <c r="AB143" s="8">
        <v>60</v>
      </c>
      <c r="AC143" s="7" t="s">
        <v>146</v>
      </c>
      <c r="AD143" s="11">
        <v>240</v>
      </c>
      <c r="AE143">
        <f t="shared" si="3"/>
        <v>229394</v>
      </c>
    </row>
    <row r="144" spans="1:31" x14ac:dyDescent="0.25">
      <c r="A144" s="7">
        <v>229395</v>
      </c>
      <c r="B144" s="7" t="s">
        <v>279</v>
      </c>
      <c r="C144" s="7" t="s">
        <v>280</v>
      </c>
      <c r="D144" s="7" t="s">
        <v>91</v>
      </c>
      <c r="E144" s="7" t="s">
        <v>32</v>
      </c>
      <c r="F144" s="7" t="s">
        <v>34</v>
      </c>
      <c r="G144" s="7" t="s">
        <v>32</v>
      </c>
      <c r="H144" s="7" t="s">
        <v>36</v>
      </c>
      <c r="I144" s="7" t="s">
        <v>145</v>
      </c>
      <c r="J144" s="8">
        <v>20</v>
      </c>
      <c r="K144" s="7" t="s">
        <v>36</v>
      </c>
      <c r="L144" s="8">
        <v>1</v>
      </c>
      <c r="M144" s="7" t="s">
        <v>37</v>
      </c>
      <c r="N144" s="8">
        <v>240</v>
      </c>
      <c r="O144" s="7" t="s">
        <v>32</v>
      </c>
      <c r="P144" s="8">
        <v>0</v>
      </c>
      <c r="Q144" s="9">
        <v>0.03</v>
      </c>
      <c r="R144" s="8">
        <v>0</v>
      </c>
      <c r="S144" s="7" t="s">
        <v>38</v>
      </c>
      <c r="T144" s="8">
        <v>2</v>
      </c>
      <c r="U144" s="8">
        <v>2</v>
      </c>
      <c r="V144" s="8">
        <v>11</v>
      </c>
      <c r="W144" s="9">
        <v>0.10299999999999999</v>
      </c>
      <c r="X144" s="9">
        <v>0.13900000000000001</v>
      </c>
      <c r="Y144" s="9">
        <v>0</v>
      </c>
      <c r="Z144" s="17">
        <v>87108408</v>
      </c>
      <c r="AA144" s="8">
        <v>540</v>
      </c>
      <c r="AB144" s="8">
        <v>60</v>
      </c>
      <c r="AC144" s="7" t="s">
        <v>146</v>
      </c>
      <c r="AD144" s="11">
        <v>240</v>
      </c>
      <c r="AE144">
        <f t="shared" si="3"/>
        <v>229395</v>
      </c>
    </row>
    <row r="145" spans="1:31" x14ac:dyDescent="0.25">
      <c r="A145" s="7">
        <v>229396</v>
      </c>
      <c r="B145" s="7" t="s">
        <v>281</v>
      </c>
      <c r="C145" s="7" t="s">
        <v>280</v>
      </c>
      <c r="D145" s="7" t="s">
        <v>91</v>
      </c>
      <c r="E145" s="7" t="s">
        <v>32</v>
      </c>
      <c r="F145" s="7" t="s">
        <v>34</v>
      </c>
      <c r="G145" s="7" t="s">
        <v>32</v>
      </c>
      <c r="H145" s="7" t="s">
        <v>36</v>
      </c>
      <c r="I145" s="7" t="s">
        <v>145</v>
      </c>
      <c r="J145" s="8">
        <v>20</v>
      </c>
      <c r="K145" s="7" t="s">
        <v>36</v>
      </c>
      <c r="L145" s="8">
        <v>1</v>
      </c>
      <c r="M145" s="7" t="s">
        <v>37</v>
      </c>
      <c r="N145" s="8">
        <v>240</v>
      </c>
      <c r="O145" s="7" t="s">
        <v>32</v>
      </c>
      <c r="P145" s="8">
        <v>0</v>
      </c>
      <c r="Q145" s="9">
        <v>9.2200000000000006</v>
      </c>
      <c r="R145" s="8">
        <v>0</v>
      </c>
      <c r="S145" s="7" t="s">
        <v>38</v>
      </c>
      <c r="T145" s="9">
        <v>30.5</v>
      </c>
      <c r="U145" s="9">
        <v>20.2</v>
      </c>
      <c r="V145" s="9">
        <v>10.7</v>
      </c>
      <c r="W145" s="9">
        <v>0.10299999999999999</v>
      </c>
      <c r="X145" s="9">
        <v>0.13900000000000001</v>
      </c>
      <c r="Y145" s="9">
        <v>0</v>
      </c>
      <c r="Z145" s="17">
        <v>87108415</v>
      </c>
      <c r="AA145" s="8">
        <v>540</v>
      </c>
      <c r="AB145" s="8">
        <v>60</v>
      </c>
      <c r="AC145" s="7" t="s">
        <v>146</v>
      </c>
      <c r="AD145" s="11">
        <v>240</v>
      </c>
      <c r="AE145">
        <f t="shared" si="3"/>
        <v>229396</v>
      </c>
    </row>
    <row r="146" spans="1:31" x14ac:dyDescent="0.25">
      <c r="A146" s="7">
        <v>229397</v>
      </c>
      <c r="B146" s="7" t="s">
        <v>282</v>
      </c>
      <c r="C146" s="7" t="s">
        <v>280</v>
      </c>
      <c r="D146" s="7" t="s">
        <v>91</v>
      </c>
      <c r="E146" s="7" t="s">
        <v>32</v>
      </c>
      <c r="F146" s="7" t="s">
        <v>34</v>
      </c>
      <c r="G146" s="7" t="s">
        <v>32</v>
      </c>
      <c r="H146" s="7" t="s">
        <v>36</v>
      </c>
      <c r="I146" s="7" t="s">
        <v>145</v>
      </c>
      <c r="J146" s="8">
        <v>20</v>
      </c>
      <c r="K146" s="7" t="s">
        <v>36</v>
      </c>
      <c r="L146" s="8">
        <v>1</v>
      </c>
      <c r="M146" s="7" t="s">
        <v>37</v>
      </c>
      <c r="N146" s="8">
        <v>240</v>
      </c>
      <c r="O146" s="7" t="s">
        <v>32</v>
      </c>
      <c r="P146" s="8">
        <v>0</v>
      </c>
      <c r="Q146" s="9">
        <v>0.04</v>
      </c>
      <c r="R146" s="8">
        <v>0</v>
      </c>
      <c r="S146" s="7" t="s">
        <v>38</v>
      </c>
      <c r="T146" s="9">
        <v>10.5</v>
      </c>
      <c r="U146" s="8">
        <v>2</v>
      </c>
      <c r="V146" s="8">
        <v>2</v>
      </c>
      <c r="W146" s="9">
        <v>0.10299999999999999</v>
      </c>
      <c r="X146" s="9">
        <v>0.13900000000000001</v>
      </c>
      <c r="Y146" s="9">
        <v>0</v>
      </c>
      <c r="Z146" s="17">
        <v>87108422</v>
      </c>
      <c r="AA146" s="8">
        <v>540</v>
      </c>
      <c r="AB146" s="8">
        <v>60</v>
      </c>
      <c r="AC146" s="7" t="s">
        <v>146</v>
      </c>
      <c r="AD146" s="11">
        <v>240</v>
      </c>
      <c r="AE146">
        <f t="shared" si="3"/>
        <v>229397</v>
      </c>
    </row>
    <row r="147" spans="1:31" x14ac:dyDescent="0.25">
      <c r="A147" s="7">
        <v>234075</v>
      </c>
      <c r="B147" s="7" t="s">
        <v>283</v>
      </c>
      <c r="C147" s="7" t="s">
        <v>232</v>
      </c>
      <c r="D147" s="7" t="s">
        <v>91</v>
      </c>
      <c r="E147" s="7" t="s">
        <v>32</v>
      </c>
      <c r="F147" s="7" t="s">
        <v>34</v>
      </c>
      <c r="G147" s="7" t="s">
        <v>32</v>
      </c>
      <c r="H147" s="7" t="s">
        <v>36</v>
      </c>
      <c r="I147" s="7" t="s">
        <v>145</v>
      </c>
      <c r="J147" s="8">
        <v>12</v>
      </c>
      <c r="K147" s="7" t="s">
        <v>36</v>
      </c>
      <c r="L147" s="8">
        <v>1</v>
      </c>
      <c r="M147" s="7" t="s">
        <v>37</v>
      </c>
      <c r="N147" s="8">
        <v>96</v>
      </c>
      <c r="O147" s="7" t="s">
        <v>32</v>
      </c>
      <c r="P147" s="8">
        <v>0</v>
      </c>
      <c r="Q147" s="9">
        <v>0.08</v>
      </c>
      <c r="R147" s="8">
        <v>0</v>
      </c>
      <c r="S147" s="7" t="s">
        <v>38</v>
      </c>
      <c r="T147" s="8">
        <v>13</v>
      </c>
      <c r="U147" s="8">
        <v>2</v>
      </c>
      <c r="V147" s="8">
        <v>17</v>
      </c>
      <c r="W147" s="9">
        <v>0.16800000000000001</v>
      </c>
      <c r="X147" s="9">
        <v>0.22600000000000001</v>
      </c>
      <c r="Y147" s="9">
        <v>0</v>
      </c>
      <c r="Z147" s="17">
        <v>8901393017076</v>
      </c>
      <c r="AA147" s="8">
        <v>540</v>
      </c>
      <c r="AB147" s="8">
        <v>90</v>
      </c>
      <c r="AC147" s="7" t="s">
        <v>146</v>
      </c>
      <c r="AD147" s="11">
        <v>96</v>
      </c>
      <c r="AE147">
        <f t="shared" si="3"/>
        <v>234075</v>
      </c>
    </row>
    <row r="148" spans="1:31" x14ac:dyDescent="0.25">
      <c r="A148" s="7">
        <v>248449</v>
      </c>
      <c r="B148" s="7" t="s">
        <v>284</v>
      </c>
      <c r="C148" s="7" t="s">
        <v>256</v>
      </c>
      <c r="D148" s="7" t="s">
        <v>32</v>
      </c>
      <c r="E148" s="7" t="s">
        <v>32</v>
      </c>
      <c r="F148" s="7" t="s">
        <v>34</v>
      </c>
      <c r="G148" s="7" t="s">
        <v>32</v>
      </c>
      <c r="H148" s="7" t="s">
        <v>36</v>
      </c>
      <c r="I148" s="7" t="s">
        <v>145</v>
      </c>
      <c r="J148" s="8">
        <v>15</v>
      </c>
      <c r="K148" s="7" t="s">
        <v>36</v>
      </c>
      <c r="L148" s="8">
        <v>1</v>
      </c>
      <c r="M148" s="7" t="s">
        <v>37</v>
      </c>
      <c r="N148" s="8">
        <v>120</v>
      </c>
      <c r="O148" s="7" t="s">
        <v>32</v>
      </c>
      <c r="P148" s="8">
        <v>0</v>
      </c>
      <c r="Q148" s="9">
        <v>1.05</v>
      </c>
      <c r="R148" s="8">
        <v>0</v>
      </c>
      <c r="S148" s="7" t="s">
        <v>38</v>
      </c>
      <c r="T148" s="8">
        <v>6</v>
      </c>
      <c r="U148" s="8">
        <v>3</v>
      </c>
      <c r="V148" s="8">
        <v>9</v>
      </c>
      <c r="W148" s="9">
        <v>0.14399999999999999</v>
      </c>
      <c r="X148" s="9">
        <v>0.2</v>
      </c>
      <c r="Y148" s="9">
        <v>0</v>
      </c>
      <c r="Z148" s="17">
        <v>8906009399713</v>
      </c>
      <c r="AA148" s="8">
        <v>1095</v>
      </c>
      <c r="AB148" s="8">
        <v>45</v>
      </c>
      <c r="AC148" s="7" t="s">
        <v>257</v>
      </c>
      <c r="AD148" s="11">
        <v>120</v>
      </c>
      <c r="AE148">
        <f t="shared" si="3"/>
        <v>248449</v>
      </c>
    </row>
    <row r="149" spans="1:31" x14ac:dyDescent="0.25">
      <c r="A149" s="7">
        <v>248450</v>
      </c>
      <c r="B149" s="7" t="s">
        <v>285</v>
      </c>
      <c r="C149" s="7" t="s">
        <v>256</v>
      </c>
      <c r="D149" s="7" t="s">
        <v>32</v>
      </c>
      <c r="E149" s="7" t="s">
        <v>32</v>
      </c>
      <c r="F149" s="7" t="s">
        <v>34</v>
      </c>
      <c r="G149" s="7" t="s">
        <v>32</v>
      </c>
      <c r="H149" s="7" t="s">
        <v>36</v>
      </c>
      <c r="I149" s="7" t="s">
        <v>145</v>
      </c>
      <c r="J149" s="8">
        <v>15</v>
      </c>
      <c r="K149" s="7" t="s">
        <v>36</v>
      </c>
      <c r="L149" s="8">
        <v>1</v>
      </c>
      <c r="M149" s="7" t="s">
        <v>37</v>
      </c>
      <c r="N149" s="8">
        <v>120</v>
      </c>
      <c r="O149" s="7" t="s">
        <v>32</v>
      </c>
      <c r="P149" s="8">
        <v>0</v>
      </c>
      <c r="Q149" s="9">
        <v>1.05</v>
      </c>
      <c r="R149" s="8">
        <v>0</v>
      </c>
      <c r="S149" s="7" t="s">
        <v>38</v>
      </c>
      <c r="T149" s="8">
        <v>6</v>
      </c>
      <c r="U149" s="8">
        <v>3</v>
      </c>
      <c r="V149" s="8">
        <v>9</v>
      </c>
      <c r="W149" s="9">
        <v>9.6000000000000002E-2</v>
      </c>
      <c r="X149" s="9">
        <v>0.45</v>
      </c>
      <c r="Y149" s="9">
        <v>0</v>
      </c>
      <c r="Z149" s="17">
        <v>8906009399812</v>
      </c>
      <c r="AA149" s="8">
        <v>1095</v>
      </c>
      <c r="AB149" s="8">
        <v>45</v>
      </c>
      <c r="AC149" s="7" t="s">
        <v>257</v>
      </c>
      <c r="AD149" s="11">
        <v>120</v>
      </c>
      <c r="AE149">
        <f t="shared" si="3"/>
        <v>248450</v>
      </c>
    </row>
    <row r="150" spans="1:31" x14ac:dyDescent="0.25">
      <c r="A150" s="7">
        <v>252465</v>
      </c>
      <c r="B150" s="7" t="s">
        <v>286</v>
      </c>
      <c r="C150" s="7" t="s">
        <v>256</v>
      </c>
      <c r="D150" s="7" t="s">
        <v>32</v>
      </c>
      <c r="E150" s="7" t="s">
        <v>32</v>
      </c>
      <c r="F150" s="7" t="s">
        <v>34</v>
      </c>
      <c r="G150" s="7" t="s">
        <v>32</v>
      </c>
      <c r="H150" s="7" t="s">
        <v>36</v>
      </c>
      <c r="I150" s="7" t="s">
        <v>36</v>
      </c>
      <c r="J150" s="8">
        <v>1</v>
      </c>
      <c r="K150" s="7" t="s">
        <v>37</v>
      </c>
      <c r="L150" s="8">
        <v>216</v>
      </c>
      <c r="M150" s="7" t="s">
        <v>32</v>
      </c>
      <c r="N150" s="8">
        <v>0</v>
      </c>
      <c r="O150" s="7" t="s">
        <v>32</v>
      </c>
      <c r="P150" s="8">
        <v>0</v>
      </c>
      <c r="Q150" s="9">
        <v>0.08</v>
      </c>
      <c r="R150" s="8">
        <v>0</v>
      </c>
      <c r="S150" s="7" t="s">
        <v>38</v>
      </c>
      <c r="T150" s="8">
        <v>9</v>
      </c>
      <c r="U150" s="8">
        <v>3</v>
      </c>
      <c r="V150" s="8">
        <v>6</v>
      </c>
      <c r="W150" s="9">
        <v>0.13200000000000001</v>
      </c>
      <c r="X150" s="9">
        <v>0.3</v>
      </c>
      <c r="Y150" s="9">
        <v>0</v>
      </c>
      <c r="Z150" s="17">
        <v>8906009372310</v>
      </c>
      <c r="AA150" s="8">
        <v>1095</v>
      </c>
      <c r="AB150" s="8">
        <v>45</v>
      </c>
      <c r="AC150" s="7" t="s">
        <v>257</v>
      </c>
      <c r="AD150" s="11">
        <v>216</v>
      </c>
      <c r="AE150">
        <f t="shared" si="3"/>
        <v>252465</v>
      </c>
    </row>
    <row r="151" spans="1:31" x14ac:dyDescent="0.25">
      <c r="A151" s="7">
        <v>252583</v>
      </c>
      <c r="B151" s="7" t="s">
        <v>287</v>
      </c>
      <c r="C151" s="7" t="s">
        <v>143</v>
      </c>
      <c r="D151" s="7" t="s">
        <v>91</v>
      </c>
      <c r="E151" s="7" t="s">
        <v>32</v>
      </c>
      <c r="F151" s="7" t="s">
        <v>34</v>
      </c>
      <c r="G151" s="7" t="s">
        <v>32</v>
      </c>
      <c r="H151" s="7" t="s">
        <v>36</v>
      </c>
      <c r="I151" s="7" t="s">
        <v>145</v>
      </c>
      <c r="J151" s="8">
        <v>6</v>
      </c>
      <c r="K151" s="7" t="s">
        <v>36</v>
      </c>
      <c r="L151" s="8">
        <v>1</v>
      </c>
      <c r="M151" s="7" t="s">
        <v>37</v>
      </c>
      <c r="N151" s="8">
        <v>36</v>
      </c>
      <c r="O151" s="7" t="s">
        <v>32</v>
      </c>
      <c r="P151" s="8">
        <v>0</v>
      </c>
      <c r="Q151" s="9">
        <v>0.11</v>
      </c>
      <c r="R151" s="8">
        <v>0</v>
      </c>
      <c r="S151" s="7" t="s">
        <v>38</v>
      </c>
      <c r="T151" s="9">
        <v>5.5</v>
      </c>
      <c r="U151" s="9">
        <v>5.5</v>
      </c>
      <c r="V151" s="9">
        <v>9.5</v>
      </c>
      <c r="W151" s="9">
        <v>0.85699999999999998</v>
      </c>
      <c r="X151" s="9">
        <v>1.1459999999999999</v>
      </c>
      <c r="Y151" s="9">
        <v>0</v>
      </c>
      <c r="Z151" s="17">
        <v>8935001724087</v>
      </c>
      <c r="AA151" s="8">
        <v>540</v>
      </c>
      <c r="AB151" s="8">
        <v>60</v>
      </c>
      <c r="AC151" s="7" t="s">
        <v>146</v>
      </c>
      <c r="AD151" s="11">
        <v>36</v>
      </c>
      <c r="AE151">
        <f t="shared" si="3"/>
        <v>252583</v>
      </c>
    </row>
    <row r="152" spans="1:31" x14ac:dyDescent="0.25">
      <c r="A152" s="7">
        <v>252584</v>
      </c>
      <c r="B152" s="7" t="s">
        <v>288</v>
      </c>
      <c r="C152" s="7" t="s">
        <v>143</v>
      </c>
      <c r="D152" s="7" t="s">
        <v>91</v>
      </c>
      <c r="E152" s="7" t="s">
        <v>32</v>
      </c>
      <c r="F152" s="7" t="s">
        <v>34</v>
      </c>
      <c r="G152" s="7" t="s">
        <v>32</v>
      </c>
      <c r="H152" s="7" t="s">
        <v>36</v>
      </c>
      <c r="I152" s="7" t="s">
        <v>145</v>
      </c>
      <c r="J152" s="8">
        <v>6</v>
      </c>
      <c r="K152" s="7" t="s">
        <v>36</v>
      </c>
      <c r="L152" s="8">
        <v>1</v>
      </c>
      <c r="M152" s="7" t="s">
        <v>37</v>
      </c>
      <c r="N152" s="8">
        <v>36</v>
      </c>
      <c r="O152" s="7" t="s">
        <v>32</v>
      </c>
      <c r="P152" s="8">
        <v>0</v>
      </c>
      <c r="Q152" s="9">
        <v>0.11</v>
      </c>
      <c r="R152" s="8">
        <v>0</v>
      </c>
      <c r="S152" s="7" t="s">
        <v>38</v>
      </c>
      <c r="T152" s="8">
        <v>6</v>
      </c>
      <c r="U152" s="8">
        <v>6</v>
      </c>
      <c r="V152" s="8">
        <v>10</v>
      </c>
      <c r="W152" s="9">
        <v>0.85699999999999998</v>
      </c>
      <c r="X152" s="9">
        <v>1.1459999999999999</v>
      </c>
      <c r="Y152" s="9">
        <v>0</v>
      </c>
      <c r="Z152" s="17">
        <v>8935001724063</v>
      </c>
      <c r="AA152" s="8">
        <v>540</v>
      </c>
      <c r="AB152" s="8">
        <v>60</v>
      </c>
      <c r="AC152" s="7" t="s">
        <v>146</v>
      </c>
      <c r="AD152" s="11">
        <v>36</v>
      </c>
      <c r="AE152">
        <f t="shared" si="3"/>
        <v>252584</v>
      </c>
    </row>
    <row r="153" spans="1:31" x14ac:dyDescent="0.25">
      <c r="A153" s="7">
        <v>255031</v>
      </c>
      <c r="B153" s="7" t="s">
        <v>289</v>
      </c>
      <c r="C153" s="7" t="s">
        <v>44</v>
      </c>
      <c r="D153" s="7" t="s">
        <v>32</v>
      </c>
      <c r="E153" s="7" t="s">
        <v>32</v>
      </c>
      <c r="F153" s="7" t="s">
        <v>34</v>
      </c>
      <c r="G153" s="7" t="s">
        <v>32</v>
      </c>
      <c r="H153" s="7" t="s">
        <v>36</v>
      </c>
      <c r="I153" s="7" t="s">
        <v>36</v>
      </c>
      <c r="J153" s="8">
        <v>1</v>
      </c>
      <c r="K153" s="7" t="s">
        <v>37</v>
      </c>
      <c r="L153" s="8">
        <v>24</v>
      </c>
      <c r="M153" s="7" t="s">
        <v>32</v>
      </c>
      <c r="N153" s="8">
        <v>0</v>
      </c>
      <c r="O153" s="7" t="s">
        <v>32</v>
      </c>
      <c r="P153" s="8">
        <v>0</v>
      </c>
      <c r="Q153" s="9">
        <v>0.41</v>
      </c>
      <c r="R153" s="8">
        <v>0</v>
      </c>
      <c r="S153" s="7" t="s">
        <v>38</v>
      </c>
      <c r="T153" s="8">
        <v>8</v>
      </c>
      <c r="U153" s="8">
        <v>8</v>
      </c>
      <c r="V153" s="8">
        <v>11</v>
      </c>
      <c r="W153" s="9">
        <v>0.31</v>
      </c>
      <c r="X153" s="9">
        <v>0.46200000000000002</v>
      </c>
      <c r="Y153" s="9">
        <v>0</v>
      </c>
      <c r="Z153" s="17">
        <v>24000104209</v>
      </c>
      <c r="AA153" s="8">
        <v>729</v>
      </c>
      <c r="AB153" s="8">
        <v>90</v>
      </c>
      <c r="AC153" s="7" t="s">
        <v>47</v>
      </c>
      <c r="AD153" s="11">
        <v>24</v>
      </c>
      <c r="AE153">
        <f t="shared" si="3"/>
        <v>255031</v>
      </c>
    </row>
    <row r="154" spans="1:31" x14ac:dyDescent="0.25">
      <c r="A154" s="7">
        <v>255466</v>
      </c>
      <c r="B154" s="7" t="s">
        <v>290</v>
      </c>
      <c r="C154" s="7" t="s">
        <v>232</v>
      </c>
      <c r="D154" s="7" t="s">
        <v>91</v>
      </c>
      <c r="E154" s="7" t="s">
        <v>32</v>
      </c>
      <c r="F154" s="7" t="s">
        <v>34</v>
      </c>
      <c r="G154" s="7" t="s">
        <v>32</v>
      </c>
      <c r="H154" s="7" t="s">
        <v>36</v>
      </c>
      <c r="I154" s="7" t="s">
        <v>145</v>
      </c>
      <c r="J154" s="8">
        <v>20</v>
      </c>
      <c r="K154" s="7" t="s">
        <v>36</v>
      </c>
      <c r="L154" s="8">
        <v>1</v>
      </c>
      <c r="M154" s="7" t="s">
        <v>37</v>
      </c>
      <c r="N154" s="8">
        <v>200</v>
      </c>
      <c r="O154" s="7" t="s">
        <v>32</v>
      </c>
      <c r="P154" s="8">
        <v>0</v>
      </c>
      <c r="Q154" s="9">
        <v>0.25</v>
      </c>
      <c r="R154" s="8">
        <v>0</v>
      </c>
      <c r="S154" s="7" t="s">
        <v>38</v>
      </c>
      <c r="T154" s="8">
        <v>32</v>
      </c>
      <c r="U154" s="8">
        <v>8</v>
      </c>
      <c r="V154" s="8">
        <v>32</v>
      </c>
      <c r="W154" s="9">
        <v>6.2E-2</v>
      </c>
      <c r="X154" s="9">
        <v>8.3000000000000004E-2</v>
      </c>
      <c r="Y154" s="9">
        <v>0</v>
      </c>
      <c r="Z154" s="17">
        <v>8901393017106</v>
      </c>
      <c r="AA154" s="8">
        <v>540</v>
      </c>
      <c r="AB154" s="8">
        <v>90</v>
      </c>
      <c r="AC154" s="7" t="s">
        <v>146</v>
      </c>
      <c r="AD154" s="11">
        <v>200</v>
      </c>
      <c r="AE154">
        <f t="shared" si="3"/>
        <v>255466</v>
      </c>
    </row>
    <row r="155" spans="1:31" x14ac:dyDescent="0.25">
      <c r="A155" s="7">
        <v>255467</v>
      </c>
      <c r="B155" s="7" t="s">
        <v>291</v>
      </c>
      <c r="C155" s="7" t="s">
        <v>232</v>
      </c>
      <c r="D155" s="7" t="s">
        <v>91</v>
      </c>
      <c r="E155" s="7" t="s">
        <v>32</v>
      </c>
      <c r="F155" s="7" t="s">
        <v>34</v>
      </c>
      <c r="G155" s="7" t="s">
        <v>32</v>
      </c>
      <c r="H155" s="7" t="s">
        <v>36</v>
      </c>
      <c r="I155" s="7" t="s">
        <v>145</v>
      </c>
      <c r="J155" s="8">
        <v>12</v>
      </c>
      <c r="K155" s="7" t="s">
        <v>36</v>
      </c>
      <c r="L155" s="8">
        <v>1</v>
      </c>
      <c r="M155" s="7" t="s">
        <v>37</v>
      </c>
      <c r="N155" s="8">
        <v>72</v>
      </c>
      <c r="O155" s="7" t="s">
        <v>32</v>
      </c>
      <c r="P155" s="8">
        <v>0</v>
      </c>
      <c r="Q155" s="9">
        <v>0.09</v>
      </c>
      <c r="R155" s="8">
        <v>0</v>
      </c>
      <c r="S155" s="7" t="s">
        <v>38</v>
      </c>
      <c r="T155" s="8">
        <v>12</v>
      </c>
      <c r="U155" s="8">
        <v>3</v>
      </c>
      <c r="V155" s="8">
        <v>18</v>
      </c>
      <c r="W155" s="9">
        <v>0.30399999999999999</v>
      </c>
      <c r="X155" s="9">
        <v>0.41099999999999998</v>
      </c>
      <c r="Y155" s="9">
        <v>0</v>
      </c>
      <c r="Z155" s="17">
        <v>8901393017137</v>
      </c>
      <c r="AA155" s="8">
        <v>459</v>
      </c>
      <c r="AB155" s="8">
        <v>90</v>
      </c>
      <c r="AC155" s="7" t="s">
        <v>146</v>
      </c>
      <c r="AD155" s="11">
        <v>72</v>
      </c>
      <c r="AE155">
        <f t="shared" si="3"/>
        <v>255467</v>
      </c>
    </row>
    <row r="156" spans="1:31" x14ac:dyDescent="0.25">
      <c r="A156" s="7">
        <v>256823</v>
      </c>
      <c r="B156" s="7" t="s">
        <v>292</v>
      </c>
      <c r="C156" s="7" t="s">
        <v>256</v>
      </c>
      <c r="D156" s="7" t="s">
        <v>32</v>
      </c>
      <c r="E156" s="7" t="s">
        <v>32</v>
      </c>
      <c r="F156" s="7" t="s">
        <v>86</v>
      </c>
      <c r="G156" s="7" t="s">
        <v>32</v>
      </c>
      <c r="H156" s="7" t="s">
        <v>87</v>
      </c>
      <c r="I156" s="7" t="s">
        <v>37</v>
      </c>
      <c r="J156" s="8">
        <v>36</v>
      </c>
      <c r="K156" s="7" t="s">
        <v>87</v>
      </c>
      <c r="L156" s="8">
        <v>1</v>
      </c>
      <c r="M156" s="7" t="s">
        <v>32</v>
      </c>
      <c r="N156" s="8">
        <v>0</v>
      </c>
      <c r="O156" s="7" t="s">
        <v>32</v>
      </c>
      <c r="P156" s="8">
        <v>0</v>
      </c>
      <c r="Q156" s="9">
        <v>0.49</v>
      </c>
      <c r="R156" s="8">
        <v>0</v>
      </c>
      <c r="S156" s="7" t="s">
        <v>38</v>
      </c>
      <c r="T156" s="8">
        <v>9</v>
      </c>
      <c r="U156" s="8">
        <v>6</v>
      </c>
      <c r="V156" s="8">
        <v>18</v>
      </c>
      <c r="W156" s="9">
        <v>0.47799999999999998</v>
      </c>
      <c r="X156" s="9">
        <v>0.65</v>
      </c>
      <c r="Y156" s="9">
        <v>0</v>
      </c>
      <c r="Z156" s="17">
        <v>1800000008421</v>
      </c>
      <c r="AA156" s="8">
        <v>1080</v>
      </c>
      <c r="AB156" s="8">
        <v>30</v>
      </c>
      <c r="AC156" s="7" t="s">
        <v>257</v>
      </c>
      <c r="AD156" s="11">
        <v>36</v>
      </c>
      <c r="AE156">
        <f t="shared" si="3"/>
        <v>256823</v>
      </c>
    </row>
    <row r="157" spans="1:31" x14ac:dyDescent="0.25">
      <c r="A157" s="7">
        <v>261694</v>
      </c>
      <c r="B157" s="7" t="s">
        <v>293</v>
      </c>
      <c r="C157" s="7" t="s">
        <v>256</v>
      </c>
      <c r="D157" s="7" t="s">
        <v>32</v>
      </c>
      <c r="E157" s="7" t="s">
        <v>32</v>
      </c>
      <c r="F157" s="7" t="s">
        <v>86</v>
      </c>
      <c r="G157" s="7" t="s">
        <v>32</v>
      </c>
      <c r="H157" s="7" t="s">
        <v>87</v>
      </c>
      <c r="I157" s="7" t="s">
        <v>37</v>
      </c>
      <c r="J157" s="8">
        <v>20</v>
      </c>
      <c r="K157" s="7" t="s">
        <v>87</v>
      </c>
      <c r="L157" s="8">
        <v>1</v>
      </c>
      <c r="M157" s="7" t="s">
        <v>32</v>
      </c>
      <c r="N157" s="8">
        <v>0</v>
      </c>
      <c r="O157" s="7" t="s">
        <v>32</v>
      </c>
      <c r="P157" s="8">
        <v>0</v>
      </c>
      <c r="Q157" s="9">
        <v>1.05</v>
      </c>
      <c r="R157" s="8">
        <v>0</v>
      </c>
      <c r="S157" s="7" t="s">
        <v>38</v>
      </c>
      <c r="T157" s="8">
        <v>6</v>
      </c>
      <c r="U157" s="8">
        <v>3</v>
      </c>
      <c r="V157" s="8">
        <v>9</v>
      </c>
      <c r="W157" s="9">
        <v>0.73</v>
      </c>
      <c r="X157" s="9">
        <v>0.85</v>
      </c>
      <c r="Y157" s="9">
        <v>0</v>
      </c>
      <c r="Z157" s="17">
        <v>1800000009381</v>
      </c>
      <c r="AA157" s="8">
        <v>1095</v>
      </c>
      <c r="AB157" s="8">
        <v>45</v>
      </c>
      <c r="AC157" s="7" t="s">
        <v>257</v>
      </c>
      <c r="AD157" s="11">
        <v>20</v>
      </c>
      <c r="AE157">
        <f t="shared" si="3"/>
        <v>261694</v>
      </c>
    </row>
    <row r="158" spans="1:31" x14ac:dyDescent="0.25">
      <c r="A158" s="7">
        <v>261711</v>
      </c>
      <c r="B158" s="7" t="s">
        <v>294</v>
      </c>
      <c r="C158" s="7" t="s">
        <v>196</v>
      </c>
      <c r="D158" s="7" t="s">
        <v>32</v>
      </c>
      <c r="E158" s="7" t="s">
        <v>32</v>
      </c>
      <c r="F158" s="7" t="s">
        <v>34</v>
      </c>
      <c r="G158" s="7" t="s">
        <v>32</v>
      </c>
      <c r="H158" s="7" t="s">
        <v>36</v>
      </c>
      <c r="I158" s="7" t="s">
        <v>36</v>
      </c>
      <c r="J158" s="8">
        <v>1</v>
      </c>
      <c r="K158" s="7" t="s">
        <v>37</v>
      </c>
      <c r="L158" s="8">
        <v>12</v>
      </c>
      <c r="M158" s="7" t="s">
        <v>32</v>
      </c>
      <c r="N158" s="8">
        <v>0</v>
      </c>
      <c r="O158" s="7" t="s">
        <v>32</v>
      </c>
      <c r="P158" s="8">
        <v>0</v>
      </c>
      <c r="Q158" s="9">
        <v>0.23</v>
      </c>
      <c r="R158" s="8">
        <v>0</v>
      </c>
      <c r="S158" s="7" t="s">
        <v>38</v>
      </c>
      <c r="T158" s="8">
        <v>6</v>
      </c>
      <c r="U158" s="8">
        <v>6</v>
      </c>
      <c r="V158" s="8">
        <v>7</v>
      </c>
      <c r="W158" s="9">
        <v>0.34899999999999998</v>
      </c>
      <c r="X158" s="9">
        <v>0.45600000000000002</v>
      </c>
      <c r="Y158" s="9">
        <v>0</v>
      </c>
      <c r="Z158" s="17">
        <v>8690504550723</v>
      </c>
      <c r="AA158" s="8">
        <v>540</v>
      </c>
      <c r="AB158" s="8">
        <v>45</v>
      </c>
      <c r="AC158" s="7" t="s">
        <v>182</v>
      </c>
      <c r="AD158" s="11">
        <v>12</v>
      </c>
      <c r="AE158">
        <f t="shared" si="3"/>
        <v>261711</v>
      </c>
    </row>
    <row r="159" spans="1:31" x14ac:dyDescent="0.25">
      <c r="A159" s="7">
        <v>268317</v>
      </c>
      <c r="B159" s="7" t="s">
        <v>295</v>
      </c>
      <c r="C159" s="7" t="s">
        <v>108</v>
      </c>
      <c r="D159" s="7" t="s">
        <v>91</v>
      </c>
      <c r="E159" s="7" t="s">
        <v>32</v>
      </c>
      <c r="F159" s="7" t="s">
        <v>34</v>
      </c>
      <c r="G159" s="7" t="s">
        <v>32</v>
      </c>
      <c r="H159" s="7" t="s">
        <v>36</v>
      </c>
      <c r="I159" s="7" t="s">
        <v>36</v>
      </c>
      <c r="J159" s="8">
        <v>1</v>
      </c>
      <c r="K159" s="7" t="s">
        <v>37</v>
      </c>
      <c r="L159" s="8">
        <v>8</v>
      </c>
      <c r="M159" s="7" t="s">
        <v>38</v>
      </c>
      <c r="N159" s="8">
        <v>1389</v>
      </c>
      <c r="O159" s="7" t="s">
        <v>93</v>
      </c>
      <c r="P159" s="8">
        <v>1389</v>
      </c>
      <c r="Q159" s="9">
        <v>0.78</v>
      </c>
      <c r="R159" s="8">
        <v>0</v>
      </c>
      <c r="S159" s="7" t="s">
        <v>38</v>
      </c>
      <c r="T159" s="8">
        <v>11</v>
      </c>
      <c r="U159" s="8">
        <v>11</v>
      </c>
      <c r="V159" s="9">
        <v>10.5</v>
      </c>
      <c r="W159" s="9">
        <v>2.2679999999999998</v>
      </c>
      <c r="X159" s="9">
        <v>2.7490000000000001</v>
      </c>
      <c r="Y159" s="9">
        <v>0</v>
      </c>
      <c r="Z159" s="17">
        <v>3073781048957</v>
      </c>
      <c r="AA159" s="8">
        <v>288</v>
      </c>
      <c r="AB159" s="8">
        <v>45</v>
      </c>
      <c r="AC159" s="7" t="s">
        <v>94</v>
      </c>
      <c r="AD159" s="11">
        <v>8</v>
      </c>
      <c r="AE159">
        <f t="shared" si="3"/>
        <v>268317</v>
      </c>
    </row>
    <row r="160" spans="1:31" x14ac:dyDescent="0.25">
      <c r="A160" s="7">
        <v>269087</v>
      </c>
      <c r="B160" s="7" t="s">
        <v>296</v>
      </c>
      <c r="C160" s="7" t="s">
        <v>280</v>
      </c>
      <c r="D160" s="7" t="s">
        <v>91</v>
      </c>
      <c r="E160" s="7" t="s">
        <v>32</v>
      </c>
      <c r="F160" s="7" t="s">
        <v>34</v>
      </c>
      <c r="G160" s="7" t="s">
        <v>297</v>
      </c>
      <c r="H160" s="7" t="s">
        <v>36</v>
      </c>
      <c r="I160" s="7" t="s">
        <v>145</v>
      </c>
      <c r="J160" s="8">
        <v>20</v>
      </c>
      <c r="K160" s="7" t="s">
        <v>36</v>
      </c>
      <c r="L160" s="8">
        <v>1</v>
      </c>
      <c r="M160" s="7" t="s">
        <v>37</v>
      </c>
      <c r="N160" s="8">
        <v>240</v>
      </c>
      <c r="O160" s="7" t="s">
        <v>32</v>
      </c>
      <c r="P160" s="8">
        <v>0</v>
      </c>
      <c r="Q160" s="9">
        <v>0.74</v>
      </c>
      <c r="R160" s="8">
        <v>0</v>
      </c>
      <c r="S160" s="7" t="s">
        <v>38</v>
      </c>
      <c r="T160" s="8">
        <v>20</v>
      </c>
      <c r="U160" s="9">
        <v>10.1</v>
      </c>
      <c r="V160" s="8">
        <v>4</v>
      </c>
      <c r="W160" s="9">
        <v>0.104</v>
      </c>
      <c r="X160" s="9">
        <v>0.14000000000000001</v>
      </c>
      <c r="Y160" s="9">
        <v>0</v>
      </c>
      <c r="Z160" s="17">
        <v>6921211114338</v>
      </c>
      <c r="AA160" s="8">
        <v>540</v>
      </c>
      <c r="AB160" s="8">
        <v>45</v>
      </c>
      <c r="AC160" s="7" t="s">
        <v>146</v>
      </c>
      <c r="AD160" s="11">
        <v>240</v>
      </c>
      <c r="AE160">
        <f t="shared" si="3"/>
        <v>269087</v>
      </c>
    </row>
    <row r="161" spans="1:31" x14ac:dyDescent="0.25">
      <c r="A161" s="7">
        <v>269088</v>
      </c>
      <c r="B161" s="7" t="s">
        <v>298</v>
      </c>
      <c r="C161" s="7" t="s">
        <v>280</v>
      </c>
      <c r="D161" s="7" t="s">
        <v>91</v>
      </c>
      <c r="E161" s="7" t="s">
        <v>32</v>
      </c>
      <c r="F161" s="7" t="s">
        <v>34</v>
      </c>
      <c r="G161" s="7" t="s">
        <v>299</v>
      </c>
      <c r="H161" s="7" t="s">
        <v>36</v>
      </c>
      <c r="I161" s="7" t="s">
        <v>145</v>
      </c>
      <c r="J161" s="8">
        <v>20</v>
      </c>
      <c r="K161" s="7" t="s">
        <v>36</v>
      </c>
      <c r="L161" s="8">
        <v>1</v>
      </c>
      <c r="M161" s="7" t="s">
        <v>37</v>
      </c>
      <c r="N161" s="8">
        <v>240</v>
      </c>
      <c r="O161" s="7" t="s">
        <v>32</v>
      </c>
      <c r="P161" s="8">
        <v>0</v>
      </c>
      <c r="Q161" s="9">
        <v>0.04</v>
      </c>
      <c r="R161" s="8">
        <v>0</v>
      </c>
      <c r="S161" s="7" t="s">
        <v>38</v>
      </c>
      <c r="T161" s="8">
        <v>2</v>
      </c>
      <c r="U161" s="8">
        <v>2</v>
      </c>
      <c r="V161" s="9">
        <v>10.5</v>
      </c>
      <c r="W161" s="9">
        <v>0.104</v>
      </c>
      <c r="X161" s="9">
        <v>0.14000000000000001</v>
      </c>
      <c r="Y161" s="9">
        <v>0</v>
      </c>
      <c r="Z161" s="17">
        <v>6921211114307</v>
      </c>
      <c r="AA161" s="8">
        <v>540</v>
      </c>
      <c r="AB161" s="8">
        <v>45</v>
      </c>
      <c r="AC161" s="7" t="s">
        <v>146</v>
      </c>
      <c r="AD161" s="11">
        <v>240</v>
      </c>
      <c r="AE161">
        <f t="shared" si="3"/>
        <v>269088</v>
      </c>
    </row>
    <row r="162" spans="1:31" x14ac:dyDescent="0.25">
      <c r="A162" s="7">
        <v>271358</v>
      </c>
      <c r="B162" s="7" t="s">
        <v>300</v>
      </c>
      <c r="C162" s="7" t="s">
        <v>143</v>
      </c>
      <c r="D162" s="7" t="s">
        <v>91</v>
      </c>
      <c r="E162" s="7" t="s">
        <v>32</v>
      </c>
      <c r="F162" s="7" t="s">
        <v>34</v>
      </c>
      <c r="G162" s="7" t="s">
        <v>301</v>
      </c>
      <c r="H162" s="7" t="s">
        <v>36</v>
      </c>
      <c r="I162" s="7" t="s">
        <v>145</v>
      </c>
      <c r="J162" s="8">
        <v>16</v>
      </c>
      <c r="K162" s="7" t="s">
        <v>36</v>
      </c>
      <c r="L162" s="8">
        <v>1</v>
      </c>
      <c r="M162" s="7" t="s">
        <v>37</v>
      </c>
      <c r="N162" s="8">
        <v>192</v>
      </c>
      <c r="O162" s="7" t="s">
        <v>32</v>
      </c>
      <c r="P162" s="8">
        <v>0</v>
      </c>
      <c r="Q162" s="9">
        <v>0.02</v>
      </c>
      <c r="R162" s="8">
        <v>0</v>
      </c>
      <c r="S162" s="7" t="s">
        <v>38</v>
      </c>
      <c r="T162" s="8">
        <v>2</v>
      </c>
      <c r="U162" s="8">
        <v>2</v>
      </c>
      <c r="V162" s="9">
        <v>8.5</v>
      </c>
      <c r="W162" s="9">
        <v>0.13600000000000001</v>
      </c>
      <c r="X162" s="9">
        <v>0.184</v>
      </c>
      <c r="Y162" s="9">
        <v>0</v>
      </c>
      <c r="Z162" s="17">
        <v>8935001724544</v>
      </c>
      <c r="AA162" s="8">
        <v>540</v>
      </c>
      <c r="AB162" s="8">
        <v>45</v>
      </c>
      <c r="AC162" s="7" t="s">
        <v>146</v>
      </c>
      <c r="AD162" s="11">
        <v>192</v>
      </c>
      <c r="AE162">
        <f t="shared" si="3"/>
        <v>271358</v>
      </c>
    </row>
    <row r="163" spans="1:31" x14ac:dyDescent="0.25">
      <c r="A163" s="7">
        <v>271359</v>
      </c>
      <c r="B163" s="7" t="s">
        <v>302</v>
      </c>
      <c r="C163" s="7" t="s">
        <v>143</v>
      </c>
      <c r="D163" s="7" t="s">
        <v>91</v>
      </c>
      <c r="E163" s="7" t="s">
        <v>32</v>
      </c>
      <c r="F163" s="7" t="s">
        <v>34</v>
      </c>
      <c r="G163" s="7" t="s">
        <v>303</v>
      </c>
      <c r="H163" s="7" t="s">
        <v>36</v>
      </c>
      <c r="I163" s="7" t="s">
        <v>145</v>
      </c>
      <c r="J163" s="8">
        <v>16</v>
      </c>
      <c r="K163" s="7" t="s">
        <v>36</v>
      </c>
      <c r="L163" s="8">
        <v>1</v>
      </c>
      <c r="M163" s="7" t="s">
        <v>37</v>
      </c>
      <c r="N163" s="8">
        <v>192</v>
      </c>
      <c r="O163" s="7" t="s">
        <v>32</v>
      </c>
      <c r="P163" s="8">
        <v>0</v>
      </c>
      <c r="Q163" s="9">
        <v>0.02</v>
      </c>
      <c r="R163" s="8">
        <v>0</v>
      </c>
      <c r="S163" s="7" t="s">
        <v>38</v>
      </c>
      <c r="T163" s="8">
        <v>2</v>
      </c>
      <c r="U163" s="8">
        <v>2</v>
      </c>
      <c r="V163" s="8">
        <v>9</v>
      </c>
      <c r="W163" s="9">
        <v>0.13600000000000001</v>
      </c>
      <c r="X163" s="9">
        <v>0.184</v>
      </c>
      <c r="Y163" s="9">
        <v>0</v>
      </c>
      <c r="Z163" s="17">
        <v>8935001724513</v>
      </c>
      <c r="AA163" s="8">
        <v>540</v>
      </c>
      <c r="AB163" s="8">
        <v>45</v>
      </c>
      <c r="AC163" s="7" t="s">
        <v>146</v>
      </c>
      <c r="AD163" s="11">
        <v>192</v>
      </c>
      <c r="AE163">
        <f t="shared" si="3"/>
        <v>271359</v>
      </c>
    </row>
    <row r="164" spans="1:31" x14ac:dyDescent="0.25">
      <c r="A164" s="7">
        <v>282412</v>
      </c>
      <c r="B164" s="7" t="s">
        <v>304</v>
      </c>
      <c r="C164" s="7" t="s">
        <v>31</v>
      </c>
      <c r="D164" s="7" t="s">
        <v>32</v>
      </c>
      <c r="E164" s="7" t="s">
        <v>32</v>
      </c>
      <c r="F164" s="7" t="s">
        <v>34</v>
      </c>
      <c r="G164" s="7" t="s">
        <v>32</v>
      </c>
      <c r="H164" s="7" t="s">
        <v>36</v>
      </c>
      <c r="I164" s="7" t="s">
        <v>36</v>
      </c>
      <c r="J164" s="8">
        <v>1</v>
      </c>
      <c r="K164" s="7" t="s">
        <v>37</v>
      </c>
      <c r="L164" s="8">
        <v>12</v>
      </c>
      <c r="M164" s="7" t="s">
        <v>32</v>
      </c>
      <c r="N164" s="8">
        <v>0</v>
      </c>
      <c r="O164" s="7" t="s">
        <v>32</v>
      </c>
      <c r="P164" s="8">
        <v>0</v>
      </c>
      <c r="Q164" s="9">
        <v>0.85</v>
      </c>
      <c r="R164" s="8">
        <v>0</v>
      </c>
      <c r="S164" s="7" t="s">
        <v>38</v>
      </c>
      <c r="T164" s="9">
        <v>6.5</v>
      </c>
      <c r="U164" s="9">
        <v>6.5</v>
      </c>
      <c r="V164" s="8">
        <v>26</v>
      </c>
      <c r="W164" s="9">
        <v>0.98899999999999999</v>
      </c>
      <c r="X164" s="9">
        <v>1.4430000000000001</v>
      </c>
      <c r="Y164" s="9">
        <v>0</v>
      </c>
      <c r="Z164" s="17">
        <v>8429671351266</v>
      </c>
      <c r="AA164" s="8">
        <v>729</v>
      </c>
      <c r="AB164" s="8">
        <v>60</v>
      </c>
      <c r="AC164" s="7" t="s">
        <v>32</v>
      </c>
      <c r="AD164" s="11">
        <v>12</v>
      </c>
      <c r="AE164">
        <f t="shared" si="3"/>
        <v>282412</v>
      </c>
    </row>
    <row r="165" spans="1:31" x14ac:dyDescent="0.25">
      <c r="A165" s="7">
        <v>293030</v>
      </c>
      <c r="B165" s="7" t="s">
        <v>305</v>
      </c>
      <c r="C165" s="7" t="s">
        <v>125</v>
      </c>
      <c r="D165" s="7" t="s">
        <v>32</v>
      </c>
      <c r="E165" s="7" t="s">
        <v>32</v>
      </c>
      <c r="F165" s="7" t="s">
        <v>34</v>
      </c>
      <c r="G165" s="7" t="s">
        <v>32</v>
      </c>
      <c r="H165" s="7" t="s">
        <v>36</v>
      </c>
      <c r="I165" s="7" t="s">
        <v>36</v>
      </c>
      <c r="J165" s="8">
        <v>1</v>
      </c>
      <c r="K165" s="7" t="s">
        <v>37</v>
      </c>
      <c r="L165" s="8">
        <v>12</v>
      </c>
      <c r="M165" s="7" t="s">
        <v>38</v>
      </c>
      <c r="N165" s="8">
        <v>2857</v>
      </c>
      <c r="O165" s="7" t="s">
        <v>93</v>
      </c>
      <c r="P165" s="8">
        <v>2857</v>
      </c>
      <c r="Q165" s="9">
        <v>0.37</v>
      </c>
      <c r="R165" s="8">
        <v>0</v>
      </c>
      <c r="S165" s="7" t="s">
        <v>38</v>
      </c>
      <c r="T165" s="9">
        <v>14.5</v>
      </c>
      <c r="U165" s="8">
        <v>8</v>
      </c>
      <c r="V165" s="8">
        <v>7</v>
      </c>
      <c r="W165" s="9">
        <v>1.26</v>
      </c>
      <c r="X165" s="9">
        <v>1.528</v>
      </c>
      <c r="Y165" s="9">
        <v>0</v>
      </c>
      <c r="Z165" s="17">
        <v>3073781010749</v>
      </c>
      <c r="AA165" s="8">
        <v>210</v>
      </c>
      <c r="AB165" s="8">
        <v>60</v>
      </c>
      <c r="AC165" s="7" t="s">
        <v>94</v>
      </c>
      <c r="AD165" s="11">
        <v>12</v>
      </c>
      <c r="AE165">
        <f t="shared" si="3"/>
        <v>293030</v>
      </c>
    </row>
    <row r="166" spans="1:31" x14ac:dyDescent="0.25">
      <c r="A166" s="7">
        <v>293031</v>
      </c>
      <c r="B166" s="7" t="s">
        <v>306</v>
      </c>
      <c r="C166" s="7" t="s">
        <v>125</v>
      </c>
      <c r="D166" s="7" t="s">
        <v>32</v>
      </c>
      <c r="E166" s="7" t="s">
        <v>32</v>
      </c>
      <c r="F166" s="7" t="s">
        <v>34</v>
      </c>
      <c r="G166" s="7" t="s">
        <v>32</v>
      </c>
      <c r="H166" s="7" t="s">
        <v>36</v>
      </c>
      <c r="I166" s="7" t="s">
        <v>36</v>
      </c>
      <c r="J166" s="8">
        <v>1</v>
      </c>
      <c r="K166" s="7" t="s">
        <v>37</v>
      </c>
      <c r="L166" s="8">
        <v>8</v>
      </c>
      <c r="M166" s="7" t="s">
        <v>38</v>
      </c>
      <c r="N166" s="8">
        <v>2</v>
      </c>
      <c r="O166" s="7" t="s">
        <v>93</v>
      </c>
      <c r="P166" s="8">
        <v>2000</v>
      </c>
      <c r="Q166" s="9">
        <v>0.53</v>
      </c>
      <c r="R166" s="8">
        <v>0</v>
      </c>
      <c r="S166" s="7" t="s">
        <v>38</v>
      </c>
      <c r="T166" s="9">
        <v>4.5</v>
      </c>
      <c r="U166" s="8">
        <v>9</v>
      </c>
      <c r="V166" s="8">
        <v>7</v>
      </c>
      <c r="W166" s="9">
        <v>1.6459999999999999</v>
      </c>
      <c r="X166" s="9">
        <v>1.994</v>
      </c>
      <c r="Y166" s="9">
        <v>0</v>
      </c>
      <c r="Z166" s="17">
        <v>3073781058796</v>
      </c>
      <c r="AA166" s="8">
        <v>210</v>
      </c>
      <c r="AB166" s="8">
        <v>60</v>
      </c>
      <c r="AC166" s="7" t="s">
        <v>94</v>
      </c>
      <c r="AD166" s="11">
        <v>8</v>
      </c>
      <c r="AE166">
        <f t="shared" si="3"/>
        <v>293031</v>
      </c>
    </row>
    <row r="167" spans="1:31" x14ac:dyDescent="0.25">
      <c r="A167" s="7">
        <v>293035</v>
      </c>
      <c r="B167" s="7" t="s">
        <v>307</v>
      </c>
      <c r="C167" s="7" t="s">
        <v>125</v>
      </c>
      <c r="D167" s="7" t="s">
        <v>32</v>
      </c>
      <c r="E167" s="7" t="s">
        <v>32</v>
      </c>
      <c r="F167" s="7" t="s">
        <v>34</v>
      </c>
      <c r="G167" s="7" t="s">
        <v>32</v>
      </c>
      <c r="H167" s="7" t="s">
        <v>36</v>
      </c>
      <c r="I167" s="7" t="s">
        <v>36</v>
      </c>
      <c r="J167" s="8">
        <v>1</v>
      </c>
      <c r="K167" s="7" t="s">
        <v>37</v>
      </c>
      <c r="L167" s="8">
        <v>8</v>
      </c>
      <c r="M167" s="7" t="s">
        <v>38</v>
      </c>
      <c r="N167" s="8">
        <v>2</v>
      </c>
      <c r="O167" s="7" t="s">
        <v>93</v>
      </c>
      <c r="P167" s="8">
        <v>2000</v>
      </c>
      <c r="Q167" s="9">
        <v>0.37</v>
      </c>
      <c r="R167" s="8">
        <v>0</v>
      </c>
      <c r="S167" s="7" t="s">
        <v>38</v>
      </c>
      <c r="T167" s="9">
        <v>14.5</v>
      </c>
      <c r="U167" s="8">
        <v>8</v>
      </c>
      <c r="V167" s="8">
        <v>7</v>
      </c>
      <c r="W167" s="9">
        <v>1.5920000000000001</v>
      </c>
      <c r="X167" s="9">
        <v>1.929</v>
      </c>
      <c r="Y167" s="9">
        <v>0</v>
      </c>
      <c r="Z167" s="17">
        <v>3073781062762</v>
      </c>
      <c r="AA167" s="8">
        <v>180</v>
      </c>
      <c r="AB167" s="8">
        <v>30</v>
      </c>
      <c r="AC167" s="7" t="s">
        <v>94</v>
      </c>
      <c r="AD167" s="11">
        <v>8</v>
      </c>
      <c r="AE167">
        <f t="shared" si="3"/>
        <v>293035</v>
      </c>
    </row>
    <row r="168" spans="1:31" x14ac:dyDescent="0.25">
      <c r="A168" s="7">
        <v>293042</v>
      </c>
      <c r="B168" s="7" t="s">
        <v>308</v>
      </c>
      <c r="C168" s="7" t="s">
        <v>44</v>
      </c>
      <c r="D168" s="7" t="s">
        <v>32</v>
      </c>
      <c r="E168" s="7" t="s">
        <v>32</v>
      </c>
      <c r="F168" s="7" t="s">
        <v>34</v>
      </c>
      <c r="G168" s="7" t="s">
        <v>32</v>
      </c>
      <c r="H168" s="7" t="s">
        <v>36</v>
      </c>
      <c r="I168" s="7" t="s">
        <v>36</v>
      </c>
      <c r="J168" s="8">
        <v>1</v>
      </c>
      <c r="K168" s="7" t="s">
        <v>37</v>
      </c>
      <c r="L168" s="8">
        <v>48</v>
      </c>
      <c r="M168" s="7" t="s">
        <v>32</v>
      </c>
      <c r="N168" s="8">
        <v>0</v>
      </c>
      <c r="O168" s="7" t="s">
        <v>32</v>
      </c>
      <c r="P168" s="8">
        <v>0</v>
      </c>
      <c r="Q168" s="9">
        <v>0.22</v>
      </c>
      <c r="R168" s="8">
        <v>0</v>
      </c>
      <c r="S168" s="7" t="s">
        <v>38</v>
      </c>
      <c r="T168" s="9">
        <v>8.5</v>
      </c>
      <c r="U168" s="9">
        <v>8.5</v>
      </c>
      <c r="V168" s="8">
        <v>4</v>
      </c>
      <c r="W168" s="9">
        <v>0.41899999999999998</v>
      </c>
      <c r="X168" s="9">
        <v>0.58899999999999997</v>
      </c>
      <c r="Y168" s="9">
        <v>0</v>
      </c>
      <c r="Z168" s="17">
        <v>24000105619</v>
      </c>
      <c r="AA168" s="8">
        <v>729</v>
      </c>
      <c r="AB168" s="8">
        <v>60</v>
      </c>
      <c r="AC168" s="7" t="s">
        <v>47</v>
      </c>
      <c r="AD168" s="11">
        <v>48</v>
      </c>
      <c r="AE168">
        <f t="shared" si="3"/>
        <v>293042</v>
      </c>
    </row>
    <row r="169" spans="1:31" x14ac:dyDescent="0.25">
      <c r="A169" s="7">
        <v>293043</v>
      </c>
      <c r="B169" s="7" t="s">
        <v>309</v>
      </c>
      <c r="C169" s="7" t="s">
        <v>44</v>
      </c>
      <c r="D169" s="7" t="s">
        <v>32</v>
      </c>
      <c r="E169" s="7" t="s">
        <v>32</v>
      </c>
      <c r="F169" s="7" t="s">
        <v>34</v>
      </c>
      <c r="G169" s="7" t="s">
        <v>32</v>
      </c>
      <c r="H169" s="7" t="s">
        <v>36</v>
      </c>
      <c r="I169" s="7" t="s">
        <v>36</v>
      </c>
      <c r="J169" s="8">
        <v>1</v>
      </c>
      <c r="K169" s="7" t="s">
        <v>37</v>
      </c>
      <c r="L169" s="8">
        <v>48</v>
      </c>
      <c r="M169" s="7" t="s">
        <v>32</v>
      </c>
      <c r="N169" s="8">
        <v>0</v>
      </c>
      <c r="O169" s="7" t="s">
        <v>32</v>
      </c>
      <c r="P169" s="8">
        <v>0</v>
      </c>
      <c r="Q169" s="9">
        <v>0.22</v>
      </c>
      <c r="R169" s="8">
        <v>0</v>
      </c>
      <c r="S169" s="7" t="s">
        <v>38</v>
      </c>
      <c r="T169" s="9">
        <v>8.5</v>
      </c>
      <c r="U169" s="9">
        <v>8.5</v>
      </c>
      <c r="V169" s="8">
        <v>4</v>
      </c>
      <c r="W169" s="9">
        <v>0.41899999999999998</v>
      </c>
      <c r="X169" s="9">
        <v>0.58899999999999997</v>
      </c>
      <c r="Y169" s="9">
        <v>0</v>
      </c>
      <c r="Z169" s="17">
        <v>24000105626</v>
      </c>
      <c r="AA169" s="8">
        <v>729</v>
      </c>
      <c r="AB169" s="8">
        <v>60</v>
      </c>
      <c r="AC169" s="7" t="s">
        <v>47</v>
      </c>
      <c r="AD169" s="11">
        <v>48</v>
      </c>
      <c r="AE169">
        <f t="shared" si="3"/>
        <v>293043</v>
      </c>
    </row>
    <row r="170" spans="1:31" x14ac:dyDescent="0.25">
      <c r="A170" s="7">
        <v>293087</v>
      </c>
      <c r="B170" s="7" t="s">
        <v>310</v>
      </c>
      <c r="C170" s="7" t="s">
        <v>90</v>
      </c>
      <c r="D170" s="7" t="s">
        <v>32</v>
      </c>
      <c r="E170" s="7" t="s">
        <v>32</v>
      </c>
      <c r="F170" s="7" t="s">
        <v>34</v>
      </c>
      <c r="G170" s="7" t="s">
        <v>32</v>
      </c>
      <c r="H170" s="7" t="s">
        <v>36</v>
      </c>
      <c r="I170" s="7" t="s">
        <v>36</v>
      </c>
      <c r="J170" s="8">
        <v>1</v>
      </c>
      <c r="K170" s="7" t="s">
        <v>37</v>
      </c>
      <c r="L170" s="8">
        <v>24</v>
      </c>
      <c r="M170" s="7" t="s">
        <v>38</v>
      </c>
      <c r="N170" s="8">
        <v>417</v>
      </c>
      <c r="O170" s="7" t="s">
        <v>93</v>
      </c>
      <c r="P170" s="8">
        <v>4170</v>
      </c>
      <c r="Q170" s="9">
        <v>0.44</v>
      </c>
      <c r="R170" s="8">
        <v>0</v>
      </c>
      <c r="S170" s="7" t="s">
        <v>38</v>
      </c>
      <c r="T170" s="9">
        <v>6.5</v>
      </c>
      <c r="U170" s="9">
        <v>6.5</v>
      </c>
      <c r="V170" s="9">
        <v>12.5</v>
      </c>
      <c r="W170" s="9">
        <v>0.81599999999999995</v>
      </c>
      <c r="X170" s="9">
        <v>0.98799999999999999</v>
      </c>
      <c r="Y170" s="9">
        <v>0</v>
      </c>
      <c r="Z170" s="17">
        <v>3073781125627</v>
      </c>
      <c r="AA170" s="8">
        <v>365</v>
      </c>
      <c r="AB170" s="8">
        <v>90</v>
      </c>
      <c r="AC170" s="7" t="s">
        <v>94</v>
      </c>
      <c r="AD170" s="11">
        <v>24</v>
      </c>
      <c r="AE170">
        <f t="shared" si="3"/>
        <v>293087</v>
      </c>
    </row>
    <row r="171" spans="1:31" x14ac:dyDescent="0.25">
      <c r="A171" s="7">
        <v>293088</v>
      </c>
      <c r="B171" s="7" t="s">
        <v>311</v>
      </c>
      <c r="C171" s="7" t="s">
        <v>90</v>
      </c>
      <c r="D171" s="7" t="s">
        <v>32</v>
      </c>
      <c r="E171" s="7" t="s">
        <v>32</v>
      </c>
      <c r="F171" s="7" t="s">
        <v>34</v>
      </c>
      <c r="G171" s="7" t="s">
        <v>32</v>
      </c>
      <c r="H171" s="7" t="s">
        <v>36</v>
      </c>
      <c r="I171" s="7" t="s">
        <v>36</v>
      </c>
      <c r="J171" s="8">
        <v>1</v>
      </c>
      <c r="K171" s="7" t="s">
        <v>37</v>
      </c>
      <c r="L171" s="8">
        <v>12</v>
      </c>
      <c r="M171" s="7" t="s">
        <v>38</v>
      </c>
      <c r="N171" s="8">
        <v>2</v>
      </c>
      <c r="O171" s="7" t="s">
        <v>93</v>
      </c>
      <c r="P171" s="8">
        <v>2000</v>
      </c>
      <c r="Q171" s="9">
        <v>0.75</v>
      </c>
      <c r="R171" s="8">
        <v>0</v>
      </c>
      <c r="S171" s="7" t="s">
        <v>38</v>
      </c>
      <c r="T171" s="9">
        <v>8.5</v>
      </c>
      <c r="U171" s="9">
        <v>8.5</v>
      </c>
      <c r="V171" s="8">
        <v>12</v>
      </c>
      <c r="W171" s="9">
        <v>1.419</v>
      </c>
      <c r="X171" s="9">
        <v>1.72</v>
      </c>
      <c r="Y171" s="9">
        <v>0</v>
      </c>
      <c r="Z171" s="17">
        <v>3073781125634</v>
      </c>
      <c r="AA171" s="8">
        <v>365</v>
      </c>
      <c r="AB171" s="8">
        <v>90</v>
      </c>
      <c r="AC171" s="7" t="s">
        <v>94</v>
      </c>
      <c r="AD171" s="11">
        <v>12</v>
      </c>
      <c r="AE171">
        <f t="shared" si="3"/>
        <v>293088</v>
      </c>
    </row>
    <row r="172" spans="1:31" x14ac:dyDescent="0.25">
      <c r="A172" s="7">
        <v>293293</v>
      </c>
      <c r="B172" s="7" t="s">
        <v>312</v>
      </c>
      <c r="C172" s="7" t="s">
        <v>90</v>
      </c>
      <c r="D172" s="7" t="s">
        <v>32</v>
      </c>
      <c r="E172" s="7" t="s">
        <v>32</v>
      </c>
      <c r="F172" s="7" t="s">
        <v>34</v>
      </c>
      <c r="G172" s="7" t="s">
        <v>32</v>
      </c>
      <c r="H172" s="7" t="s">
        <v>36</v>
      </c>
      <c r="I172" s="7" t="s">
        <v>36</v>
      </c>
      <c r="J172" s="8">
        <v>1</v>
      </c>
      <c r="K172" s="7" t="s">
        <v>37</v>
      </c>
      <c r="L172" s="8">
        <v>6</v>
      </c>
      <c r="M172" s="7" t="s">
        <v>38</v>
      </c>
      <c r="N172" s="8">
        <v>111</v>
      </c>
      <c r="O172" s="7" t="s">
        <v>93</v>
      </c>
      <c r="P172" s="8">
        <v>1110</v>
      </c>
      <c r="Q172" s="9">
        <v>1.35</v>
      </c>
      <c r="R172" s="8">
        <v>0</v>
      </c>
      <c r="S172" s="7" t="s">
        <v>38</v>
      </c>
      <c r="T172" s="9">
        <v>10.5</v>
      </c>
      <c r="U172" s="9">
        <v>10.5</v>
      </c>
      <c r="V172" s="8">
        <v>13</v>
      </c>
      <c r="W172" s="9">
        <v>2.66</v>
      </c>
      <c r="X172" s="9">
        <v>3.2240000000000002</v>
      </c>
      <c r="Y172" s="9">
        <v>0</v>
      </c>
      <c r="Z172" s="17">
        <v>3073781125641</v>
      </c>
      <c r="AA172" s="8">
        <v>365</v>
      </c>
      <c r="AB172" s="8">
        <v>90</v>
      </c>
      <c r="AC172" s="7" t="s">
        <v>94</v>
      </c>
      <c r="AD172" s="11">
        <v>6</v>
      </c>
      <c r="AE172">
        <f t="shared" si="3"/>
        <v>293293</v>
      </c>
    </row>
    <row r="173" spans="1:31" x14ac:dyDescent="0.25">
      <c r="A173" s="7">
        <v>293294</v>
      </c>
      <c r="B173" s="7" t="s">
        <v>313</v>
      </c>
      <c r="C173" s="7" t="s">
        <v>90</v>
      </c>
      <c r="D173" s="7" t="s">
        <v>32</v>
      </c>
      <c r="E173" s="7" t="s">
        <v>32</v>
      </c>
      <c r="F173" s="7" t="s">
        <v>103</v>
      </c>
      <c r="G173" s="7" t="s">
        <v>32</v>
      </c>
      <c r="H173" s="7" t="s">
        <v>36</v>
      </c>
      <c r="I173" s="7" t="s">
        <v>36</v>
      </c>
      <c r="J173" s="8">
        <v>1</v>
      </c>
      <c r="K173" s="7" t="s">
        <v>37</v>
      </c>
      <c r="L173" s="8">
        <v>6</v>
      </c>
      <c r="M173" s="7" t="s">
        <v>38</v>
      </c>
      <c r="N173" s="8">
        <v>1</v>
      </c>
      <c r="O173" s="7" t="s">
        <v>93</v>
      </c>
      <c r="P173" s="8">
        <v>1000</v>
      </c>
      <c r="Q173" s="9">
        <v>1.5</v>
      </c>
      <c r="R173" s="8">
        <v>0</v>
      </c>
      <c r="S173" s="7" t="s">
        <v>38</v>
      </c>
      <c r="T173" s="9">
        <v>17.5</v>
      </c>
      <c r="U173" s="9">
        <v>8.5</v>
      </c>
      <c r="V173" s="8">
        <v>12</v>
      </c>
      <c r="W173" s="9">
        <v>2.4129999999999998</v>
      </c>
      <c r="X173" s="9">
        <v>2.9249999999999998</v>
      </c>
      <c r="Y173" s="9">
        <v>0</v>
      </c>
      <c r="Z173" s="17">
        <v>3073781134537</v>
      </c>
      <c r="AA173" s="8">
        <v>365</v>
      </c>
      <c r="AB173" s="8">
        <v>90</v>
      </c>
      <c r="AC173" s="7" t="s">
        <v>94</v>
      </c>
      <c r="AD173" s="11">
        <v>6</v>
      </c>
      <c r="AE173">
        <f t="shared" si="3"/>
        <v>293294</v>
      </c>
    </row>
    <row r="174" spans="1:31" x14ac:dyDescent="0.25">
      <c r="A174" s="7">
        <v>293732</v>
      </c>
      <c r="B174" s="7" t="s">
        <v>314</v>
      </c>
      <c r="C174" s="7" t="s">
        <v>90</v>
      </c>
      <c r="D174" s="7" t="s">
        <v>32</v>
      </c>
      <c r="E174" s="7" t="s">
        <v>32</v>
      </c>
      <c r="F174" s="7" t="s">
        <v>103</v>
      </c>
      <c r="G174" s="7" t="s">
        <v>32</v>
      </c>
      <c r="H174" s="7" t="s">
        <v>36</v>
      </c>
      <c r="I174" s="7" t="s">
        <v>36</v>
      </c>
      <c r="J174" s="8">
        <v>1</v>
      </c>
      <c r="K174" s="7" t="s">
        <v>37</v>
      </c>
      <c r="L174" s="8">
        <v>3</v>
      </c>
      <c r="M174" s="7" t="s">
        <v>38</v>
      </c>
      <c r="N174" s="8">
        <v>14</v>
      </c>
      <c r="O174" s="7" t="s">
        <v>93</v>
      </c>
      <c r="P174" s="8">
        <v>560</v>
      </c>
      <c r="Q174" s="9">
        <v>0.71</v>
      </c>
      <c r="R174" s="8">
        <v>0</v>
      </c>
      <c r="S174" s="7" t="s">
        <v>38</v>
      </c>
      <c r="T174" s="9">
        <v>20.5</v>
      </c>
      <c r="U174" s="8">
        <v>10</v>
      </c>
      <c r="V174" s="8">
        <v>15</v>
      </c>
      <c r="W174" s="9">
        <v>4.5199999999999996</v>
      </c>
      <c r="X174" s="9">
        <v>5.4790000000000001</v>
      </c>
      <c r="Y174" s="9">
        <v>0</v>
      </c>
      <c r="Z174" s="17">
        <v>3073781134193</v>
      </c>
      <c r="AA174" s="8">
        <v>365</v>
      </c>
      <c r="AB174" s="8">
        <v>90</v>
      </c>
      <c r="AC174" s="7" t="s">
        <v>94</v>
      </c>
      <c r="AD174" s="11">
        <v>3</v>
      </c>
      <c r="AE174">
        <f t="shared" si="3"/>
        <v>293732</v>
      </c>
    </row>
    <row r="175" spans="1:31" x14ac:dyDescent="0.25">
      <c r="A175" s="7">
        <v>296889</v>
      </c>
      <c r="B175" s="7" t="s">
        <v>315</v>
      </c>
      <c r="C175" s="7" t="s">
        <v>105</v>
      </c>
      <c r="D175" s="7" t="s">
        <v>91</v>
      </c>
      <c r="E175" s="7" t="s">
        <v>32</v>
      </c>
      <c r="F175" s="7" t="s">
        <v>316</v>
      </c>
      <c r="G175" s="7" t="s">
        <v>32</v>
      </c>
      <c r="H175" s="7" t="s">
        <v>36</v>
      </c>
      <c r="I175" s="7" t="s">
        <v>36</v>
      </c>
      <c r="J175" s="8">
        <v>1</v>
      </c>
      <c r="K175" s="7" t="s">
        <v>37</v>
      </c>
      <c r="L175" s="8">
        <v>8</v>
      </c>
      <c r="M175" s="7" t="s">
        <v>38</v>
      </c>
      <c r="N175" s="8">
        <v>1667</v>
      </c>
      <c r="O175" s="7" t="s">
        <v>93</v>
      </c>
      <c r="P175" s="8">
        <v>1667</v>
      </c>
      <c r="Q175" s="9">
        <v>0.73799999999999999</v>
      </c>
      <c r="R175" s="8">
        <v>0</v>
      </c>
      <c r="S175" s="7" t="s">
        <v>38</v>
      </c>
      <c r="T175" s="8">
        <v>11</v>
      </c>
      <c r="U175" s="8">
        <v>11</v>
      </c>
      <c r="V175" s="8">
        <v>2</v>
      </c>
      <c r="W175" s="9">
        <v>1.2569999999999999</v>
      </c>
      <c r="X175" s="9">
        <v>1E-3</v>
      </c>
      <c r="Y175" s="9">
        <v>0</v>
      </c>
      <c r="Z175" s="17">
        <v>3073780959704</v>
      </c>
      <c r="AA175" s="8">
        <v>288</v>
      </c>
      <c r="AB175" s="8">
        <v>60</v>
      </c>
      <c r="AC175" s="7" t="s">
        <v>94</v>
      </c>
      <c r="AD175" s="11">
        <v>8</v>
      </c>
      <c r="AE175">
        <f t="shared" si="3"/>
        <v>296889</v>
      </c>
    </row>
    <row r="176" spans="1:31" x14ac:dyDescent="0.25">
      <c r="A176" s="7">
        <v>297419</v>
      </c>
      <c r="B176" s="7" t="s">
        <v>317</v>
      </c>
      <c r="C176" s="7" t="s">
        <v>90</v>
      </c>
      <c r="D176" s="7" t="s">
        <v>91</v>
      </c>
      <c r="E176" s="7" t="s">
        <v>32</v>
      </c>
      <c r="F176" s="7" t="s">
        <v>316</v>
      </c>
      <c r="G176" s="7" t="s">
        <v>32</v>
      </c>
      <c r="H176" s="7" t="s">
        <v>36</v>
      </c>
      <c r="I176" s="7" t="s">
        <v>36</v>
      </c>
      <c r="J176" s="8">
        <v>1</v>
      </c>
      <c r="K176" s="7" t="s">
        <v>37</v>
      </c>
      <c r="L176" s="8">
        <v>24</v>
      </c>
      <c r="M176" s="7" t="s">
        <v>38</v>
      </c>
      <c r="N176" s="8">
        <v>417</v>
      </c>
      <c r="O176" s="7" t="s">
        <v>93</v>
      </c>
      <c r="P176" s="8">
        <v>4170</v>
      </c>
      <c r="Q176" s="9">
        <v>0.44</v>
      </c>
      <c r="R176" s="8">
        <v>0</v>
      </c>
      <c r="S176" s="7" t="s">
        <v>38</v>
      </c>
      <c r="T176" s="9">
        <v>6.5</v>
      </c>
      <c r="U176" s="9">
        <v>6.5</v>
      </c>
      <c r="V176" s="9">
        <v>12.5</v>
      </c>
      <c r="W176" s="9">
        <v>0.7</v>
      </c>
      <c r="X176" s="9">
        <v>1E-3</v>
      </c>
      <c r="Y176" s="9">
        <v>0</v>
      </c>
      <c r="Z176" s="17">
        <v>3073781125627</v>
      </c>
      <c r="AA176" s="8">
        <v>365</v>
      </c>
      <c r="AB176" s="8">
        <v>90</v>
      </c>
      <c r="AC176" s="7" t="s">
        <v>94</v>
      </c>
      <c r="AD176" s="11">
        <v>24</v>
      </c>
      <c r="AE176">
        <f t="shared" si="3"/>
        <v>297419</v>
      </c>
    </row>
    <row r="177" spans="1:31" x14ac:dyDescent="0.25">
      <c r="A177" s="7">
        <v>302679</v>
      </c>
      <c r="B177" s="7" t="s">
        <v>318</v>
      </c>
      <c r="C177" s="7" t="s">
        <v>44</v>
      </c>
      <c r="D177" s="7" t="s">
        <v>32</v>
      </c>
      <c r="E177" s="7" t="s">
        <v>32</v>
      </c>
      <c r="F177" s="7" t="s">
        <v>34</v>
      </c>
      <c r="G177" s="7" t="s">
        <v>319</v>
      </c>
      <c r="H177" s="7" t="s">
        <v>36</v>
      </c>
      <c r="I177" s="7" t="s">
        <v>36</v>
      </c>
      <c r="J177" s="8">
        <v>1</v>
      </c>
      <c r="K177" s="7" t="s">
        <v>37</v>
      </c>
      <c r="L177" s="8">
        <v>24</v>
      </c>
      <c r="M177" s="7" t="s">
        <v>32</v>
      </c>
      <c r="N177" s="8">
        <v>0</v>
      </c>
      <c r="O177" s="7" t="s">
        <v>32</v>
      </c>
      <c r="P177" s="8">
        <v>0</v>
      </c>
      <c r="Q177" s="9">
        <v>0.18</v>
      </c>
      <c r="R177" s="8">
        <v>0</v>
      </c>
      <c r="S177" s="7" t="s">
        <v>38</v>
      </c>
      <c r="T177" s="8">
        <v>7</v>
      </c>
      <c r="U177" s="8">
        <v>7</v>
      </c>
      <c r="V177" s="8">
        <v>8</v>
      </c>
      <c r="W177" s="9">
        <v>0.23</v>
      </c>
      <c r="X177" s="9">
        <v>0.28299999999999997</v>
      </c>
      <c r="Y177" s="9">
        <v>0</v>
      </c>
      <c r="Z177" s="17">
        <v>24000101895</v>
      </c>
      <c r="AA177" s="8">
        <v>729</v>
      </c>
      <c r="AB177" s="8">
        <v>90</v>
      </c>
      <c r="AC177" s="7" t="s">
        <v>47</v>
      </c>
      <c r="AD177" s="11">
        <v>24</v>
      </c>
      <c r="AE177">
        <f t="shared" si="3"/>
        <v>302679</v>
      </c>
    </row>
    <row r="178" spans="1:31" x14ac:dyDescent="0.25">
      <c r="A178" s="7">
        <v>308066</v>
      </c>
      <c r="B178" s="7" t="s">
        <v>320</v>
      </c>
      <c r="C178" s="7" t="s">
        <v>232</v>
      </c>
      <c r="D178" s="7" t="s">
        <v>32</v>
      </c>
      <c r="E178" s="7" t="s">
        <v>32</v>
      </c>
      <c r="F178" s="7" t="s">
        <v>34</v>
      </c>
      <c r="G178" s="7" t="s">
        <v>321</v>
      </c>
      <c r="H178" s="7" t="s">
        <v>36</v>
      </c>
      <c r="I178" s="7" t="s">
        <v>36</v>
      </c>
      <c r="J178" s="8">
        <v>1</v>
      </c>
      <c r="K178" s="7" t="s">
        <v>37</v>
      </c>
      <c r="L178" s="8">
        <v>12</v>
      </c>
      <c r="M178" s="7" t="s">
        <v>32</v>
      </c>
      <c r="N178" s="8">
        <v>0</v>
      </c>
      <c r="O178" s="7" t="s">
        <v>32</v>
      </c>
      <c r="P178" s="8">
        <v>0</v>
      </c>
      <c r="Q178" s="9">
        <v>0.16</v>
      </c>
      <c r="R178" s="8">
        <v>0</v>
      </c>
      <c r="S178" s="7" t="s">
        <v>38</v>
      </c>
      <c r="T178" s="8">
        <v>13</v>
      </c>
      <c r="U178" s="8">
        <v>2</v>
      </c>
      <c r="V178" s="8">
        <v>19</v>
      </c>
      <c r="W178" s="9">
        <v>0.61699999999999999</v>
      </c>
      <c r="X178" s="9">
        <v>0.83299999999999996</v>
      </c>
      <c r="Y178" s="9">
        <v>0</v>
      </c>
      <c r="Z178" s="17">
        <v>8992741952590</v>
      </c>
      <c r="AA178" s="8">
        <v>450</v>
      </c>
      <c r="AB178" s="8">
        <v>90</v>
      </c>
      <c r="AC178" s="7" t="s">
        <v>146</v>
      </c>
      <c r="AD178" s="11">
        <v>12</v>
      </c>
      <c r="AE178">
        <f t="shared" si="3"/>
        <v>308066</v>
      </c>
    </row>
    <row r="179" spans="1:31" x14ac:dyDescent="0.25">
      <c r="A179" s="7">
        <v>308067</v>
      </c>
      <c r="B179" s="7" t="s">
        <v>322</v>
      </c>
      <c r="C179" s="7" t="s">
        <v>232</v>
      </c>
      <c r="D179" s="7" t="s">
        <v>32</v>
      </c>
      <c r="E179" s="7" t="s">
        <v>32</v>
      </c>
      <c r="F179" s="7" t="s">
        <v>34</v>
      </c>
      <c r="G179" s="7" t="s">
        <v>323</v>
      </c>
      <c r="H179" s="7" t="s">
        <v>36</v>
      </c>
      <c r="I179" s="7" t="s">
        <v>36</v>
      </c>
      <c r="J179" s="8">
        <v>1</v>
      </c>
      <c r="K179" s="7" t="s">
        <v>37</v>
      </c>
      <c r="L179" s="8">
        <v>12</v>
      </c>
      <c r="M179" s="7" t="s">
        <v>32</v>
      </c>
      <c r="N179" s="8">
        <v>0</v>
      </c>
      <c r="O179" s="7" t="s">
        <v>32</v>
      </c>
      <c r="P179" s="8">
        <v>0</v>
      </c>
      <c r="Q179" s="9">
        <v>0.16</v>
      </c>
      <c r="R179" s="8">
        <v>0</v>
      </c>
      <c r="S179" s="7" t="s">
        <v>38</v>
      </c>
      <c r="T179" s="8">
        <v>13</v>
      </c>
      <c r="U179" s="8">
        <v>2</v>
      </c>
      <c r="V179" s="8">
        <v>19</v>
      </c>
      <c r="W179" s="9">
        <v>0.61699999999999999</v>
      </c>
      <c r="X179" s="9">
        <v>0.83299999999999996</v>
      </c>
      <c r="Y179" s="9">
        <v>0</v>
      </c>
      <c r="Z179" s="17">
        <v>8992741952583</v>
      </c>
      <c r="AA179" s="8">
        <v>450</v>
      </c>
      <c r="AB179" s="8">
        <v>90</v>
      </c>
      <c r="AC179" s="7" t="s">
        <v>146</v>
      </c>
      <c r="AD179" s="11">
        <v>12</v>
      </c>
      <c r="AE179">
        <f t="shared" si="3"/>
        <v>308067</v>
      </c>
    </row>
    <row r="180" spans="1:31" x14ac:dyDescent="0.25">
      <c r="A180" s="7">
        <v>308068</v>
      </c>
      <c r="B180" s="7" t="s">
        <v>324</v>
      </c>
      <c r="C180" s="7" t="s">
        <v>232</v>
      </c>
      <c r="D180" s="7" t="s">
        <v>32</v>
      </c>
      <c r="E180" s="7" t="s">
        <v>32</v>
      </c>
      <c r="F180" s="7" t="s">
        <v>34</v>
      </c>
      <c r="G180" s="7" t="s">
        <v>325</v>
      </c>
      <c r="H180" s="7" t="s">
        <v>36</v>
      </c>
      <c r="I180" s="7" t="s">
        <v>36</v>
      </c>
      <c r="J180" s="8">
        <v>1</v>
      </c>
      <c r="K180" s="7" t="s">
        <v>37</v>
      </c>
      <c r="L180" s="8">
        <v>12</v>
      </c>
      <c r="M180" s="7" t="s">
        <v>32</v>
      </c>
      <c r="N180" s="8">
        <v>0</v>
      </c>
      <c r="O180" s="7" t="s">
        <v>32</v>
      </c>
      <c r="P180" s="8">
        <v>0</v>
      </c>
      <c r="Q180" s="9">
        <v>0.16</v>
      </c>
      <c r="R180" s="8">
        <v>0</v>
      </c>
      <c r="S180" s="7" t="s">
        <v>38</v>
      </c>
      <c r="T180" s="8">
        <v>13</v>
      </c>
      <c r="U180" s="8">
        <v>2</v>
      </c>
      <c r="V180" s="8">
        <v>19</v>
      </c>
      <c r="W180" s="9">
        <v>0.61699999999999999</v>
      </c>
      <c r="X180" s="9">
        <v>0.83299999999999996</v>
      </c>
      <c r="Y180" s="9">
        <v>0</v>
      </c>
      <c r="Z180" s="17">
        <v>8992741952613</v>
      </c>
      <c r="AA180" s="8">
        <v>450</v>
      </c>
      <c r="AB180" s="8">
        <v>90</v>
      </c>
      <c r="AC180" s="7" t="s">
        <v>146</v>
      </c>
      <c r="AD180" s="11">
        <v>12</v>
      </c>
      <c r="AE180">
        <f t="shared" si="3"/>
        <v>308068</v>
      </c>
    </row>
    <row r="181" spans="1:31" x14ac:dyDescent="0.25">
      <c r="A181" s="7">
        <v>308535</v>
      </c>
      <c r="B181" s="7" t="s">
        <v>326</v>
      </c>
      <c r="C181" s="7" t="s">
        <v>143</v>
      </c>
      <c r="D181" s="7" t="s">
        <v>32</v>
      </c>
      <c r="E181" s="7" t="s">
        <v>32</v>
      </c>
      <c r="F181" s="7" t="s">
        <v>34</v>
      </c>
      <c r="G181" s="7" t="s">
        <v>327</v>
      </c>
      <c r="H181" s="7" t="s">
        <v>36</v>
      </c>
      <c r="I181" s="7" t="s">
        <v>145</v>
      </c>
      <c r="J181" s="8">
        <v>6</v>
      </c>
      <c r="K181" s="7" t="s">
        <v>36</v>
      </c>
      <c r="L181" s="8">
        <v>1</v>
      </c>
      <c r="M181" s="7" t="s">
        <v>37</v>
      </c>
      <c r="N181" s="8">
        <v>36</v>
      </c>
      <c r="O181" s="7" t="s">
        <v>32</v>
      </c>
      <c r="P181" s="8">
        <v>0</v>
      </c>
      <c r="Q181" s="9">
        <v>0.13</v>
      </c>
      <c r="R181" s="8">
        <v>0</v>
      </c>
      <c r="S181" s="7" t="s">
        <v>38</v>
      </c>
      <c r="T181" s="9">
        <v>4.5</v>
      </c>
      <c r="U181" s="9">
        <v>4.5</v>
      </c>
      <c r="V181" s="9">
        <v>9.5</v>
      </c>
      <c r="W181" s="9">
        <v>0.88</v>
      </c>
      <c r="X181" s="9">
        <v>1.206</v>
      </c>
      <c r="Y181" s="9">
        <v>0</v>
      </c>
      <c r="Z181" s="17">
        <v>8935001725015</v>
      </c>
      <c r="AA181" s="8">
        <v>540</v>
      </c>
      <c r="AB181" s="8">
        <v>30</v>
      </c>
      <c r="AC181" s="7" t="s">
        <v>146</v>
      </c>
      <c r="AD181" s="11">
        <v>36</v>
      </c>
      <c r="AE181">
        <f t="shared" si="3"/>
        <v>308535</v>
      </c>
    </row>
    <row r="182" spans="1:31" x14ac:dyDescent="0.25">
      <c r="A182" s="7">
        <v>308536</v>
      </c>
      <c r="B182" s="7" t="s">
        <v>328</v>
      </c>
      <c r="C182" s="7" t="s">
        <v>143</v>
      </c>
      <c r="D182" s="7" t="s">
        <v>32</v>
      </c>
      <c r="E182" s="7" t="s">
        <v>32</v>
      </c>
      <c r="F182" s="7" t="s">
        <v>34</v>
      </c>
      <c r="G182" s="7" t="s">
        <v>329</v>
      </c>
      <c r="H182" s="7" t="s">
        <v>36</v>
      </c>
      <c r="I182" s="7" t="s">
        <v>145</v>
      </c>
      <c r="J182" s="8">
        <v>6</v>
      </c>
      <c r="K182" s="7" t="s">
        <v>36</v>
      </c>
      <c r="L182" s="8">
        <v>1</v>
      </c>
      <c r="M182" s="7" t="s">
        <v>37</v>
      </c>
      <c r="N182" s="8">
        <v>36</v>
      </c>
      <c r="O182" s="7" t="s">
        <v>32</v>
      </c>
      <c r="P182" s="8">
        <v>0</v>
      </c>
      <c r="Q182" s="9">
        <v>0.12</v>
      </c>
      <c r="R182" s="8">
        <v>0</v>
      </c>
      <c r="S182" s="7" t="s">
        <v>38</v>
      </c>
      <c r="T182" s="9">
        <v>5.5</v>
      </c>
      <c r="U182" s="9">
        <v>5.5</v>
      </c>
      <c r="V182" s="8">
        <v>10</v>
      </c>
      <c r="W182" s="9">
        <v>0.88</v>
      </c>
      <c r="X182" s="9">
        <v>1.206</v>
      </c>
      <c r="Y182" s="9">
        <v>0</v>
      </c>
      <c r="Z182" s="17">
        <v>8935001725039</v>
      </c>
      <c r="AA182" s="8">
        <v>540</v>
      </c>
      <c r="AB182" s="8">
        <v>30</v>
      </c>
      <c r="AC182" s="7" t="s">
        <v>146</v>
      </c>
      <c r="AD182" s="11">
        <v>36</v>
      </c>
      <c r="AE182">
        <f t="shared" si="3"/>
        <v>308536</v>
      </c>
    </row>
    <row r="183" spans="1:31" x14ac:dyDescent="0.25">
      <c r="A183" s="7">
        <v>309760</v>
      </c>
      <c r="B183" s="7" t="s">
        <v>330</v>
      </c>
      <c r="C183" s="7" t="s">
        <v>143</v>
      </c>
      <c r="D183" s="7" t="s">
        <v>32</v>
      </c>
      <c r="E183" s="7" t="s">
        <v>32</v>
      </c>
      <c r="F183" s="7" t="s">
        <v>34</v>
      </c>
      <c r="G183" s="7" t="s">
        <v>331</v>
      </c>
      <c r="H183" s="7" t="s">
        <v>36</v>
      </c>
      <c r="I183" s="7" t="s">
        <v>145</v>
      </c>
      <c r="J183" s="8">
        <v>16</v>
      </c>
      <c r="K183" s="7" t="s">
        <v>36</v>
      </c>
      <c r="L183" s="8">
        <v>1</v>
      </c>
      <c r="M183" s="7" t="s">
        <v>37</v>
      </c>
      <c r="N183" s="8">
        <v>192</v>
      </c>
      <c r="O183" s="7" t="s">
        <v>32</v>
      </c>
      <c r="P183" s="8">
        <v>0</v>
      </c>
      <c r="Q183" s="9">
        <v>0.02</v>
      </c>
      <c r="R183" s="8">
        <v>0</v>
      </c>
      <c r="S183" s="7" t="s">
        <v>38</v>
      </c>
      <c r="T183" s="8">
        <v>2</v>
      </c>
      <c r="U183" s="8">
        <v>2</v>
      </c>
      <c r="V183" s="8">
        <v>9</v>
      </c>
      <c r="W183" s="9">
        <v>0.13600000000000001</v>
      </c>
      <c r="X183" s="9">
        <v>0.184</v>
      </c>
      <c r="Y183" s="9">
        <v>0</v>
      </c>
      <c r="Z183" s="17">
        <v>8935001724537</v>
      </c>
      <c r="AA183" s="8">
        <v>540</v>
      </c>
      <c r="AB183" s="8">
        <v>90</v>
      </c>
      <c r="AC183" s="7" t="s">
        <v>146</v>
      </c>
      <c r="AD183" s="11">
        <v>192</v>
      </c>
      <c r="AE183">
        <f t="shared" si="3"/>
        <v>309760</v>
      </c>
    </row>
    <row r="184" spans="1:31" x14ac:dyDescent="0.25">
      <c r="A184" s="7">
        <v>312609</v>
      </c>
      <c r="B184" s="7" t="s">
        <v>332</v>
      </c>
      <c r="C184" s="7" t="s">
        <v>125</v>
      </c>
      <c r="D184" s="7" t="s">
        <v>32</v>
      </c>
      <c r="E184" s="7" t="s">
        <v>32</v>
      </c>
      <c r="F184" s="7" t="s">
        <v>34</v>
      </c>
      <c r="G184" s="7" t="s">
        <v>32</v>
      </c>
      <c r="H184" s="7" t="s">
        <v>36</v>
      </c>
      <c r="I184" s="7" t="s">
        <v>36</v>
      </c>
      <c r="J184" s="8">
        <v>1</v>
      </c>
      <c r="K184" s="7" t="s">
        <v>37</v>
      </c>
      <c r="L184" s="8">
        <v>40</v>
      </c>
      <c r="M184" s="7" t="s">
        <v>38</v>
      </c>
      <c r="N184" s="8">
        <v>10</v>
      </c>
      <c r="O184" s="7" t="s">
        <v>93</v>
      </c>
      <c r="P184" s="8">
        <v>10000</v>
      </c>
      <c r="Q184" s="9">
        <v>0.12</v>
      </c>
      <c r="R184" s="8">
        <v>0</v>
      </c>
      <c r="S184" s="7" t="s">
        <v>38</v>
      </c>
      <c r="T184" s="9">
        <v>8.5</v>
      </c>
      <c r="U184" s="8">
        <v>2</v>
      </c>
      <c r="V184" s="8">
        <v>14</v>
      </c>
      <c r="W184" s="9">
        <v>0.57799999999999996</v>
      </c>
      <c r="X184" s="9">
        <v>0.7</v>
      </c>
      <c r="Y184" s="9">
        <v>0</v>
      </c>
      <c r="Z184" s="17">
        <v>3073781141382</v>
      </c>
      <c r="AA184" s="8">
        <v>210</v>
      </c>
      <c r="AB184" s="8">
        <v>60</v>
      </c>
      <c r="AC184" s="7" t="s">
        <v>94</v>
      </c>
      <c r="AD184" s="11">
        <v>40</v>
      </c>
      <c r="AE184">
        <f t="shared" si="3"/>
        <v>312609</v>
      </c>
    </row>
    <row r="185" spans="1:31" x14ac:dyDescent="0.25">
      <c r="A185" s="7">
        <v>312611</v>
      </c>
      <c r="B185" s="7" t="s">
        <v>333</v>
      </c>
      <c r="C185" s="7" t="s">
        <v>125</v>
      </c>
      <c r="D185" s="7" t="s">
        <v>32</v>
      </c>
      <c r="E185" s="7" t="s">
        <v>32</v>
      </c>
      <c r="F185" s="7" t="s">
        <v>34</v>
      </c>
      <c r="G185" s="7" t="s">
        <v>32</v>
      </c>
      <c r="H185" s="7" t="s">
        <v>36</v>
      </c>
      <c r="I185" s="7" t="s">
        <v>36</v>
      </c>
      <c r="J185" s="8">
        <v>1</v>
      </c>
      <c r="K185" s="7" t="s">
        <v>37</v>
      </c>
      <c r="L185" s="8">
        <v>18</v>
      </c>
      <c r="M185" s="7" t="s">
        <v>38</v>
      </c>
      <c r="N185" s="8">
        <v>5</v>
      </c>
      <c r="O185" s="7" t="s">
        <v>93</v>
      </c>
      <c r="P185" s="8">
        <v>5000</v>
      </c>
      <c r="Q185" s="9">
        <v>0.22</v>
      </c>
      <c r="R185" s="8">
        <v>0</v>
      </c>
      <c r="S185" s="7" t="s">
        <v>38</v>
      </c>
      <c r="T185" s="9">
        <v>14.5</v>
      </c>
      <c r="U185" s="9">
        <v>7.5</v>
      </c>
      <c r="V185" s="9">
        <v>4.5</v>
      </c>
      <c r="W185" s="9">
        <v>0.875</v>
      </c>
      <c r="X185" s="9">
        <v>1.06</v>
      </c>
      <c r="Y185" s="9">
        <v>0</v>
      </c>
      <c r="Z185" s="17">
        <v>3073781141429</v>
      </c>
      <c r="AA185" s="8">
        <v>180</v>
      </c>
      <c r="AB185" s="8">
        <v>60</v>
      </c>
      <c r="AC185" s="7" t="s">
        <v>94</v>
      </c>
      <c r="AD185" s="11">
        <v>18</v>
      </c>
      <c r="AE185">
        <f t="shared" si="3"/>
        <v>312611</v>
      </c>
    </row>
    <row r="186" spans="1:31" x14ac:dyDescent="0.25">
      <c r="A186" s="7">
        <v>312612</v>
      </c>
      <c r="B186" s="7" t="s">
        <v>334</v>
      </c>
      <c r="C186" s="7" t="s">
        <v>125</v>
      </c>
      <c r="D186" s="7" t="s">
        <v>32</v>
      </c>
      <c r="E186" s="7" t="s">
        <v>32</v>
      </c>
      <c r="F186" s="7" t="s">
        <v>34</v>
      </c>
      <c r="G186" s="7" t="s">
        <v>32</v>
      </c>
      <c r="H186" s="7" t="s">
        <v>36</v>
      </c>
      <c r="I186" s="7" t="s">
        <v>36</v>
      </c>
      <c r="J186" s="8">
        <v>1</v>
      </c>
      <c r="K186" s="7" t="s">
        <v>37</v>
      </c>
      <c r="L186" s="8">
        <v>8</v>
      </c>
      <c r="M186" s="7" t="s">
        <v>38</v>
      </c>
      <c r="N186" s="8">
        <v>2</v>
      </c>
      <c r="O186" s="7" t="s">
        <v>93</v>
      </c>
      <c r="P186" s="8">
        <v>2000</v>
      </c>
      <c r="Q186" s="9">
        <v>0.54</v>
      </c>
      <c r="R186" s="8">
        <v>0</v>
      </c>
      <c r="S186" s="7" t="s">
        <v>38</v>
      </c>
      <c r="T186" s="8">
        <v>17</v>
      </c>
      <c r="U186" s="9">
        <v>8.5</v>
      </c>
      <c r="V186" s="8">
        <v>7</v>
      </c>
      <c r="W186" s="9">
        <v>1.859</v>
      </c>
      <c r="X186" s="9">
        <v>2.2530000000000001</v>
      </c>
      <c r="Y186" s="9">
        <v>0</v>
      </c>
      <c r="Z186" s="17">
        <v>3073781141443</v>
      </c>
      <c r="AA186" s="8">
        <v>180</v>
      </c>
      <c r="AB186" s="8">
        <v>60</v>
      </c>
      <c r="AC186" s="7" t="s">
        <v>94</v>
      </c>
      <c r="AD186" s="11">
        <v>8</v>
      </c>
      <c r="AE186">
        <f t="shared" si="3"/>
        <v>312612</v>
      </c>
    </row>
    <row r="187" spans="1:31" x14ac:dyDescent="0.25">
      <c r="A187" s="7">
        <v>318173</v>
      </c>
      <c r="B187" s="7" t="s">
        <v>335</v>
      </c>
      <c r="C187" s="7" t="s">
        <v>108</v>
      </c>
      <c r="D187" s="7" t="s">
        <v>32</v>
      </c>
      <c r="E187" s="7" t="s">
        <v>32</v>
      </c>
      <c r="F187" s="7" t="s">
        <v>34</v>
      </c>
      <c r="G187" s="7" t="s">
        <v>32</v>
      </c>
      <c r="H187" s="7" t="s">
        <v>36</v>
      </c>
      <c r="I187" s="7" t="s">
        <v>36</v>
      </c>
      <c r="J187" s="8">
        <v>1</v>
      </c>
      <c r="K187" s="7" t="s">
        <v>37</v>
      </c>
      <c r="L187" s="8">
        <v>12</v>
      </c>
      <c r="M187" s="7" t="s">
        <v>38</v>
      </c>
      <c r="N187" s="8">
        <v>2</v>
      </c>
      <c r="O187" s="7" t="s">
        <v>93</v>
      </c>
      <c r="P187" s="8">
        <v>2000</v>
      </c>
      <c r="Q187" s="9">
        <v>0.49</v>
      </c>
      <c r="R187" s="8">
        <v>0</v>
      </c>
      <c r="S187" s="7" t="s">
        <v>38</v>
      </c>
      <c r="T187" s="8">
        <v>17</v>
      </c>
      <c r="U187" s="8">
        <v>8</v>
      </c>
      <c r="V187" s="8">
        <v>4</v>
      </c>
      <c r="W187" s="9">
        <v>1.5609999999999999</v>
      </c>
      <c r="X187" s="9">
        <v>1.893</v>
      </c>
      <c r="Y187" s="9">
        <v>0</v>
      </c>
      <c r="Z187" s="17">
        <v>3073780999816</v>
      </c>
      <c r="AA187" s="8">
        <v>273</v>
      </c>
      <c r="AB187" s="8">
        <v>60</v>
      </c>
      <c r="AC187" s="7" t="s">
        <v>94</v>
      </c>
      <c r="AD187" s="11">
        <v>12</v>
      </c>
      <c r="AE187">
        <f t="shared" si="3"/>
        <v>318173</v>
      </c>
    </row>
    <row r="188" spans="1:31" x14ac:dyDescent="0.25">
      <c r="A188" s="7">
        <v>324335</v>
      </c>
      <c r="B188" s="7" t="s">
        <v>336</v>
      </c>
      <c r="C188" s="7" t="s">
        <v>232</v>
      </c>
      <c r="D188" s="7" t="s">
        <v>91</v>
      </c>
      <c r="E188" s="7" t="s">
        <v>32</v>
      </c>
      <c r="F188" s="7" t="s">
        <v>34</v>
      </c>
      <c r="G188" s="7" t="s">
        <v>337</v>
      </c>
      <c r="H188" s="7" t="s">
        <v>36</v>
      </c>
      <c r="I188" s="7" t="s">
        <v>36</v>
      </c>
      <c r="J188" s="8">
        <v>1</v>
      </c>
      <c r="K188" s="7" t="s">
        <v>37</v>
      </c>
      <c r="L188" s="8">
        <v>200</v>
      </c>
      <c r="M188" s="7" t="s">
        <v>32</v>
      </c>
      <c r="N188" s="8">
        <v>0</v>
      </c>
      <c r="O188" s="7" t="s">
        <v>32</v>
      </c>
      <c r="P188" s="8">
        <v>0</v>
      </c>
      <c r="Q188" s="9">
        <v>0.25</v>
      </c>
      <c r="R188" s="8">
        <v>0</v>
      </c>
      <c r="S188" s="7" t="s">
        <v>38</v>
      </c>
      <c r="T188" s="8">
        <v>32</v>
      </c>
      <c r="U188" s="8">
        <v>8</v>
      </c>
      <c r="V188" s="8">
        <v>32</v>
      </c>
      <c r="W188" s="9">
        <v>6.8000000000000005E-2</v>
      </c>
      <c r="X188" s="9">
        <v>9.1999999999999998E-2</v>
      </c>
      <c r="Y188" s="9">
        <v>0</v>
      </c>
      <c r="Z188" s="17">
        <v>8901393020588</v>
      </c>
      <c r="AA188" s="8">
        <v>548</v>
      </c>
      <c r="AB188" s="8">
        <v>45</v>
      </c>
      <c r="AC188" s="7" t="s">
        <v>146</v>
      </c>
      <c r="AD188" s="11">
        <v>200</v>
      </c>
      <c r="AE188">
        <f t="shared" si="3"/>
        <v>324335</v>
      </c>
    </row>
    <row r="189" spans="1:31" x14ac:dyDescent="0.25">
      <c r="A189" s="7">
        <v>324336</v>
      </c>
      <c r="B189" s="7" t="s">
        <v>338</v>
      </c>
      <c r="C189" s="7" t="s">
        <v>232</v>
      </c>
      <c r="D189" s="7" t="s">
        <v>91</v>
      </c>
      <c r="E189" s="7" t="s">
        <v>32</v>
      </c>
      <c r="F189" s="7" t="s">
        <v>34</v>
      </c>
      <c r="G189" s="7" t="s">
        <v>339</v>
      </c>
      <c r="H189" s="7" t="s">
        <v>36</v>
      </c>
      <c r="I189" s="7" t="s">
        <v>36</v>
      </c>
      <c r="J189" s="8">
        <v>1</v>
      </c>
      <c r="K189" s="7" t="s">
        <v>37</v>
      </c>
      <c r="L189" s="8">
        <v>72</v>
      </c>
      <c r="M189" s="7" t="s">
        <v>32</v>
      </c>
      <c r="N189" s="8">
        <v>0</v>
      </c>
      <c r="O189" s="7" t="s">
        <v>32</v>
      </c>
      <c r="P189" s="8">
        <v>0</v>
      </c>
      <c r="Q189" s="9">
        <v>0.08</v>
      </c>
      <c r="R189" s="8">
        <v>0</v>
      </c>
      <c r="S189" s="7" t="s">
        <v>38</v>
      </c>
      <c r="T189" s="8">
        <v>13</v>
      </c>
      <c r="U189" s="8">
        <v>2</v>
      </c>
      <c r="V189" s="8">
        <v>17</v>
      </c>
      <c r="W189" s="9">
        <v>0.3</v>
      </c>
      <c r="X189" s="9">
        <v>0.43</v>
      </c>
      <c r="Y189" s="9">
        <v>0</v>
      </c>
      <c r="Z189" s="17">
        <v>8901393020571</v>
      </c>
      <c r="AA189" s="8">
        <v>548</v>
      </c>
      <c r="AB189" s="8">
        <v>45</v>
      </c>
      <c r="AC189" s="7" t="s">
        <v>146</v>
      </c>
      <c r="AD189" s="11">
        <v>72</v>
      </c>
      <c r="AE189">
        <f t="shared" si="3"/>
        <v>324336</v>
      </c>
    </row>
    <row r="190" spans="1:31" x14ac:dyDescent="0.25">
      <c r="A190" s="7">
        <v>327491</v>
      </c>
      <c r="B190" s="7" t="s">
        <v>340</v>
      </c>
      <c r="C190" s="7" t="s">
        <v>143</v>
      </c>
      <c r="D190" s="7" t="s">
        <v>91</v>
      </c>
      <c r="E190" s="7" t="s">
        <v>32</v>
      </c>
      <c r="F190" s="7" t="s">
        <v>34</v>
      </c>
      <c r="G190" s="7" t="s">
        <v>341</v>
      </c>
      <c r="H190" s="7" t="s">
        <v>36</v>
      </c>
      <c r="I190" s="7" t="s">
        <v>145</v>
      </c>
      <c r="J190" s="8">
        <v>6</v>
      </c>
      <c r="K190" s="7" t="s">
        <v>36</v>
      </c>
      <c r="L190" s="8">
        <v>1</v>
      </c>
      <c r="M190" s="7" t="s">
        <v>37</v>
      </c>
      <c r="N190" s="8">
        <v>72</v>
      </c>
      <c r="O190" s="7" t="s">
        <v>32</v>
      </c>
      <c r="P190" s="8">
        <v>0</v>
      </c>
      <c r="Q190" s="9">
        <v>0.27</v>
      </c>
      <c r="R190" s="8">
        <v>0</v>
      </c>
      <c r="S190" s="7" t="s">
        <v>38</v>
      </c>
      <c r="T190" s="8">
        <v>5</v>
      </c>
      <c r="U190" s="8">
        <v>5</v>
      </c>
      <c r="V190" s="9">
        <v>7.5</v>
      </c>
      <c r="W190" s="9">
        <v>0.46700000000000003</v>
      </c>
      <c r="X190" s="9">
        <v>0.65200000000000002</v>
      </c>
      <c r="Y190" s="9">
        <v>0</v>
      </c>
      <c r="Z190" s="17">
        <v>8935001725572</v>
      </c>
      <c r="AA190" s="8">
        <v>540</v>
      </c>
      <c r="AB190" s="8">
        <v>45</v>
      </c>
      <c r="AC190" s="7" t="s">
        <v>146</v>
      </c>
      <c r="AD190" s="11">
        <v>72</v>
      </c>
      <c r="AE190">
        <f t="shared" si="3"/>
        <v>327491</v>
      </c>
    </row>
    <row r="191" spans="1:31" x14ac:dyDescent="0.25">
      <c r="A191" s="7">
        <v>329171</v>
      </c>
      <c r="B191" s="7" t="s">
        <v>342</v>
      </c>
      <c r="C191" s="7" t="s">
        <v>232</v>
      </c>
      <c r="D191" s="7" t="s">
        <v>91</v>
      </c>
      <c r="E191" s="7" t="s">
        <v>32</v>
      </c>
      <c r="F191" s="7" t="s">
        <v>34</v>
      </c>
      <c r="G191" s="7" t="s">
        <v>343</v>
      </c>
      <c r="H191" s="7" t="s">
        <v>36</v>
      </c>
      <c r="I191" s="7" t="s">
        <v>36</v>
      </c>
      <c r="J191" s="8">
        <v>1</v>
      </c>
      <c r="K191" s="7" t="s">
        <v>37</v>
      </c>
      <c r="L191" s="8">
        <v>12</v>
      </c>
      <c r="M191" s="7" t="s">
        <v>32</v>
      </c>
      <c r="N191" s="8">
        <v>0</v>
      </c>
      <c r="O191" s="7" t="s">
        <v>32</v>
      </c>
      <c r="P191" s="8">
        <v>0</v>
      </c>
      <c r="Q191" s="9">
        <v>0.1</v>
      </c>
      <c r="R191" s="8">
        <v>0</v>
      </c>
      <c r="S191" s="7" t="s">
        <v>38</v>
      </c>
      <c r="T191" s="8">
        <v>10</v>
      </c>
      <c r="U191" s="8">
        <v>3</v>
      </c>
      <c r="V191" s="8">
        <v>14</v>
      </c>
      <c r="W191" s="9">
        <v>0.32100000000000001</v>
      </c>
      <c r="X191" s="9">
        <v>0.433</v>
      </c>
      <c r="Y191" s="9">
        <v>0</v>
      </c>
      <c r="Z191" s="17">
        <v>8992741993340</v>
      </c>
      <c r="AA191" s="8">
        <v>450</v>
      </c>
      <c r="AB191" s="8">
        <v>45</v>
      </c>
      <c r="AC191" s="7" t="s">
        <v>146</v>
      </c>
      <c r="AD191" s="11">
        <v>12</v>
      </c>
      <c r="AE191">
        <f t="shared" si="3"/>
        <v>329171</v>
      </c>
    </row>
    <row r="192" spans="1:31" x14ac:dyDescent="0.25">
      <c r="A192" s="7">
        <v>329172</v>
      </c>
      <c r="B192" s="7" t="s">
        <v>344</v>
      </c>
      <c r="C192" s="7" t="s">
        <v>232</v>
      </c>
      <c r="D192" s="7" t="s">
        <v>91</v>
      </c>
      <c r="E192" s="7" t="s">
        <v>32</v>
      </c>
      <c r="F192" s="7" t="s">
        <v>34</v>
      </c>
      <c r="G192" s="7" t="s">
        <v>345</v>
      </c>
      <c r="H192" s="7" t="s">
        <v>36</v>
      </c>
      <c r="I192" s="7" t="s">
        <v>36</v>
      </c>
      <c r="J192" s="8">
        <v>1</v>
      </c>
      <c r="K192" s="7" t="s">
        <v>37</v>
      </c>
      <c r="L192" s="8">
        <v>12</v>
      </c>
      <c r="M192" s="7" t="s">
        <v>32</v>
      </c>
      <c r="N192" s="8">
        <v>0</v>
      </c>
      <c r="O192" s="7" t="s">
        <v>32</v>
      </c>
      <c r="P192" s="8">
        <v>0</v>
      </c>
      <c r="Q192" s="9">
        <v>0.1</v>
      </c>
      <c r="R192" s="8">
        <v>0</v>
      </c>
      <c r="S192" s="7" t="s">
        <v>38</v>
      </c>
      <c r="T192" s="9">
        <v>11.5</v>
      </c>
      <c r="U192" s="9">
        <v>2.5</v>
      </c>
      <c r="V192" s="9">
        <v>11.5</v>
      </c>
      <c r="W192" s="9">
        <v>0.32100000000000001</v>
      </c>
      <c r="X192" s="9">
        <v>0.433</v>
      </c>
      <c r="Y192" s="9">
        <v>0</v>
      </c>
      <c r="Z192" s="17">
        <v>8992741993333</v>
      </c>
      <c r="AA192" s="8">
        <v>450</v>
      </c>
      <c r="AB192" s="8">
        <v>45</v>
      </c>
      <c r="AC192" s="7" t="s">
        <v>146</v>
      </c>
      <c r="AD192" s="11">
        <v>12</v>
      </c>
      <c r="AE192">
        <f t="shared" si="3"/>
        <v>329172</v>
      </c>
    </row>
    <row r="193" spans="1:31" x14ac:dyDescent="0.25">
      <c r="A193" s="7">
        <v>329173</v>
      </c>
      <c r="B193" s="7" t="s">
        <v>346</v>
      </c>
      <c r="C193" s="7" t="s">
        <v>232</v>
      </c>
      <c r="D193" s="7" t="s">
        <v>91</v>
      </c>
      <c r="E193" s="7" t="s">
        <v>32</v>
      </c>
      <c r="F193" s="7" t="s">
        <v>34</v>
      </c>
      <c r="G193" s="7" t="s">
        <v>347</v>
      </c>
      <c r="H193" s="7" t="s">
        <v>36</v>
      </c>
      <c r="I193" s="7" t="s">
        <v>36</v>
      </c>
      <c r="J193" s="8">
        <v>1</v>
      </c>
      <c r="K193" s="7" t="s">
        <v>37</v>
      </c>
      <c r="L193" s="8">
        <v>12</v>
      </c>
      <c r="M193" s="7" t="s">
        <v>32</v>
      </c>
      <c r="N193" s="8">
        <v>0</v>
      </c>
      <c r="O193" s="7" t="s">
        <v>32</v>
      </c>
      <c r="P193" s="8">
        <v>0</v>
      </c>
      <c r="Q193" s="9">
        <v>0.16</v>
      </c>
      <c r="R193" s="8">
        <v>0</v>
      </c>
      <c r="S193" s="7" t="s">
        <v>38</v>
      </c>
      <c r="T193" s="8">
        <v>12</v>
      </c>
      <c r="U193" s="9">
        <v>2.5</v>
      </c>
      <c r="V193" s="8">
        <v>18</v>
      </c>
      <c r="W193" s="9">
        <v>0.58199999999999996</v>
      </c>
      <c r="X193" s="9">
        <v>0.78700000000000003</v>
      </c>
      <c r="Y193" s="9">
        <v>0</v>
      </c>
      <c r="Z193" s="17">
        <v>8992741994088</v>
      </c>
      <c r="AA193" s="8">
        <v>450</v>
      </c>
      <c r="AB193" s="8">
        <v>45</v>
      </c>
      <c r="AC193" s="7" t="s">
        <v>146</v>
      </c>
      <c r="AD193" s="11">
        <v>12</v>
      </c>
      <c r="AE193">
        <f t="shared" si="3"/>
        <v>329173</v>
      </c>
    </row>
    <row r="194" spans="1:31" x14ac:dyDescent="0.25">
      <c r="A194" s="7">
        <v>341279</v>
      </c>
      <c r="B194" s="7" t="s">
        <v>348</v>
      </c>
      <c r="C194" s="7" t="s">
        <v>44</v>
      </c>
      <c r="D194" s="7" t="s">
        <v>32</v>
      </c>
      <c r="E194" s="7" t="s">
        <v>32</v>
      </c>
      <c r="F194" s="7" t="s">
        <v>34</v>
      </c>
      <c r="G194" s="7" t="s">
        <v>32</v>
      </c>
      <c r="H194" s="7" t="s">
        <v>36</v>
      </c>
      <c r="I194" s="7" t="s">
        <v>36</v>
      </c>
      <c r="J194" s="8">
        <v>1</v>
      </c>
      <c r="K194" s="7" t="s">
        <v>37</v>
      </c>
      <c r="L194" s="8">
        <v>20</v>
      </c>
      <c r="M194" s="7" t="s">
        <v>32</v>
      </c>
      <c r="N194" s="8">
        <v>0</v>
      </c>
      <c r="O194" s="7" t="s">
        <v>32</v>
      </c>
      <c r="P194" s="8">
        <v>0</v>
      </c>
      <c r="Q194" s="9">
        <v>0.4</v>
      </c>
      <c r="R194" s="8">
        <v>0</v>
      </c>
      <c r="S194" s="7" t="s">
        <v>38</v>
      </c>
      <c r="T194" s="8">
        <v>30</v>
      </c>
      <c r="U194" s="8">
        <v>8</v>
      </c>
      <c r="V194" s="8">
        <v>2</v>
      </c>
      <c r="W194" s="9">
        <v>0.28000000000000003</v>
      </c>
      <c r="X194" s="9">
        <v>0.38</v>
      </c>
      <c r="Y194" s="9">
        <v>0</v>
      </c>
      <c r="Z194" s="17">
        <v>24000109822</v>
      </c>
      <c r="AA194" s="8">
        <v>729</v>
      </c>
      <c r="AB194" s="8">
        <v>45</v>
      </c>
      <c r="AC194" s="7" t="s">
        <v>47</v>
      </c>
      <c r="AD194" s="11">
        <v>20</v>
      </c>
      <c r="AE194">
        <f t="shared" si="3"/>
        <v>341279</v>
      </c>
    </row>
    <row r="195" spans="1:31" x14ac:dyDescent="0.25">
      <c r="A195" s="7">
        <v>341280</v>
      </c>
      <c r="B195" s="7" t="s">
        <v>349</v>
      </c>
      <c r="C195" s="7" t="s">
        <v>44</v>
      </c>
      <c r="D195" s="7" t="s">
        <v>32</v>
      </c>
      <c r="E195" s="7" t="s">
        <v>32</v>
      </c>
      <c r="F195" s="7" t="s">
        <v>34</v>
      </c>
      <c r="G195" s="7" t="s">
        <v>32</v>
      </c>
      <c r="H195" s="7" t="s">
        <v>36</v>
      </c>
      <c r="I195" s="7" t="s">
        <v>36</v>
      </c>
      <c r="J195" s="8">
        <v>1</v>
      </c>
      <c r="K195" s="7" t="s">
        <v>37</v>
      </c>
      <c r="L195" s="8">
        <v>20</v>
      </c>
      <c r="M195" s="7" t="s">
        <v>32</v>
      </c>
      <c r="N195" s="8">
        <v>0</v>
      </c>
      <c r="O195" s="7" t="s">
        <v>32</v>
      </c>
      <c r="P195" s="8">
        <v>0</v>
      </c>
      <c r="Q195" s="9">
        <v>0.4</v>
      </c>
      <c r="R195" s="8">
        <v>0</v>
      </c>
      <c r="S195" s="7" t="s">
        <v>38</v>
      </c>
      <c r="T195" s="8">
        <v>20</v>
      </c>
      <c r="U195" s="8">
        <v>10</v>
      </c>
      <c r="V195" s="8">
        <v>5</v>
      </c>
      <c r="W195" s="9">
        <v>0.28000000000000003</v>
      </c>
      <c r="X195" s="9">
        <v>0.38</v>
      </c>
      <c r="Y195" s="9">
        <v>0</v>
      </c>
      <c r="Z195" s="17">
        <v>24000109785</v>
      </c>
      <c r="AA195" s="8">
        <v>729</v>
      </c>
      <c r="AB195" s="8">
        <v>45</v>
      </c>
      <c r="AC195" s="7" t="s">
        <v>47</v>
      </c>
      <c r="AD195" s="11">
        <v>20</v>
      </c>
      <c r="AE195">
        <f t="shared" ref="AE195:AE258" si="4">A195</f>
        <v>341280</v>
      </c>
    </row>
    <row r="196" spans="1:31" x14ac:dyDescent="0.25">
      <c r="A196" s="7">
        <v>341281</v>
      </c>
      <c r="B196" s="7" t="s">
        <v>350</v>
      </c>
      <c r="C196" s="7" t="s">
        <v>44</v>
      </c>
      <c r="D196" s="7" t="s">
        <v>32</v>
      </c>
      <c r="E196" s="7" t="s">
        <v>32</v>
      </c>
      <c r="F196" s="7" t="s">
        <v>34</v>
      </c>
      <c r="G196" s="7" t="s">
        <v>32</v>
      </c>
      <c r="H196" s="7" t="s">
        <v>36</v>
      </c>
      <c r="I196" s="7" t="s">
        <v>36</v>
      </c>
      <c r="J196" s="8">
        <v>1</v>
      </c>
      <c r="K196" s="7" t="s">
        <v>37</v>
      </c>
      <c r="L196" s="8">
        <v>20</v>
      </c>
      <c r="M196" s="7" t="s">
        <v>32</v>
      </c>
      <c r="N196" s="8">
        <v>0</v>
      </c>
      <c r="O196" s="7" t="s">
        <v>32</v>
      </c>
      <c r="P196" s="8">
        <v>0</v>
      </c>
      <c r="Q196" s="9">
        <v>0.4</v>
      </c>
      <c r="R196" s="8">
        <v>0</v>
      </c>
      <c r="S196" s="7" t="s">
        <v>38</v>
      </c>
      <c r="T196" s="8">
        <v>20</v>
      </c>
      <c r="U196" s="8">
        <v>10</v>
      </c>
      <c r="V196" s="8">
        <v>3</v>
      </c>
      <c r="W196" s="9">
        <v>0.28000000000000003</v>
      </c>
      <c r="X196" s="9">
        <v>0.38</v>
      </c>
      <c r="Y196" s="9">
        <v>0</v>
      </c>
      <c r="Z196" s="17">
        <v>24000109792</v>
      </c>
      <c r="AA196" s="8">
        <v>729</v>
      </c>
      <c r="AB196" s="8">
        <v>45</v>
      </c>
      <c r="AC196" s="7" t="s">
        <v>47</v>
      </c>
      <c r="AD196" s="11">
        <v>20</v>
      </c>
      <c r="AE196">
        <f t="shared" si="4"/>
        <v>341281</v>
      </c>
    </row>
    <row r="197" spans="1:31" x14ac:dyDescent="0.25">
      <c r="A197" s="7">
        <v>341282</v>
      </c>
      <c r="B197" s="7" t="s">
        <v>351</v>
      </c>
      <c r="C197" s="7" t="s">
        <v>44</v>
      </c>
      <c r="D197" s="7" t="s">
        <v>32</v>
      </c>
      <c r="E197" s="7" t="s">
        <v>32</v>
      </c>
      <c r="F197" s="7" t="s">
        <v>34</v>
      </c>
      <c r="G197" s="7" t="s">
        <v>32</v>
      </c>
      <c r="H197" s="7" t="s">
        <v>36</v>
      </c>
      <c r="I197" s="7" t="s">
        <v>36</v>
      </c>
      <c r="J197" s="8">
        <v>1</v>
      </c>
      <c r="K197" s="7" t="s">
        <v>37</v>
      </c>
      <c r="L197" s="8">
        <v>20</v>
      </c>
      <c r="M197" s="7" t="s">
        <v>32</v>
      </c>
      <c r="N197" s="8">
        <v>0</v>
      </c>
      <c r="O197" s="7" t="s">
        <v>32</v>
      </c>
      <c r="P197" s="8">
        <v>0</v>
      </c>
      <c r="Q197" s="9">
        <v>0.4</v>
      </c>
      <c r="R197" s="8">
        <v>0</v>
      </c>
      <c r="S197" s="7" t="s">
        <v>38</v>
      </c>
      <c r="T197" s="8">
        <v>21</v>
      </c>
      <c r="U197" s="8">
        <v>12</v>
      </c>
      <c r="V197" s="8">
        <v>5</v>
      </c>
      <c r="W197" s="9">
        <v>0.28000000000000003</v>
      </c>
      <c r="X197" s="9">
        <v>0.38</v>
      </c>
      <c r="Y197" s="9">
        <v>0</v>
      </c>
      <c r="Z197" s="17">
        <v>24000109808</v>
      </c>
      <c r="AA197" s="8">
        <v>729</v>
      </c>
      <c r="AB197" s="8">
        <v>45</v>
      </c>
      <c r="AC197" s="7" t="s">
        <v>47</v>
      </c>
      <c r="AD197" s="11">
        <v>20</v>
      </c>
      <c r="AE197">
        <f t="shared" si="4"/>
        <v>341282</v>
      </c>
    </row>
    <row r="198" spans="1:31" x14ac:dyDescent="0.25">
      <c r="A198" s="7">
        <v>341283</v>
      </c>
      <c r="B198" s="7" t="s">
        <v>352</v>
      </c>
      <c r="C198" s="7" t="s">
        <v>44</v>
      </c>
      <c r="D198" s="7" t="s">
        <v>32</v>
      </c>
      <c r="E198" s="7" t="s">
        <v>32</v>
      </c>
      <c r="F198" s="7" t="s">
        <v>34</v>
      </c>
      <c r="G198" s="7" t="s">
        <v>32</v>
      </c>
      <c r="H198" s="7" t="s">
        <v>36</v>
      </c>
      <c r="I198" s="7" t="s">
        <v>36</v>
      </c>
      <c r="J198" s="8">
        <v>1</v>
      </c>
      <c r="K198" s="7" t="s">
        <v>37</v>
      </c>
      <c r="L198" s="8">
        <v>20</v>
      </c>
      <c r="M198" s="7" t="s">
        <v>32</v>
      </c>
      <c r="N198" s="8">
        <v>0</v>
      </c>
      <c r="O198" s="7" t="s">
        <v>32</v>
      </c>
      <c r="P198" s="8">
        <v>0</v>
      </c>
      <c r="Q198" s="9">
        <v>0.4</v>
      </c>
      <c r="R198" s="8">
        <v>0</v>
      </c>
      <c r="S198" s="7" t="s">
        <v>38</v>
      </c>
      <c r="T198" s="8">
        <v>20</v>
      </c>
      <c r="U198" s="8">
        <v>10</v>
      </c>
      <c r="V198" s="8">
        <v>5</v>
      </c>
      <c r="W198" s="9">
        <v>0.28000000000000003</v>
      </c>
      <c r="X198" s="9">
        <v>0.38</v>
      </c>
      <c r="Y198" s="9">
        <v>0</v>
      </c>
      <c r="Z198" s="17">
        <v>24000109815</v>
      </c>
      <c r="AA198" s="8">
        <v>729</v>
      </c>
      <c r="AB198" s="8">
        <v>45</v>
      </c>
      <c r="AC198" s="7" t="s">
        <v>47</v>
      </c>
      <c r="AD198" s="11">
        <v>20</v>
      </c>
      <c r="AE198">
        <f t="shared" si="4"/>
        <v>341283</v>
      </c>
    </row>
    <row r="199" spans="1:31" x14ac:dyDescent="0.25">
      <c r="A199" s="7">
        <v>345781</v>
      </c>
      <c r="B199" s="7" t="s">
        <v>353</v>
      </c>
      <c r="C199" s="7" t="s">
        <v>143</v>
      </c>
      <c r="D199" s="7" t="s">
        <v>91</v>
      </c>
      <c r="E199" s="7" t="s">
        <v>32</v>
      </c>
      <c r="F199" s="7" t="s">
        <v>103</v>
      </c>
      <c r="G199" s="7" t="s">
        <v>354</v>
      </c>
      <c r="H199" s="7" t="s">
        <v>36</v>
      </c>
      <c r="I199" s="7" t="s">
        <v>36</v>
      </c>
      <c r="J199" s="8">
        <v>1</v>
      </c>
      <c r="K199" s="7" t="s">
        <v>37</v>
      </c>
      <c r="L199" s="8">
        <v>24</v>
      </c>
      <c r="M199" s="7" t="s">
        <v>32</v>
      </c>
      <c r="N199" s="8">
        <v>0</v>
      </c>
      <c r="O199" s="7" t="s">
        <v>32</v>
      </c>
      <c r="P199" s="8">
        <v>0</v>
      </c>
      <c r="Q199" s="9">
        <v>0.15</v>
      </c>
      <c r="R199" s="8">
        <v>0</v>
      </c>
      <c r="S199" s="7" t="s">
        <v>38</v>
      </c>
      <c r="T199" s="8">
        <v>11</v>
      </c>
      <c r="U199" s="8">
        <v>5</v>
      </c>
      <c r="V199" s="8">
        <v>13</v>
      </c>
      <c r="W199" s="9">
        <v>0.86799999999999999</v>
      </c>
      <c r="X199" s="9">
        <v>1.45</v>
      </c>
      <c r="Y199" s="9">
        <v>0</v>
      </c>
      <c r="Z199" s="17">
        <v>8935001726470</v>
      </c>
      <c r="AA199" s="8">
        <v>540</v>
      </c>
      <c r="AB199" s="8">
        <v>90</v>
      </c>
      <c r="AC199" s="7" t="s">
        <v>146</v>
      </c>
      <c r="AD199" s="11">
        <v>24</v>
      </c>
      <c r="AE199">
        <f t="shared" si="4"/>
        <v>345781</v>
      </c>
    </row>
    <row r="200" spans="1:31" x14ac:dyDescent="0.25">
      <c r="A200" s="7">
        <v>345782</v>
      </c>
      <c r="B200" s="7" t="s">
        <v>355</v>
      </c>
      <c r="C200" s="7" t="s">
        <v>143</v>
      </c>
      <c r="D200" s="7" t="s">
        <v>91</v>
      </c>
      <c r="E200" s="7" t="s">
        <v>32</v>
      </c>
      <c r="F200" s="7" t="s">
        <v>103</v>
      </c>
      <c r="G200" s="7" t="s">
        <v>356</v>
      </c>
      <c r="H200" s="7" t="s">
        <v>36</v>
      </c>
      <c r="I200" s="7" t="s">
        <v>36</v>
      </c>
      <c r="J200" s="8">
        <v>1</v>
      </c>
      <c r="K200" s="7" t="s">
        <v>37</v>
      </c>
      <c r="L200" s="8">
        <v>24</v>
      </c>
      <c r="M200" s="7" t="s">
        <v>32</v>
      </c>
      <c r="N200" s="8">
        <v>0</v>
      </c>
      <c r="O200" s="7" t="s">
        <v>32</v>
      </c>
      <c r="P200" s="8">
        <v>0</v>
      </c>
      <c r="Q200" s="9">
        <v>0.15</v>
      </c>
      <c r="R200" s="8">
        <v>0</v>
      </c>
      <c r="S200" s="7" t="s">
        <v>38</v>
      </c>
      <c r="T200" s="8">
        <v>11</v>
      </c>
      <c r="U200" s="8">
        <v>5</v>
      </c>
      <c r="V200" s="8">
        <v>13</v>
      </c>
      <c r="W200" s="9">
        <v>0.86799999999999999</v>
      </c>
      <c r="X200" s="9">
        <v>1.45</v>
      </c>
      <c r="Y200" s="9">
        <v>0</v>
      </c>
      <c r="Z200" s="17">
        <v>8935001726487</v>
      </c>
      <c r="AA200" s="8">
        <v>540</v>
      </c>
      <c r="AB200" s="8">
        <v>90</v>
      </c>
      <c r="AC200" s="7" t="s">
        <v>146</v>
      </c>
      <c r="AD200" s="11">
        <v>24</v>
      </c>
      <c r="AE200">
        <f t="shared" si="4"/>
        <v>345782</v>
      </c>
    </row>
    <row r="201" spans="1:31" x14ac:dyDescent="0.25">
      <c r="A201" s="7">
        <v>350053</v>
      </c>
      <c r="B201" s="7" t="s">
        <v>357</v>
      </c>
      <c r="C201" s="7" t="s">
        <v>180</v>
      </c>
      <c r="D201" s="7" t="s">
        <v>32</v>
      </c>
      <c r="E201" s="7" t="s">
        <v>32</v>
      </c>
      <c r="F201" s="7" t="s">
        <v>86</v>
      </c>
      <c r="G201" s="7" t="s">
        <v>32</v>
      </c>
      <c r="H201" s="7" t="s">
        <v>36</v>
      </c>
      <c r="I201" s="7" t="s">
        <v>36</v>
      </c>
      <c r="J201" s="8">
        <v>1</v>
      </c>
      <c r="K201" s="7" t="s">
        <v>37</v>
      </c>
      <c r="L201" s="8">
        <v>4</v>
      </c>
      <c r="M201" s="7" t="s">
        <v>32</v>
      </c>
      <c r="N201" s="8">
        <v>0</v>
      </c>
      <c r="O201" s="7" t="s">
        <v>32</v>
      </c>
      <c r="P201" s="8">
        <v>0</v>
      </c>
      <c r="Q201" s="9">
        <v>1.35</v>
      </c>
      <c r="R201" s="8">
        <v>0</v>
      </c>
      <c r="S201" s="7" t="s">
        <v>38</v>
      </c>
      <c r="T201" s="8">
        <v>21</v>
      </c>
      <c r="U201" s="8">
        <v>6</v>
      </c>
      <c r="V201" s="8">
        <v>14</v>
      </c>
      <c r="W201" s="9">
        <v>1.1160000000000001</v>
      </c>
      <c r="X201" s="9">
        <v>1.395</v>
      </c>
      <c r="Y201" s="9">
        <v>0</v>
      </c>
      <c r="Z201" s="17">
        <v>1800000012206</v>
      </c>
      <c r="AA201" s="8">
        <v>730</v>
      </c>
      <c r="AB201" s="8">
        <v>90</v>
      </c>
      <c r="AC201" s="7" t="s">
        <v>182</v>
      </c>
      <c r="AD201" s="11">
        <v>4</v>
      </c>
      <c r="AE201">
        <f t="shared" si="4"/>
        <v>350053</v>
      </c>
    </row>
    <row r="202" spans="1:31" x14ac:dyDescent="0.25">
      <c r="A202" s="7">
        <v>350054</v>
      </c>
      <c r="B202" s="7" t="s">
        <v>358</v>
      </c>
      <c r="C202" s="7" t="s">
        <v>175</v>
      </c>
      <c r="D202" s="7" t="s">
        <v>32</v>
      </c>
      <c r="E202" s="7" t="s">
        <v>32</v>
      </c>
      <c r="F202" s="7" t="s">
        <v>86</v>
      </c>
      <c r="G202" s="7" t="s">
        <v>32</v>
      </c>
      <c r="H202" s="7" t="s">
        <v>36</v>
      </c>
      <c r="I202" s="7" t="s">
        <v>36</v>
      </c>
      <c r="J202" s="8">
        <v>1</v>
      </c>
      <c r="K202" s="7" t="s">
        <v>37</v>
      </c>
      <c r="L202" s="8">
        <v>8</v>
      </c>
      <c r="M202" s="7" t="s">
        <v>32</v>
      </c>
      <c r="N202" s="8">
        <v>0</v>
      </c>
      <c r="O202" s="7" t="s">
        <v>32</v>
      </c>
      <c r="P202" s="8">
        <v>0</v>
      </c>
      <c r="Q202" s="9">
        <v>0.6</v>
      </c>
      <c r="R202" s="8">
        <v>0</v>
      </c>
      <c r="S202" s="7" t="s">
        <v>38</v>
      </c>
      <c r="T202" s="8">
        <v>17</v>
      </c>
      <c r="U202" s="8">
        <v>22</v>
      </c>
      <c r="V202" s="9">
        <v>21.5</v>
      </c>
      <c r="W202" s="9">
        <v>0.82</v>
      </c>
      <c r="X202" s="9">
        <v>1.0249999999999999</v>
      </c>
      <c r="Y202" s="9">
        <v>0</v>
      </c>
      <c r="Z202" s="17">
        <v>1800000012305</v>
      </c>
      <c r="AA202" s="8">
        <v>540</v>
      </c>
      <c r="AB202" s="8">
        <v>90</v>
      </c>
      <c r="AC202" s="7" t="s">
        <v>178</v>
      </c>
      <c r="AD202" s="11">
        <v>8</v>
      </c>
      <c r="AE202">
        <f t="shared" si="4"/>
        <v>350054</v>
      </c>
    </row>
    <row r="203" spans="1:31" x14ac:dyDescent="0.25">
      <c r="A203" s="7">
        <v>351374</v>
      </c>
      <c r="B203" s="7" t="s">
        <v>359</v>
      </c>
      <c r="C203" s="7" t="s">
        <v>143</v>
      </c>
      <c r="D203" s="7" t="s">
        <v>91</v>
      </c>
      <c r="E203" s="7" t="s">
        <v>32</v>
      </c>
      <c r="F203" s="7" t="s">
        <v>34</v>
      </c>
      <c r="G203" s="7" t="s">
        <v>360</v>
      </c>
      <c r="H203" s="7" t="s">
        <v>36</v>
      </c>
      <c r="I203" s="7" t="s">
        <v>145</v>
      </c>
      <c r="J203" s="8">
        <v>16</v>
      </c>
      <c r="K203" s="7" t="s">
        <v>36</v>
      </c>
      <c r="L203" s="8">
        <v>1</v>
      </c>
      <c r="M203" s="7" t="s">
        <v>37</v>
      </c>
      <c r="N203" s="8">
        <v>192</v>
      </c>
      <c r="O203" s="7" t="s">
        <v>32</v>
      </c>
      <c r="P203" s="8">
        <v>0</v>
      </c>
      <c r="Q203" s="9">
        <v>0.02</v>
      </c>
      <c r="R203" s="8">
        <v>0</v>
      </c>
      <c r="S203" s="7" t="s">
        <v>38</v>
      </c>
      <c r="T203" s="8">
        <v>2</v>
      </c>
      <c r="U203" s="8">
        <v>2</v>
      </c>
      <c r="V203" s="8">
        <v>9</v>
      </c>
      <c r="W203" s="9">
        <v>0.13600000000000001</v>
      </c>
      <c r="X203" s="9">
        <v>0.184</v>
      </c>
      <c r="Y203" s="9">
        <v>0</v>
      </c>
      <c r="Z203" s="17">
        <v>8935001726494</v>
      </c>
      <c r="AA203" s="8">
        <v>540</v>
      </c>
      <c r="AB203" s="8">
        <v>90</v>
      </c>
      <c r="AC203" s="7" t="s">
        <v>146</v>
      </c>
      <c r="AD203" s="11">
        <v>192</v>
      </c>
      <c r="AE203">
        <f t="shared" si="4"/>
        <v>351374</v>
      </c>
    </row>
    <row r="204" spans="1:31" x14ac:dyDescent="0.25">
      <c r="A204" s="7">
        <v>351378</v>
      </c>
      <c r="B204" s="7" t="s">
        <v>361</v>
      </c>
      <c r="C204" s="7" t="s">
        <v>143</v>
      </c>
      <c r="D204" s="7" t="s">
        <v>91</v>
      </c>
      <c r="E204" s="7" t="s">
        <v>32</v>
      </c>
      <c r="F204" s="7" t="s">
        <v>34</v>
      </c>
      <c r="G204" s="7" t="s">
        <v>362</v>
      </c>
      <c r="H204" s="7" t="s">
        <v>36</v>
      </c>
      <c r="I204" s="7" t="s">
        <v>145</v>
      </c>
      <c r="J204" s="8">
        <v>40</v>
      </c>
      <c r="K204" s="7" t="s">
        <v>36</v>
      </c>
      <c r="L204" s="8">
        <v>1</v>
      </c>
      <c r="M204" s="7" t="s">
        <v>37</v>
      </c>
      <c r="N204" s="8">
        <v>240</v>
      </c>
      <c r="O204" s="7" t="s">
        <v>32</v>
      </c>
      <c r="P204" s="8">
        <v>0</v>
      </c>
      <c r="Q204" s="9">
        <v>0.04</v>
      </c>
      <c r="R204" s="8">
        <v>0</v>
      </c>
      <c r="S204" s="7" t="s">
        <v>38</v>
      </c>
      <c r="T204" s="8">
        <v>2</v>
      </c>
      <c r="U204" s="8">
        <v>2</v>
      </c>
      <c r="V204" s="9">
        <v>13.5</v>
      </c>
      <c r="W204" s="9">
        <v>8.6999999999999994E-2</v>
      </c>
      <c r="X204" s="9">
        <v>0.11799999999999999</v>
      </c>
      <c r="Y204" s="9">
        <v>0</v>
      </c>
      <c r="Z204" s="17">
        <v>8990800000176</v>
      </c>
      <c r="AA204" s="8">
        <v>540</v>
      </c>
      <c r="AB204" s="8">
        <v>90</v>
      </c>
      <c r="AC204" s="7" t="s">
        <v>146</v>
      </c>
      <c r="AD204" s="11">
        <v>240</v>
      </c>
      <c r="AE204">
        <f t="shared" si="4"/>
        <v>351378</v>
      </c>
    </row>
    <row r="205" spans="1:31" x14ac:dyDescent="0.25">
      <c r="A205" s="7">
        <v>351379</v>
      </c>
      <c r="B205" s="7" t="s">
        <v>363</v>
      </c>
      <c r="C205" s="7" t="s">
        <v>143</v>
      </c>
      <c r="D205" s="7" t="s">
        <v>91</v>
      </c>
      <c r="E205" s="7" t="s">
        <v>32</v>
      </c>
      <c r="F205" s="7" t="s">
        <v>34</v>
      </c>
      <c r="G205" s="7" t="s">
        <v>364</v>
      </c>
      <c r="H205" s="7" t="s">
        <v>36</v>
      </c>
      <c r="I205" s="7" t="s">
        <v>145</v>
      </c>
      <c r="J205" s="8">
        <v>40</v>
      </c>
      <c r="K205" s="7" t="s">
        <v>36</v>
      </c>
      <c r="L205" s="8">
        <v>1</v>
      </c>
      <c r="M205" s="7" t="s">
        <v>37</v>
      </c>
      <c r="N205" s="8">
        <v>240</v>
      </c>
      <c r="O205" s="7" t="s">
        <v>32</v>
      </c>
      <c r="P205" s="8">
        <v>0</v>
      </c>
      <c r="Q205" s="9">
        <v>0.04</v>
      </c>
      <c r="R205" s="8">
        <v>0</v>
      </c>
      <c r="S205" s="7" t="s">
        <v>38</v>
      </c>
      <c r="T205" s="8">
        <v>2</v>
      </c>
      <c r="U205" s="8">
        <v>2</v>
      </c>
      <c r="V205" s="9">
        <v>13.5</v>
      </c>
      <c r="W205" s="9">
        <v>8.6999999999999994E-2</v>
      </c>
      <c r="X205" s="9">
        <v>0.11799999999999999</v>
      </c>
      <c r="Y205" s="9">
        <v>0</v>
      </c>
      <c r="Z205" s="17">
        <v>8990800013244</v>
      </c>
      <c r="AA205" s="8">
        <v>540</v>
      </c>
      <c r="AB205" s="8">
        <v>90</v>
      </c>
      <c r="AC205" s="7" t="s">
        <v>146</v>
      </c>
      <c r="AD205" s="11">
        <v>240</v>
      </c>
      <c r="AE205">
        <f t="shared" si="4"/>
        <v>351379</v>
      </c>
    </row>
    <row r="206" spans="1:31" x14ac:dyDescent="0.25">
      <c r="A206" s="7">
        <v>351380</v>
      </c>
      <c r="B206" s="7" t="s">
        <v>365</v>
      </c>
      <c r="C206" s="7" t="s">
        <v>143</v>
      </c>
      <c r="D206" s="7" t="s">
        <v>91</v>
      </c>
      <c r="E206" s="7" t="s">
        <v>32</v>
      </c>
      <c r="F206" s="7" t="s">
        <v>34</v>
      </c>
      <c r="G206" s="7" t="s">
        <v>366</v>
      </c>
      <c r="H206" s="7" t="s">
        <v>36</v>
      </c>
      <c r="I206" s="7" t="s">
        <v>145</v>
      </c>
      <c r="J206" s="8">
        <v>40</v>
      </c>
      <c r="K206" s="7" t="s">
        <v>36</v>
      </c>
      <c r="L206" s="8">
        <v>1</v>
      </c>
      <c r="M206" s="7" t="s">
        <v>37</v>
      </c>
      <c r="N206" s="8">
        <v>240</v>
      </c>
      <c r="O206" s="7" t="s">
        <v>32</v>
      </c>
      <c r="P206" s="8">
        <v>0</v>
      </c>
      <c r="Q206" s="9">
        <v>7.0000000000000007E-2</v>
      </c>
      <c r="R206" s="8">
        <v>0</v>
      </c>
      <c r="S206" s="7" t="s">
        <v>38</v>
      </c>
      <c r="T206" s="8">
        <v>2</v>
      </c>
      <c r="U206" s="8">
        <v>2</v>
      </c>
      <c r="V206" s="9">
        <v>13.5</v>
      </c>
      <c r="W206" s="9">
        <v>8.6999999999999994E-2</v>
      </c>
      <c r="X206" s="9">
        <v>0.11799999999999999</v>
      </c>
      <c r="Y206" s="9">
        <v>0</v>
      </c>
      <c r="Z206" s="17">
        <v>8990800000053</v>
      </c>
      <c r="AA206" s="8">
        <v>540</v>
      </c>
      <c r="AB206" s="8">
        <v>90</v>
      </c>
      <c r="AC206" s="7" t="s">
        <v>146</v>
      </c>
      <c r="AD206" s="11">
        <v>240</v>
      </c>
      <c r="AE206">
        <f t="shared" si="4"/>
        <v>351380</v>
      </c>
    </row>
    <row r="207" spans="1:31" x14ac:dyDescent="0.25">
      <c r="A207" s="7">
        <v>351381</v>
      </c>
      <c r="B207" s="7" t="s">
        <v>367</v>
      </c>
      <c r="C207" s="7" t="s">
        <v>143</v>
      </c>
      <c r="D207" s="7" t="s">
        <v>91</v>
      </c>
      <c r="E207" s="7" t="s">
        <v>32</v>
      </c>
      <c r="F207" s="7" t="s">
        <v>34</v>
      </c>
      <c r="G207" s="7" t="s">
        <v>368</v>
      </c>
      <c r="H207" s="7" t="s">
        <v>36</v>
      </c>
      <c r="I207" s="7" t="s">
        <v>145</v>
      </c>
      <c r="J207" s="8">
        <v>40</v>
      </c>
      <c r="K207" s="7" t="s">
        <v>36</v>
      </c>
      <c r="L207" s="8">
        <v>1</v>
      </c>
      <c r="M207" s="7" t="s">
        <v>37</v>
      </c>
      <c r="N207" s="8">
        <v>240</v>
      </c>
      <c r="O207" s="7" t="s">
        <v>32</v>
      </c>
      <c r="P207" s="8">
        <v>0</v>
      </c>
      <c r="Q207" s="9">
        <v>0.04</v>
      </c>
      <c r="R207" s="8">
        <v>0</v>
      </c>
      <c r="S207" s="7" t="s">
        <v>38</v>
      </c>
      <c r="T207" s="8">
        <v>2</v>
      </c>
      <c r="U207" s="8">
        <v>2</v>
      </c>
      <c r="V207" s="9">
        <v>13.5</v>
      </c>
      <c r="W207" s="9">
        <v>8.6999999999999994E-2</v>
      </c>
      <c r="X207" s="9">
        <v>0.11799999999999999</v>
      </c>
      <c r="Y207" s="9">
        <v>0</v>
      </c>
      <c r="Z207" s="17">
        <v>8990800014500</v>
      </c>
      <c r="AA207" s="8">
        <v>540</v>
      </c>
      <c r="AB207" s="8">
        <v>90</v>
      </c>
      <c r="AC207" s="7" t="s">
        <v>146</v>
      </c>
      <c r="AD207" s="11">
        <v>240</v>
      </c>
      <c r="AE207">
        <f t="shared" si="4"/>
        <v>351381</v>
      </c>
    </row>
    <row r="208" spans="1:31" x14ac:dyDescent="0.25">
      <c r="A208" s="7">
        <v>351970</v>
      </c>
      <c r="B208" s="7" t="s">
        <v>369</v>
      </c>
      <c r="C208" s="7" t="s">
        <v>143</v>
      </c>
      <c r="D208" s="7" t="s">
        <v>91</v>
      </c>
      <c r="E208" s="7" t="s">
        <v>32</v>
      </c>
      <c r="F208" s="7" t="s">
        <v>34</v>
      </c>
      <c r="G208" s="7" t="s">
        <v>370</v>
      </c>
      <c r="H208" s="7" t="s">
        <v>36</v>
      </c>
      <c r="I208" s="7" t="s">
        <v>145</v>
      </c>
      <c r="J208" s="8">
        <v>40</v>
      </c>
      <c r="K208" s="7" t="s">
        <v>36</v>
      </c>
      <c r="L208" s="8">
        <v>1</v>
      </c>
      <c r="M208" s="7" t="s">
        <v>37</v>
      </c>
      <c r="N208" s="8">
        <v>240</v>
      </c>
      <c r="O208" s="7" t="s">
        <v>32</v>
      </c>
      <c r="P208" s="8">
        <v>0</v>
      </c>
      <c r="Q208" s="9">
        <v>3.7999999999999999E-2</v>
      </c>
      <c r="R208" s="8">
        <v>0</v>
      </c>
      <c r="S208" s="7" t="s">
        <v>38</v>
      </c>
      <c r="T208" s="8">
        <v>13</v>
      </c>
      <c r="U208" s="8">
        <v>2</v>
      </c>
      <c r="V208" s="8">
        <v>2</v>
      </c>
      <c r="W208" s="9">
        <v>8.6999999999999994E-2</v>
      </c>
      <c r="X208" s="9">
        <v>0.11799999999999999</v>
      </c>
      <c r="Y208" s="9">
        <v>0</v>
      </c>
      <c r="Z208" s="17">
        <v>8990800000015</v>
      </c>
      <c r="AA208" s="8">
        <v>540</v>
      </c>
      <c r="AB208" s="8">
        <v>90</v>
      </c>
      <c r="AC208" s="7" t="s">
        <v>146</v>
      </c>
      <c r="AD208" s="11">
        <v>240</v>
      </c>
      <c r="AE208">
        <f t="shared" si="4"/>
        <v>351970</v>
      </c>
    </row>
    <row r="209" spans="1:31" x14ac:dyDescent="0.25">
      <c r="A209" s="7">
        <v>352469</v>
      </c>
      <c r="B209" s="7" t="s">
        <v>371</v>
      </c>
      <c r="C209" s="7" t="s">
        <v>143</v>
      </c>
      <c r="D209" s="7" t="s">
        <v>91</v>
      </c>
      <c r="E209" s="7" t="s">
        <v>32</v>
      </c>
      <c r="F209" s="7" t="s">
        <v>34</v>
      </c>
      <c r="G209" s="7" t="s">
        <v>372</v>
      </c>
      <c r="H209" s="7" t="s">
        <v>36</v>
      </c>
      <c r="I209" s="7" t="s">
        <v>145</v>
      </c>
      <c r="J209" s="8">
        <v>24</v>
      </c>
      <c r="K209" s="7" t="s">
        <v>36</v>
      </c>
      <c r="L209" s="8">
        <v>1</v>
      </c>
      <c r="M209" s="7" t="s">
        <v>37</v>
      </c>
      <c r="N209" s="8">
        <v>288</v>
      </c>
      <c r="O209" s="7" t="s">
        <v>32</v>
      </c>
      <c r="P209" s="8">
        <v>0</v>
      </c>
      <c r="Q209" s="9">
        <v>0.03</v>
      </c>
      <c r="R209" s="8">
        <v>0</v>
      </c>
      <c r="S209" s="7" t="s">
        <v>38</v>
      </c>
      <c r="T209" s="8">
        <v>2</v>
      </c>
      <c r="U209" s="8">
        <v>2</v>
      </c>
      <c r="V209" s="9">
        <v>10.5</v>
      </c>
      <c r="W209" s="9">
        <v>6.8000000000000005E-2</v>
      </c>
      <c r="X209" s="9">
        <v>0.104</v>
      </c>
      <c r="Y209" s="9">
        <v>0</v>
      </c>
      <c r="Z209" s="17">
        <v>8990800023908</v>
      </c>
      <c r="AA209" s="8">
        <v>540</v>
      </c>
      <c r="AB209" s="8">
        <v>90</v>
      </c>
      <c r="AC209" s="7" t="s">
        <v>146</v>
      </c>
      <c r="AD209" s="11">
        <v>288</v>
      </c>
      <c r="AE209">
        <f t="shared" si="4"/>
        <v>352469</v>
      </c>
    </row>
    <row r="210" spans="1:31" x14ac:dyDescent="0.25">
      <c r="A210" s="7">
        <v>352470</v>
      </c>
      <c r="B210" s="7" t="s">
        <v>373</v>
      </c>
      <c r="C210" s="7" t="s">
        <v>143</v>
      </c>
      <c r="D210" s="7" t="s">
        <v>91</v>
      </c>
      <c r="E210" s="7" t="s">
        <v>32</v>
      </c>
      <c r="F210" s="7" t="s">
        <v>34</v>
      </c>
      <c r="G210" s="7" t="s">
        <v>374</v>
      </c>
      <c r="H210" s="7" t="s">
        <v>36</v>
      </c>
      <c r="I210" s="7" t="s">
        <v>145</v>
      </c>
      <c r="J210" s="8">
        <v>20</v>
      </c>
      <c r="K210" s="7" t="s">
        <v>36</v>
      </c>
      <c r="L210" s="8">
        <v>1</v>
      </c>
      <c r="M210" s="7" t="s">
        <v>37</v>
      </c>
      <c r="N210" s="8">
        <v>160</v>
      </c>
      <c r="O210" s="7" t="s">
        <v>32</v>
      </c>
      <c r="P210" s="8">
        <v>0</v>
      </c>
      <c r="Q210" s="9">
        <v>0.04</v>
      </c>
      <c r="R210" s="8">
        <v>0</v>
      </c>
      <c r="S210" s="7" t="s">
        <v>38</v>
      </c>
      <c r="T210" s="8">
        <v>2</v>
      </c>
      <c r="U210" s="8">
        <v>2</v>
      </c>
      <c r="V210" s="9">
        <v>13.5</v>
      </c>
      <c r="W210" s="9">
        <v>9.2999999999999999E-2</v>
      </c>
      <c r="X210" s="9">
        <v>0.16300000000000001</v>
      </c>
      <c r="Y210" s="9">
        <v>0</v>
      </c>
      <c r="Z210" s="17">
        <v>8990800023939</v>
      </c>
      <c r="AA210" s="8">
        <v>540</v>
      </c>
      <c r="AB210" s="8">
        <v>90</v>
      </c>
      <c r="AC210" s="7" t="s">
        <v>146</v>
      </c>
      <c r="AD210" s="11">
        <v>160</v>
      </c>
      <c r="AE210">
        <f t="shared" si="4"/>
        <v>352470</v>
      </c>
    </row>
    <row r="211" spans="1:31" x14ac:dyDescent="0.25">
      <c r="A211" s="7">
        <v>353006</v>
      </c>
      <c r="B211" s="7" t="s">
        <v>375</v>
      </c>
      <c r="C211" s="7" t="s">
        <v>143</v>
      </c>
      <c r="D211" s="7" t="s">
        <v>91</v>
      </c>
      <c r="E211" s="7" t="s">
        <v>32</v>
      </c>
      <c r="F211" s="7" t="s">
        <v>34</v>
      </c>
      <c r="G211" s="7" t="s">
        <v>376</v>
      </c>
      <c r="H211" s="7" t="s">
        <v>36</v>
      </c>
      <c r="I211" s="7" t="s">
        <v>145</v>
      </c>
      <c r="J211" s="8">
        <v>20</v>
      </c>
      <c r="K211" s="7" t="s">
        <v>36</v>
      </c>
      <c r="L211" s="8">
        <v>1</v>
      </c>
      <c r="M211" s="7" t="s">
        <v>37</v>
      </c>
      <c r="N211" s="8">
        <v>240</v>
      </c>
      <c r="O211" s="7" t="s">
        <v>32</v>
      </c>
      <c r="P211" s="8">
        <v>0</v>
      </c>
      <c r="Q211" s="9">
        <v>4.4999999999999998E-2</v>
      </c>
      <c r="R211" s="8">
        <v>0</v>
      </c>
      <c r="S211" s="7" t="s">
        <v>38</v>
      </c>
      <c r="T211" s="9">
        <v>10.5</v>
      </c>
      <c r="U211" s="9">
        <v>2.5</v>
      </c>
      <c r="V211" s="9">
        <v>1.5</v>
      </c>
      <c r="W211" s="9">
        <v>0.16700000000000001</v>
      </c>
      <c r="X211" s="9">
        <v>0.217</v>
      </c>
      <c r="Y211" s="9">
        <v>0</v>
      </c>
      <c r="Z211" s="17">
        <v>8935001726005</v>
      </c>
      <c r="AA211" s="8">
        <v>457</v>
      </c>
      <c r="AB211" s="8">
        <v>90</v>
      </c>
      <c r="AC211" s="7" t="s">
        <v>146</v>
      </c>
      <c r="AD211" s="11">
        <v>240</v>
      </c>
      <c r="AE211">
        <f t="shared" si="4"/>
        <v>353006</v>
      </c>
    </row>
    <row r="212" spans="1:31" x14ac:dyDescent="0.25">
      <c r="A212" s="7">
        <v>353007</v>
      </c>
      <c r="B212" s="7" t="s">
        <v>377</v>
      </c>
      <c r="C212" s="7" t="s">
        <v>143</v>
      </c>
      <c r="D212" s="7" t="s">
        <v>91</v>
      </c>
      <c r="E212" s="7" t="s">
        <v>32</v>
      </c>
      <c r="F212" s="7" t="s">
        <v>34</v>
      </c>
      <c r="G212" s="7" t="s">
        <v>378</v>
      </c>
      <c r="H212" s="7" t="s">
        <v>36</v>
      </c>
      <c r="I212" s="7" t="s">
        <v>145</v>
      </c>
      <c r="J212" s="8">
        <v>20</v>
      </c>
      <c r="K212" s="7" t="s">
        <v>36</v>
      </c>
      <c r="L212" s="8">
        <v>1</v>
      </c>
      <c r="M212" s="7" t="s">
        <v>37</v>
      </c>
      <c r="N212" s="8">
        <v>240</v>
      </c>
      <c r="O212" s="7" t="s">
        <v>32</v>
      </c>
      <c r="P212" s="8">
        <v>0</v>
      </c>
      <c r="Q212" s="9">
        <v>4.4999999999999998E-2</v>
      </c>
      <c r="R212" s="8">
        <v>0</v>
      </c>
      <c r="S212" s="7" t="s">
        <v>38</v>
      </c>
      <c r="T212" s="9">
        <v>10.5</v>
      </c>
      <c r="U212" s="9">
        <v>2.5</v>
      </c>
      <c r="V212" s="9">
        <v>1.5</v>
      </c>
      <c r="W212" s="9">
        <v>0.16</v>
      </c>
      <c r="X212" s="9">
        <v>0.217</v>
      </c>
      <c r="Y212" s="9">
        <v>0</v>
      </c>
      <c r="Z212" s="17">
        <v>8935001726043</v>
      </c>
      <c r="AA212" s="8">
        <v>457</v>
      </c>
      <c r="AB212" s="8">
        <v>90</v>
      </c>
      <c r="AC212" s="7" t="s">
        <v>146</v>
      </c>
      <c r="AD212" s="11">
        <v>240</v>
      </c>
      <c r="AE212">
        <f t="shared" si="4"/>
        <v>353007</v>
      </c>
    </row>
    <row r="213" spans="1:31" x14ac:dyDescent="0.25">
      <c r="A213" s="7">
        <v>356737</v>
      </c>
      <c r="B213" s="7" t="s">
        <v>379</v>
      </c>
      <c r="C213" s="7" t="s">
        <v>44</v>
      </c>
      <c r="D213" s="7" t="s">
        <v>91</v>
      </c>
      <c r="E213" s="7" t="s">
        <v>32</v>
      </c>
      <c r="F213" s="7" t="s">
        <v>86</v>
      </c>
      <c r="G213" s="7" t="s">
        <v>32</v>
      </c>
      <c r="H213" s="7" t="s">
        <v>36</v>
      </c>
      <c r="I213" s="7" t="s">
        <v>36</v>
      </c>
      <c r="J213" s="8">
        <v>1</v>
      </c>
      <c r="K213" s="7" t="s">
        <v>37</v>
      </c>
      <c r="L213" s="8">
        <v>6</v>
      </c>
      <c r="M213" s="7" t="s">
        <v>32</v>
      </c>
      <c r="N213" s="8">
        <v>0</v>
      </c>
      <c r="O213" s="7" t="s">
        <v>32</v>
      </c>
      <c r="P213" s="8">
        <v>0</v>
      </c>
      <c r="Q213" s="9">
        <v>0.44</v>
      </c>
      <c r="R213" s="8">
        <v>0</v>
      </c>
      <c r="S213" s="7" t="s">
        <v>38</v>
      </c>
      <c r="T213" s="9">
        <v>7.5</v>
      </c>
      <c r="U213" s="9">
        <v>7.5</v>
      </c>
      <c r="V213" s="8">
        <v>10</v>
      </c>
      <c r="W213" s="9">
        <v>0.99299999999999999</v>
      </c>
      <c r="X213" s="9">
        <v>1.194</v>
      </c>
      <c r="Y213" s="9">
        <v>0</v>
      </c>
      <c r="Z213" s="17">
        <v>1800000014804</v>
      </c>
      <c r="AA213" s="8">
        <v>729</v>
      </c>
      <c r="AB213" s="8">
        <v>90</v>
      </c>
      <c r="AC213" s="7" t="s">
        <v>47</v>
      </c>
      <c r="AD213" s="11">
        <v>6</v>
      </c>
      <c r="AE213">
        <f t="shared" si="4"/>
        <v>356737</v>
      </c>
    </row>
    <row r="214" spans="1:31" x14ac:dyDescent="0.25">
      <c r="A214" s="7">
        <v>356738</v>
      </c>
      <c r="B214" s="7" t="s">
        <v>380</v>
      </c>
      <c r="C214" s="7" t="s">
        <v>44</v>
      </c>
      <c r="D214" s="7" t="s">
        <v>91</v>
      </c>
      <c r="E214" s="7" t="s">
        <v>32</v>
      </c>
      <c r="F214" s="7" t="s">
        <v>86</v>
      </c>
      <c r="G214" s="7" t="s">
        <v>32</v>
      </c>
      <c r="H214" s="7" t="s">
        <v>36</v>
      </c>
      <c r="I214" s="7" t="s">
        <v>36</v>
      </c>
      <c r="J214" s="8">
        <v>1</v>
      </c>
      <c r="K214" s="7" t="s">
        <v>37</v>
      </c>
      <c r="L214" s="8">
        <v>8</v>
      </c>
      <c r="M214" s="7" t="s">
        <v>32</v>
      </c>
      <c r="N214" s="8">
        <v>0</v>
      </c>
      <c r="O214" s="7" t="s">
        <v>32</v>
      </c>
      <c r="P214" s="8">
        <v>0</v>
      </c>
      <c r="Q214" s="9">
        <v>0.44</v>
      </c>
      <c r="R214" s="8">
        <v>0</v>
      </c>
      <c r="S214" s="7" t="s">
        <v>38</v>
      </c>
      <c r="T214" s="9">
        <v>7.5</v>
      </c>
      <c r="U214" s="9">
        <v>7.5</v>
      </c>
      <c r="V214" s="8">
        <v>10</v>
      </c>
      <c r="W214" s="9">
        <v>0.98899999999999999</v>
      </c>
      <c r="X214" s="9">
        <v>1.2769999999999999</v>
      </c>
      <c r="Y214" s="9">
        <v>0</v>
      </c>
      <c r="Z214" s="17">
        <v>1800000014903</v>
      </c>
      <c r="AA214" s="8">
        <v>729</v>
      </c>
      <c r="AB214" s="8">
        <v>90</v>
      </c>
      <c r="AC214" s="7" t="s">
        <v>47</v>
      </c>
      <c r="AD214" s="11">
        <v>8</v>
      </c>
      <c r="AE214">
        <f t="shared" si="4"/>
        <v>356738</v>
      </c>
    </row>
    <row r="215" spans="1:31" x14ac:dyDescent="0.25">
      <c r="A215" s="7">
        <v>356739</v>
      </c>
      <c r="B215" s="7" t="s">
        <v>381</v>
      </c>
      <c r="C215" s="7" t="s">
        <v>44</v>
      </c>
      <c r="D215" s="7" t="s">
        <v>91</v>
      </c>
      <c r="E215" s="7" t="s">
        <v>32</v>
      </c>
      <c r="F215" s="7" t="s">
        <v>86</v>
      </c>
      <c r="G215" s="7" t="s">
        <v>32</v>
      </c>
      <c r="H215" s="7" t="s">
        <v>36</v>
      </c>
      <c r="I215" s="7" t="s">
        <v>36</v>
      </c>
      <c r="J215" s="8">
        <v>1</v>
      </c>
      <c r="K215" s="7" t="s">
        <v>37</v>
      </c>
      <c r="L215" s="8">
        <v>6</v>
      </c>
      <c r="M215" s="7" t="s">
        <v>32</v>
      </c>
      <c r="N215" s="8">
        <v>0</v>
      </c>
      <c r="O215" s="7" t="s">
        <v>32</v>
      </c>
      <c r="P215" s="8">
        <v>0</v>
      </c>
      <c r="Q215" s="9">
        <v>0.25</v>
      </c>
      <c r="R215" s="8">
        <v>0</v>
      </c>
      <c r="S215" s="7" t="s">
        <v>38</v>
      </c>
      <c r="T215" s="8">
        <v>7</v>
      </c>
      <c r="U215" s="8">
        <v>7</v>
      </c>
      <c r="V215" s="8">
        <v>8</v>
      </c>
      <c r="W215" s="9">
        <v>1.4219999999999999</v>
      </c>
      <c r="X215" s="9">
        <v>1.768</v>
      </c>
      <c r="Y215" s="9">
        <v>0</v>
      </c>
      <c r="Z215" s="17">
        <v>1800000015009</v>
      </c>
      <c r="AA215" s="8">
        <v>729</v>
      </c>
      <c r="AB215" s="8">
        <v>90</v>
      </c>
      <c r="AC215" s="7" t="s">
        <v>47</v>
      </c>
      <c r="AD215" s="11">
        <v>6</v>
      </c>
      <c r="AE215">
        <f t="shared" si="4"/>
        <v>356739</v>
      </c>
    </row>
    <row r="216" spans="1:31" x14ac:dyDescent="0.25">
      <c r="A216" s="7">
        <v>356740</v>
      </c>
      <c r="B216" s="7" t="s">
        <v>382</v>
      </c>
      <c r="C216" s="7" t="s">
        <v>44</v>
      </c>
      <c r="D216" s="7" t="s">
        <v>91</v>
      </c>
      <c r="E216" s="7" t="s">
        <v>32</v>
      </c>
      <c r="F216" s="7" t="s">
        <v>86</v>
      </c>
      <c r="G216" s="7" t="s">
        <v>32</v>
      </c>
      <c r="H216" s="7" t="s">
        <v>36</v>
      </c>
      <c r="I216" s="7" t="s">
        <v>36</v>
      </c>
      <c r="J216" s="8">
        <v>1</v>
      </c>
      <c r="K216" s="7" t="s">
        <v>37</v>
      </c>
      <c r="L216" s="8">
        <v>8</v>
      </c>
      <c r="M216" s="7" t="s">
        <v>32</v>
      </c>
      <c r="N216" s="8">
        <v>0</v>
      </c>
      <c r="O216" s="7" t="s">
        <v>32</v>
      </c>
      <c r="P216" s="8">
        <v>0</v>
      </c>
      <c r="Q216" s="9">
        <v>0.5</v>
      </c>
      <c r="R216" s="8">
        <v>0</v>
      </c>
      <c r="S216" s="7" t="s">
        <v>38</v>
      </c>
      <c r="T216" s="9">
        <v>7.5</v>
      </c>
      <c r="U216" s="9">
        <v>7.5</v>
      </c>
      <c r="V216" s="8">
        <v>11</v>
      </c>
      <c r="W216" s="9">
        <v>1.323</v>
      </c>
      <c r="X216" s="9">
        <v>1.64</v>
      </c>
      <c r="Y216" s="9">
        <v>0</v>
      </c>
      <c r="Z216" s="17">
        <v>1800000015108</v>
      </c>
      <c r="AA216" s="8">
        <v>729</v>
      </c>
      <c r="AB216" s="8">
        <v>90</v>
      </c>
      <c r="AC216" s="7" t="s">
        <v>47</v>
      </c>
      <c r="AD216" s="11">
        <v>8</v>
      </c>
      <c r="AE216">
        <f t="shared" si="4"/>
        <v>356740</v>
      </c>
    </row>
    <row r="217" spans="1:31" x14ac:dyDescent="0.25">
      <c r="A217" s="7">
        <v>356741</v>
      </c>
      <c r="B217" s="7" t="s">
        <v>383</v>
      </c>
      <c r="C217" s="7" t="s">
        <v>44</v>
      </c>
      <c r="D217" s="7" t="s">
        <v>91</v>
      </c>
      <c r="E217" s="7" t="s">
        <v>32</v>
      </c>
      <c r="F217" s="7" t="s">
        <v>86</v>
      </c>
      <c r="G217" s="7" t="s">
        <v>32</v>
      </c>
      <c r="H217" s="7" t="s">
        <v>36</v>
      </c>
      <c r="I217" s="7" t="s">
        <v>36</v>
      </c>
      <c r="J217" s="8">
        <v>1</v>
      </c>
      <c r="K217" s="7" t="s">
        <v>37</v>
      </c>
      <c r="L217" s="8">
        <v>8</v>
      </c>
      <c r="M217" s="7" t="s">
        <v>32</v>
      </c>
      <c r="N217" s="8">
        <v>0</v>
      </c>
      <c r="O217" s="7" t="s">
        <v>32</v>
      </c>
      <c r="P217" s="8">
        <v>0</v>
      </c>
      <c r="Q217" s="9">
        <v>0.5</v>
      </c>
      <c r="R217" s="8">
        <v>0</v>
      </c>
      <c r="S217" s="7" t="s">
        <v>38</v>
      </c>
      <c r="T217" s="9">
        <v>7.5</v>
      </c>
      <c r="U217" s="9">
        <v>7.5</v>
      </c>
      <c r="V217" s="8">
        <v>11</v>
      </c>
      <c r="W217" s="9">
        <v>1.173</v>
      </c>
      <c r="X217" s="9">
        <v>1.419</v>
      </c>
      <c r="Y217" s="9">
        <v>0</v>
      </c>
      <c r="Z217" s="17">
        <v>1800000015207</v>
      </c>
      <c r="AA217" s="8">
        <v>729</v>
      </c>
      <c r="AB217" s="8">
        <v>90</v>
      </c>
      <c r="AC217" s="7" t="s">
        <v>47</v>
      </c>
      <c r="AD217" s="11">
        <v>8</v>
      </c>
      <c r="AE217">
        <f t="shared" si="4"/>
        <v>356741</v>
      </c>
    </row>
    <row r="218" spans="1:31" x14ac:dyDescent="0.25">
      <c r="A218" s="7">
        <v>356742</v>
      </c>
      <c r="B218" s="7" t="s">
        <v>384</v>
      </c>
      <c r="C218" s="7" t="s">
        <v>44</v>
      </c>
      <c r="D218" s="7" t="s">
        <v>91</v>
      </c>
      <c r="E218" s="7" t="s">
        <v>32</v>
      </c>
      <c r="F218" s="7" t="s">
        <v>86</v>
      </c>
      <c r="G218" s="7" t="s">
        <v>32</v>
      </c>
      <c r="H218" s="7" t="s">
        <v>36</v>
      </c>
      <c r="I218" s="7" t="s">
        <v>36</v>
      </c>
      <c r="J218" s="8">
        <v>1</v>
      </c>
      <c r="K218" s="7" t="s">
        <v>37</v>
      </c>
      <c r="L218" s="8">
        <v>8</v>
      </c>
      <c r="M218" s="7" t="s">
        <v>32</v>
      </c>
      <c r="N218" s="8">
        <v>0</v>
      </c>
      <c r="O218" s="7" t="s">
        <v>32</v>
      </c>
      <c r="P218" s="8">
        <v>0</v>
      </c>
      <c r="Q218" s="9">
        <v>0.48</v>
      </c>
      <c r="R218" s="8">
        <v>0</v>
      </c>
      <c r="S218" s="7" t="s">
        <v>38</v>
      </c>
      <c r="T218" s="9">
        <v>7.5</v>
      </c>
      <c r="U218" s="9">
        <v>7.5</v>
      </c>
      <c r="V218" s="8">
        <v>11</v>
      </c>
      <c r="W218" s="9">
        <v>1.107</v>
      </c>
      <c r="X218" s="9">
        <v>1.2969999999999999</v>
      </c>
      <c r="Y218" s="9">
        <v>0</v>
      </c>
      <c r="Z218" s="17">
        <v>1800000015306</v>
      </c>
      <c r="AA218" s="8">
        <v>729</v>
      </c>
      <c r="AB218" s="8">
        <v>90</v>
      </c>
      <c r="AC218" s="7" t="s">
        <v>47</v>
      </c>
      <c r="AD218" s="11">
        <v>8</v>
      </c>
      <c r="AE218">
        <f t="shared" si="4"/>
        <v>356742</v>
      </c>
    </row>
    <row r="219" spans="1:31" x14ac:dyDescent="0.25">
      <c r="A219" s="7">
        <v>356743</v>
      </c>
      <c r="B219" s="7" t="s">
        <v>385</v>
      </c>
      <c r="C219" s="7" t="s">
        <v>44</v>
      </c>
      <c r="D219" s="7" t="s">
        <v>91</v>
      </c>
      <c r="E219" s="7" t="s">
        <v>32</v>
      </c>
      <c r="F219" s="7" t="s">
        <v>86</v>
      </c>
      <c r="G219" s="7" t="s">
        <v>32</v>
      </c>
      <c r="H219" s="7" t="s">
        <v>36</v>
      </c>
      <c r="I219" s="7" t="s">
        <v>36</v>
      </c>
      <c r="J219" s="8">
        <v>1</v>
      </c>
      <c r="K219" s="7" t="s">
        <v>37</v>
      </c>
      <c r="L219" s="8">
        <v>6</v>
      </c>
      <c r="M219" s="7" t="s">
        <v>32</v>
      </c>
      <c r="N219" s="8">
        <v>0</v>
      </c>
      <c r="O219" s="7" t="s">
        <v>32</v>
      </c>
      <c r="P219" s="8">
        <v>0</v>
      </c>
      <c r="Q219" s="9">
        <v>0.41</v>
      </c>
      <c r="R219" s="8">
        <v>0</v>
      </c>
      <c r="S219" s="7" t="s">
        <v>38</v>
      </c>
      <c r="T219" s="8">
        <v>8</v>
      </c>
      <c r="U219" s="8">
        <v>8</v>
      </c>
      <c r="V219" s="8">
        <v>11</v>
      </c>
      <c r="W219" s="9">
        <v>0.90900000000000003</v>
      </c>
      <c r="X219" s="9">
        <v>1.3440000000000001</v>
      </c>
      <c r="Y219" s="9">
        <v>0</v>
      </c>
      <c r="Z219" s="17">
        <v>1800000015405</v>
      </c>
      <c r="AA219" s="8">
        <v>729</v>
      </c>
      <c r="AB219" s="8">
        <v>90</v>
      </c>
      <c r="AC219" s="7" t="s">
        <v>47</v>
      </c>
      <c r="AD219" s="11">
        <v>6</v>
      </c>
      <c r="AE219">
        <f t="shared" si="4"/>
        <v>356743</v>
      </c>
    </row>
    <row r="220" spans="1:31" x14ac:dyDescent="0.25">
      <c r="A220" s="7">
        <v>356744</v>
      </c>
      <c r="B220" s="7" t="s">
        <v>386</v>
      </c>
      <c r="C220" s="7" t="s">
        <v>44</v>
      </c>
      <c r="D220" s="7" t="s">
        <v>91</v>
      </c>
      <c r="E220" s="7" t="s">
        <v>32</v>
      </c>
      <c r="F220" s="7" t="s">
        <v>86</v>
      </c>
      <c r="G220" s="7" t="s">
        <v>32</v>
      </c>
      <c r="H220" s="7" t="s">
        <v>36</v>
      </c>
      <c r="I220" s="7" t="s">
        <v>36</v>
      </c>
      <c r="J220" s="8">
        <v>1</v>
      </c>
      <c r="K220" s="7" t="s">
        <v>37</v>
      </c>
      <c r="L220" s="8">
        <v>8</v>
      </c>
      <c r="M220" s="7" t="s">
        <v>32</v>
      </c>
      <c r="N220" s="8">
        <v>0</v>
      </c>
      <c r="O220" s="7" t="s">
        <v>32</v>
      </c>
      <c r="P220" s="8">
        <v>0</v>
      </c>
      <c r="Q220" s="9">
        <v>0.52</v>
      </c>
      <c r="R220" s="8">
        <v>0</v>
      </c>
      <c r="S220" s="7" t="s">
        <v>38</v>
      </c>
      <c r="T220" s="9">
        <v>8.5</v>
      </c>
      <c r="U220" s="8">
        <v>85</v>
      </c>
      <c r="V220" s="8">
        <v>9</v>
      </c>
      <c r="W220" s="9">
        <v>1.1879999999999999</v>
      </c>
      <c r="X220" s="9">
        <v>1.577</v>
      </c>
      <c r="Y220" s="9">
        <v>0</v>
      </c>
      <c r="Z220" s="17">
        <v>1800000016013</v>
      </c>
      <c r="AA220" s="8">
        <v>729</v>
      </c>
      <c r="AB220" s="8">
        <v>90</v>
      </c>
      <c r="AC220" s="7" t="s">
        <v>47</v>
      </c>
      <c r="AD220" s="11">
        <v>8</v>
      </c>
      <c r="AE220">
        <f t="shared" si="4"/>
        <v>356744</v>
      </c>
    </row>
    <row r="221" spans="1:31" x14ac:dyDescent="0.25">
      <c r="A221" s="7">
        <v>356745</v>
      </c>
      <c r="B221" s="7" t="s">
        <v>387</v>
      </c>
      <c r="C221" s="7" t="s">
        <v>44</v>
      </c>
      <c r="D221" s="7" t="s">
        <v>91</v>
      </c>
      <c r="E221" s="7" t="s">
        <v>32</v>
      </c>
      <c r="F221" s="7" t="s">
        <v>86</v>
      </c>
      <c r="G221" s="7" t="s">
        <v>32</v>
      </c>
      <c r="H221" s="7" t="s">
        <v>36</v>
      </c>
      <c r="I221" s="7" t="s">
        <v>36</v>
      </c>
      <c r="J221" s="8">
        <v>1</v>
      </c>
      <c r="K221" s="7" t="s">
        <v>37</v>
      </c>
      <c r="L221" s="8">
        <v>8</v>
      </c>
      <c r="M221" s="7" t="s">
        <v>32</v>
      </c>
      <c r="N221" s="8">
        <v>0</v>
      </c>
      <c r="O221" s="7" t="s">
        <v>32</v>
      </c>
      <c r="P221" s="8">
        <v>0</v>
      </c>
      <c r="Q221" s="9">
        <v>0.66</v>
      </c>
      <c r="R221" s="8">
        <v>0</v>
      </c>
      <c r="S221" s="7" t="s">
        <v>38</v>
      </c>
      <c r="T221" s="9">
        <v>8.5</v>
      </c>
      <c r="U221" s="9">
        <v>8.5</v>
      </c>
      <c r="V221" s="9">
        <v>11.5</v>
      </c>
      <c r="W221" s="9">
        <v>1.3540000000000001</v>
      </c>
      <c r="X221" s="9">
        <v>1.6739999999999999</v>
      </c>
      <c r="Y221" s="9">
        <v>0</v>
      </c>
      <c r="Z221" s="17">
        <v>1800000015504</v>
      </c>
      <c r="AA221" s="8">
        <v>729</v>
      </c>
      <c r="AB221" s="8">
        <v>90</v>
      </c>
      <c r="AC221" s="7" t="s">
        <v>47</v>
      </c>
      <c r="AD221" s="11">
        <v>8</v>
      </c>
      <c r="AE221">
        <f t="shared" si="4"/>
        <v>356745</v>
      </c>
    </row>
    <row r="222" spans="1:31" x14ac:dyDescent="0.25">
      <c r="A222" s="7">
        <v>356746</v>
      </c>
      <c r="B222" s="7" t="s">
        <v>388</v>
      </c>
      <c r="C222" s="7" t="s">
        <v>44</v>
      </c>
      <c r="D222" s="7" t="s">
        <v>91</v>
      </c>
      <c r="E222" s="7" t="s">
        <v>32</v>
      </c>
      <c r="F222" s="7" t="s">
        <v>86</v>
      </c>
      <c r="G222" s="7" t="s">
        <v>32</v>
      </c>
      <c r="H222" s="7" t="s">
        <v>36</v>
      </c>
      <c r="I222" s="7" t="s">
        <v>36</v>
      </c>
      <c r="J222" s="8">
        <v>1</v>
      </c>
      <c r="K222" s="7" t="s">
        <v>37</v>
      </c>
      <c r="L222" s="8">
        <v>8</v>
      </c>
      <c r="M222" s="7" t="s">
        <v>32</v>
      </c>
      <c r="N222" s="8">
        <v>0</v>
      </c>
      <c r="O222" s="7" t="s">
        <v>32</v>
      </c>
      <c r="P222" s="8">
        <v>0</v>
      </c>
      <c r="Q222" s="9">
        <v>0.52</v>
      </c>
      <c r="R222" s="8">
        <v>0</v>
      </c>
      <c r="S222" s="7" t="s">
        <v>38</v>
      </c>
      <c r="T222" s="9">
        <v>8.5</v>
      </c>
      <c r="U222" s="9">
        <v>8.5</v>
      </c>
      <c r="V222" s="8">
        <v>9</v>
      </c>
      <c r="W222" s="9">
        <v>1.1779999999999999</v>
      </c>
      <c r="X222" s="9">
        <v>1.5349999999999999</v>
      </c>
      <c r="Y222" s="9">
        <v>0</v>
      </c>
      <c r="Z222" s="17">
        <v>1800000015603</v>
      </c>
      <c r="AA222" s="8">
        <v>729</v>
      </c>
      <c r="AB222" s="8">
        <v>90</v>
      </c>
      <c r="AC222" s="7" t="s">
        <v>47</v>
      </c>
      <c r="AD222" s="11">
        <v>8</v>
      </c>
      <c r="AE222">
        <f t="shared" si="4"/>
        <v>356746</v>
      </c>
    </row>
    <row r="223" spans="1:31" x14ac:dyDescent="0.25">
      <c r="A223" s="7">
        <v>356747</v>
      </c>
      <c r="B223" s="7" t="s">
        <v>389</v>
      </c>
      <c r="C223" s="7" t="s">
        <v>44</v>
      </c>
      <c r="D223" s="7" t="s">
        <v>91</v>
      </c>
      <c r="E223" s="7" t="s">
        <v>32</v>
      </c>
      <c r="F223" s="7" t="s">
        <v>86</v>
      </c>
      <c r="G223" s="7" t="s">
        <v>32</v>
      </c>
      <c r="H223" s="7" t="s">
        <v>36</v>
      </c>
      <c r="I223" s="7" t="s">
        <v>36</v>
      </c>
      <c r="J223" s="8">
        <v>1</v>
      </c>
      <c r="K223" s="7" t="s">
        <v>37</v>
      </c>
      <c r="L223" s="8">
        <v>8</v>
      </c>
      <c r="M223" s="7" t="s">
        <v>32</v>
      </c>
      <c r="N223" s="8">
        <v>0</v>
      </c>
      <c r="O223" s="7" t="s">
        <v>32</v>
      </c>
      <c r="P223" s="8">
        <v>0</v>
      </c>
      <c r="Q223" s="9">
        <v>0.28000000000000003</v>
      </c>
      <c r="R223" s="8">
        <v>0</v>
      </c>
      <c r="S223" s="7" t="s">
        <v>38</v>
      </c>
      <c r="T223" s="9">
        <v>8.5</v>
      </c>
      <c r="U223" s="9">
        <v>8.5</v>
      </c>
      <c r="V223" s="8">
        <v>5</v>
      </c>
      <c r="W223" s="9">
        <v>1.3759999999999999</v>
      </c>
      <c r="X223" s="9">
        <v>1.7170000000000001</v>
      </c>
      <c r="Y223" s="9">
        <v>0</v>
      </c>
      <c r="Z223" s="17">
        <v>1800000015702</v>
      </c>
      <c r="AA223" s="8">
        <v>729</v>
      </c>
      <c r="AB223" s="8">
        <v>90</v>
      </c>
      <c r="AC223" s="7" t="s">
        <v>47</v>
      </c>
      <c r="AD223" s="11">
        <v>8</v>
      </c>
      <c r="AE223">
        <f t="shared" si="4"/>
        <v>356747</v>
      </c>
    </row>
    <row r="224" spans="1:31" x14ac:dyDescent="0.25">
      <c r="A224" s="7">
        <v>356748</v>
      </c>
      <c r="B224" s="7" t="s">
        <v>390</v>
      </c>
      <c r="C224" s="7" t="s">
        <v>44</v>
      </c>
      <c r="D224" s="7" t="s">
        <v>91</v>
      </c>
      <c r="E224" s="7" t="s">
        <v>32</v>
      </c>
      <c r="F224" s="7" t="s">
        <v>86</v>
      </c>
      <c r="G224" s="7" t="s">
        <v>32</v>
      </c>
      <c r="H224" s="7" t="s">
        <v>36</v>
      </c>
      <c r="I224" s="7" t="s">
        <v>36</v>
      </c>
      <c r="J224" s="8">
        <v>1</v>
      </c>
      <c r="K224" s="7" t="s">
        <v>37</v>
      </c>
      <c r="L224" s="8">
        <v>8</v>
      </c>
      <c r="M224" s="7" t="s">
        <v>32</v>
      </c>
      <c r="N224" s="8">
        <v>0</v>
      </c>
      <c r="O224" s="7" t="s">
        <v>32</v>
      </c>
      <c r="P224" s="8">
        <v>0</v>
      </c>
      <c r="Q224" s="9">
        <v>0.28000000000000003</v>
      </c>
      <c r="R224" s="8">
        <v>0</v>
      </c>
      <c r="S224" s="7" t="s">
        <v>38</v>
      </c>
      <c r="T224" s="9">
        <v>8.5</v>
      </c>
      <c r="U224" s="9">
        <v>8.5</v>
      </c>
      <c r="V224" s="8">
        <v>5</v>
      </c>
      <c r="W224" s="9">
        <v>1.34</v>
      </c>
      <c r="X224" s="9">
        <v>1.73</v>
      </c>
      <c r="Y224" s="9">
        <v>0</v>
      </c>
      <c r="Z224" s="17">
        <v>1800000016020</v>
      </c>
      <c r="AA224" s="8">
        <v>729</v>
      </c>
      <c r="AB224" s="8">
        <v>90</v>
      </c>
      <c r="AC224" s="7" t="s">
        <v>47</v>
      </c>
      <c r="AD224" s="11">
        <v>8</v>
      </c>
      <c r="AE224">
        <f t="shared" si="4"/>
        <v>356748</v>
      </c>
    </row>
    <row r="225" spans="1:31" x14ac:dyDescent="0.25">
      <c r="A225" s="7">
        <v>356749</v>
      </c>
      <c r="B225" s="7" t="s">
        <v>391</v>
      </c>
      <c r="C225" s="7" t="s">
        <v>44</v>
      </c>
      <c r="D225" s="7" t="s">
        <v>32</v>
      </c>
      <c r="E225" s="7" t="s">
        <v>32</v>
      </c>
      <c r="F225" s="7" t="s">
        <v>86</v>
      </c>
      <c r="G225" s="7" t="s">
        <v>32</v>
      </c>
      <c r="H225" s="7" t="s">
        <v>36</v>
      </c>
      <c r="I225" s="7" t="s">
        <v>36</v>
      </c>
      <c r="J225" s="8">
        <v>1</v>
      </c>
      <c r="K225" s="7" t="s">
        <v>37</v>
      </c>
      <c r="L225" s="8">
        <v>8</v>
      </c>
      <c r="M225" s="7" t="s">
        <v>32</v>
      </c>
      <c r="N225" s="8">
        <v>0</v>
      </c>
      <c r="O225" s="7" t="s">
        <v>32</v>
      </c>
      <c r="P225" s="8">
        <v>0</v>
      </c>
      <c r="Q225" s="9">
        <v>0.3</v>
      </c>
      <c r="R225" s="8">
        <v>0</v>
      </c>
      <c r="S225" s="7" t="s">
        <v>38</v>
      </c>
      <c r="T225" s="9">
        <v>8.5</v>
      </c>
      <c r="U225" s="9">
        <v>8.5</v>
      </c>
      <c r="V225" s="8">
        <v>5</v>
      </c>
      <c r="W225" s="9">
        <v>1.323</v>
      </c>
      <c r="X225" s="9">
        <v>1.73</v>
      </c>
      <c r="Y225" s="9">
        <v>0</v>
      </c>
      <c r="Z225" s="17">
        <v>1800000015900</v>
      </c>
      <c r="AA225" s="8">
        <v>729</v>
      </c>
      <c r="AB225" s="8">
        <v>90</v>
      </c>
      <c r="AC225" s="7" t="s">
        <v>47</v>
      </c>
      <c r="AD225" s="11">
        <v>8</v>
      </c>
      <c r="AE225">
        <f t="shared" si="4"/>
        <v>356749</v>
      </c>
    </row>
    <row r="226" spans="1:31" x14ac:dyDescent="0.25">
      <c r="A226" s="7">
        <v>357352</v>
      </c>
      <c r="B226" s="7" t="s">
        <v>392</v>
      </c>
      <c r="C226" s="7" t="s">
        <v>44</v>
      </c>
      <c r="D226" s="7" t="s">
        <v>91</v>
      </c>
      <c r="E226" s="7" t="s">
        <v>32</v>
      </c>
      <c r="F226" s="7" t="s">
        <v>86</v>
      </c>
      <c r="G226" s="7" t="s">
        <v>32</v>
      </c>
      <c r="H226" s="7" t="s">
        <v>36</v>
      </c>
      <c r="I226" s="7" t="s">
        <v>36</v>
      </c>
      <c r="J226" s="8">
        <v>1</v>
      </c>
      <c r="K226" s="7" t="s">
        <v>37</v>
      </c>
      <c r="L226" s="8">
        <v>5</v>
      </c>
      <c r="M226" s="7" t="s">
        <v>32</v>
      </c>
      <c r="N226" s="8">
        <v>0</v>
      </c>
      <c r="O226" s="7" t="s">
        <v>32</v>
      </c>
      <c r="P226" s="8">
        <v>0</v>
      </c>
      <c r="Q226" s="9">
        <v>1.64</v>
      </c>
      <c r="R226" s="8">
        <v>0</v>
      </c>
      <c r="S226" s="7" t="s">
        <v>38</v>
      </c>
      <c r="T226" s="8">
        <v>14</v>
      </c>
      <c r="U226" s="8">
        <v>5</v>
      </c>
      <c r="V226" s="8">
        <v>27</v>
      </c>
      <c r="W226" s="9">
        <v>0.96199999999999997</v>
      </c>
      <c r="X226" s="9">
        <v>1.3680000000000001</v>
      </c>
      <c r="Y226" s="9">
        <v>0</v>
      </c>
      <c r="Z226" s="17">
        <v>1800000016037</v>
      </c>
      <c r="AA226" s="8">
        <v>729</v>
      </c>
      <c r="AB226" s="8">
        <v>90</v>
      </c>
      <c r="AC226" s="7" t="s">
        <v>47</v>
      </c>
      <c r="AD226" s="11">
        <v>5</v>
      </c>
      <c r="AE226">
        <f t="shared" si="4"/>
        <v>357352</v>
      </c>
    </row>
    <row r="227" spans="1:31" x14ac:dyDescent="0.25">
      <c r="A227" s="7">
        <v>357353</v>
      </c>
      <c r="B227" s="7" t="s">
        <v>393</v>
      </c>
      <c r="C227" s="7" t="s">
        <v>44</v>
      </c>
      <c r="D227" s="7" t="s">
        <v>91</v>
      </c>
      <c r="E227" s="7" t="s">
        <v>32</v>
      </c>
      <c r="F227" s="7" t="s">
        <v>86</v>
      </c>
      <c r="G227" s="7" t="s">
        <v>32</v>
      </c>
      <c r="H227" s="7" t="s">
        <v>36</v>
      </c>
      <c r="I227" s="7" t="s">
        <v>36</v>
      </c>
      <c r="J227" s="8">
        <v>1</v>
      </c>
      <c r="K227" s="7" t="s">
        <v>37</v>
      </c>
      <c r="L227" s="8">
        <v>5</v>
      </c>
      <c r="M227" s="7" t="s">
        <v>32</v>
      </c>
      <c r="N227" s="8">
        <v>0</v>
      </c>
      <c r="O227" s="7" t="s">
        <v>32</v>
      </c>
      <c r="P227" s="8">
        <v>0</v>
      </c>
      <c r="Q227" s="9">
        <v>1.63</v>
      </c>
      <c r="R227" s="8">
        <v>0</v>
      </c>
      <c r="S227" s="7" t="s">
        <v>38</v>
      </c>
      <c r="T227" s="8">
        <v>10</v>
      </c>
      <c r="U227" s="8">
        <v>22</v>
      </c>
      <c r="V227" s="8">
        <v>19</v>
      </c>
      <c r="W227" s="9">
        <v>0.96199999999999997</v>
      </c>
      <c r="X227" s="9">
        <v>1.3680000000000001</v>
      </c>
      <c r="Y227" s="9">
        <v>0</v>
      </c>
      <c r="Z227" s="17">
        <v>1800000016044</v>
      </c>
      <c r="AA227" s="8">
        <v>729</v>
      </c>
      <c r="AB227" s="8">
        <v>90</v>
      </c>
      <c r="AC227" s="7" t="s">
        <v>47</v>
      </c>
      <c r="AD227" s="11">
        <v>5</v>
      </c>
      <c r="AE227">
        <f t="shared" si="4"/>
        <v>357353</v>
      </c>
    </row>
    <row r="228" spans="1:31" x14ac:dyDescent="0.25">
      <c r="A228" s="7">
        <v>357354</v>
      </c>
      <c r="B228" s="7" t="s">
        <v>394</v>
      </c>
      <c r="C228" s="7" t="s">
        <v>44</v>
      </c>
      <c r="D228" s="7" t="s">
        <v>91</v>
      </c>
      <c r="E228" s="7" t="s">
        <v>32</v>
      </c>
      <c r="F228" s="7" t="s">
        <v>86</v>
      </c>
      <c r="G228" s="7" t="s">
        <v>32</v>
      </c>
      <c r="H228" s="7" t="s">
        <v>36</v>
      </c>
      <c r="I228" s="7" t="s">
        <v>36</v>
      </c>
      <c r="J228" s="8">
        <v>1</v>
      </c>
      <c r="K228" s="7" t="s">
        <v>37</v>
      </c>
      <c r="L228" s="8">
        <v>5</v>
      </c>
      <c r="M228" s="7" t="s">
        <v>32</v>
      </c>
      <c r="N228" s="8">
        <v>0</v>
      </c>
      <c r="O228" s="7" t="s">
        <v>32</v>
      </c>
      <c r="P228" s="8">
        <v>0</v>
      </c>
      <c r="Q228" s="9">
        <v>1.63</v>
      </c>
      <c r="R228" s="8">
        <v>0</v>
      </c>
      <c r="S228" s="7" t="s">
        <v>38</v>
      </c>
      <c r="T228" s="8">
        <v>10</v>
      </c>
      <c r="U228" s="8">
        <v>22</v>
      </c>
      <c r="V228" s="8">
        <v>19</v>
      </c>
      <c r="W228" s="9">
        <v>0.96199999999999997</v>
      </c>
      <c r="X228" s="9">
        <v>1.3680000000000001</v>
      </c>
      <c r="Y228" s="9">
        <v>0</v>
      </c>
      <c r="Z228" s="17">
        <v>1800000016051</v>
      </c>
      <c r="AA228" s="8">
        <v>729</v>
      </c>
      <c r="AB228" s="8">
        <v>90</v>
      </c>
      <c r="AC228" s="7" t="s">
        <v>47</v>
      </c>
      <c r="AD228" s="11">
        <v>5</v>
      </c>
      <c r="AE228">
        <f t="shared" si="4"/>
        <v>357354</v>
      </c>
    </row>
    <row r="229" spans="1:31" x14ac:dyDescent="0.25">
      <c r="A229" s="7">
        <v>357355</v>
      </c>
      <c r="B229" s="7" t="s">
        <v>395</v>
      </c>
      <c r="C229" s="7" t="s">
        <v>44</v>
      </c>
      <c r="D229" s="7" t="s">
        <v>91</v>
      </c>
      <c r="E229" s="7" t="s">
        <v>32</v>
      </c>
      <c r="F229" s="7" t="s">
        <v>86</v>
      </c>
      <c r="G229" s="7" t="s">
        <v>32</v>
      </c>
      <c r="H229" s="7" t="s">
        <v>36</v>
      </c>
      <c r="I229" s="7" t="s">
        <v>36</v>
      </c>
      <c r="J229" s="8">
        <v>1</v>
      </c>
      <c r="K229" s="7" t="s">
        <v>37</v>
      </c>
      <c r="L229" s="8">
        <v>5</v>
      </c>
      <c r="M229" s="7" t="s">
        <v>32</v>
      </c>
      <c r="N229" s="8">
        <v>0</v>
      </c>
      <c r="O229" s="7" t="s">
        <v>32</v>
      </c>
      <c r="P229" s="8">
        <v>0</v>
      </c>
      <c r="Q229" s="9">
        <v>1.63</v>
      </c>
      <c r="R229" s="8">
        <v>0</v>
      </c>
      <c r="S229" s="7" t="s">
        <v>38</v>
      </c>
      <c r="T229" s="8">
        <v>24</v>
      </c>
      <c r="U229" s="8">
        <v>19</v>
      </c>
      <c r="V229" s="8">
        <v>11</v>
      </c>
      <c r="W229" s="9">
        <v>0.96199999999999997</v>
      </c>
      <c r="X229" s="9">
        <v>1.3680000000000001</v>
      </c>
      <c r="Y229" s="9">
        <v>0</v>
      </c>
      <c r="Z229" s="17">
        <v>1800000016068</v>
      </c>
      <c r="AA229" s="8">
        <v>729</v>
      </c>
      <c r="AB229" s="8">
        <v>90</v>
      </c>
      <c r="AC229" s="7" t="s">
        <v>47</v>
      </c>
      <c r="AD229" s="11">
        <v>5</v>
      </c>
      <c r="AE229">
        <f t="shared" si="4"/>
        <v>357355</v>
      </c>
    </row>
    <row r="230" spans="1:31" x14ac:dyDescent="0.25">
      <c r="A230" s="7">
        <v>357356</v>
      </c>
      <c r="B230" s="7" t="s">
        <v>396</v>
      </c>
      <c r="C230" s="7" t="s">
        <v>44</v>
      </c>
      <c r="D230" s="7" t="s">
        <v>91</v>
      </c>
      <c r="E230" s="7" t="s">
        <v>32</v>
      </c>
      <c r="F230" s="7" t="s">
        <v>86</v>
      </c>
      <c r="G230" s="7" t="s">
        <v>32</v>
      </c>
      <c r="H230" s="7" t="s">
        <v>36</v>
      </c>
      <c r="I230" s="7" t="s">
        <v>36</v>
      </c>
      <c r="J230" s="8">
        <v>1</v>
      </c>
      <c r="K230" s="7" t="s">
        <v>37</v>
      </c>
      <c r="L230" s="8">
        <v>5</v>
      </c>
      <c r="M230" s="7" t="s">
        <v>32</v>
      </c>
      <c r="N230" s="8">
        <v>0</v>
      </c>
      <c r="O230" s="7" t="s">
        <v>32</v>
      </c>
      <c r="P230" s="8">
        <v>0</v>
      </c>
      <c r="Q230" s="9">
        <v>1.63</v>
      </c>
      <c r="R230" s="8">
        <v>0</v>
      </c>
      <c r="S230" s="7" t="s">
        <v>38</v>
      </c>
      <c r="T230" s="8">
        <v>20</v>
      </c>
      <c r="U230" s="8">
        <v>11</v>
      </c>
      <c r="V230" s="8">
        <v>18</v>
      </c>
      <c r="W230" s="9">
        <v>0.96199999999999997</v>
      </c>
      <c r="X230" s="9">
        <v>1.3680000000000001</v>
      </c>
      <c r="Y230" s="9">
        <v>0</v>
      </c>
      <c r="Z230" s="17">
        <v>1800000016075</v>
      </c>
      <c r="AA230" s="8">
        <v>729</v>
      </c>
      <c r="AB230" s="8">
        <v>90</v>
      </c>
      <c r="AC230" s="7" t="s">
        <v>47</v>
      </c>
      <c r="AD230" s="11">
        <v>5</v>
      </c>
      <c r="AE230">
        <f t="shared" si="4"/>
        <v>357356</v>
      </c>
    </row>
    <row r="231" spans="1:31" x14ac:dyDescent="0.25">
      <c r="A231" s="7">
        <v>362949</v>
      </c>
      <c r="B231" s="7" t="s">
        <v>397</v>
      </c>
      <c r="C231" s="7" t="s">
        <v>398</v>
      </c>
      <c r="D231" s="7" t="s">
        <v>32</v>
      </c>
      <c r="E231" s="7" t="s">
        <v>32</v>
      </c>
      <c r="F231" s="7" t="s">
        <v>34</v>
      </c>
      <c r="G231" s="7" t="s">
        <v>32</v>
      </c>
      <c r="H231" s="7" t="s">
        <v>36</v>
      </c>
      <c r="I231" s="7" t="s">
        <v>36</v>
      </c>
      <c r="J231" s="8">
        <v>1</v>
      </c>
      <c r="K231" s="7" t="s">
        <v>37</v>
      </c>
      <c r="L231" s="8">
        <v>64</v>
      </c>
      <c r="M231" s="7" t="s">
        <v>32</v>
      </c>
      <c r="N231" s="8">
        <v>0</v>
      </c>
      <c r="O231" s="7" t="s">
        <v>32</v>
      </c>
      <c r="P231" s="8">
        <v>0</v>
      </c>
      <c r="Q231" s="9">
        <v>0.12</v>
      </c>
      <c r="R231" s="8">
        <v>0</v>
      </c>
      <c r="S231" s="7" t="s">
        <v>38</v>
      </c>
      <c r="T231" s="9">
        <v>2.5</v>
      </c>
      <c r="U231" s="9">
        <v>1.5</v>
      </c>
      <c r="V231" s="9">
        <v>6.4</v>
      </c>
      <c r="W231" s="9">
        <v>0.64</v>
      </c>
      <c r="X231" s="9">
        <v>0.8</v>
      </c>
      <c r="Y231" s="9">
        <v>0</v>
      </c>
      <c r="Z231" s="17">
        <v>8906038786072</v>
      </c>
      <c r="AA231" s="8">
        <v>730</v>
      </c>
      <c r="AB231" s="8">
        <v>60</v>
      </c>
      <c r="AC231" s="7" t="s">
        <v>399</v>
      </c>
      <c r="AD231" s="11">
        <v>64</v>
      </c>
      <c r="AE231">
        <f t="shared" si="4"/>
        <v>362949</v>
      </c>
    </row>
    <row r="232" spans="1:31" x14ac:dyDescent="0.25">
      <c r="A232" s="7">
        <v>362950</v>
      </c>
      <c r="B232" s="7" t="s">
        <v>400</v>
      </c>
      <c r="C232" s="7" t="s">
        <v>398</v>
      </c>
      <c r="D232" s="7" t="s">
        <v>32</v>
      </c>
      <c r="E232" s="7" t="s">
        <v>32</v>
      </c>
      <c r="F232" s="7" t="s">
        <v>34</v>
      </c>
      <c r="G232" s="7" t="s">
        <v>32</v>
      </c>
      <c r="H232" s="7" t="s">
        <v>36</v>
      </c>
      <c r="I232" s="7" t="s">
        <v>36</v>
      </c>
      <c r="J232" s="8">
        <v>1</v>
      </c>
      <c r="K232" s="7" t="s">
        <v>37</v>
      </c>
      <c r="L232" s="8">
        <v>64</v>
      </c>
      <c r="M232" s="7" t="s">
        <v>32</v>
      </c>
      <c r="N232" s="8">
        <v>0</v>
      </c>
      <c r="O232" s="7" t="s">
        <v>32</v>
      </c>
      <c r="P232" s="8">
        <v>0</v>
      </c>
      <c r="Q232" s="9">
        <v>0.12</v>
      </c>
      <c r="R232" s="8">
        <v>0</v>
      </c>
      <c r="S232" s="7" t="s">
        <v>38</v>
      </c>
      <c r="T232" s="9">
        <v>2.5</v>
      </c>
      <c r="U232" s="9">
        <v>1.5</v>
      </c>
      <c r="V232" s="9">
        <v>6.4</v>
      </c>
      <c r="W232" s="9">
        <v>0.70399999999999996</v>
      </c>
      <c r="X232" s="9">
        <v>0.88</v>
      </c>
      <c r="Y232" s="9">
        <v>0</v>
      </c>
      <c r="Z232" s="17">
        <v>8906038786089</v>
      </c>
      <c r="AA232" s="8">
        <v>730</v>
      </c>
      <c r="AB232" s="8">
        <v>60</v>
      </c>
      <c r="AC232" s="7" t="s">
        <v>399</v>
      </c>
      <c r="AD232" s="11">
        <v>64</v>
      </c>
      <c r="AE232">
        <f t="shared" si="4"/>
        <v>362950</v>
      </c>
    </row>
    <row r="233" spans="1:31" x14ac:dyDescent="0.25">
      <c r="A233" s="7">
        <v>362951</v>
      </c>
      <c r="B233" s="7" t="s">
        <v>401</v>
      </c>
      <c r="C233" s="7" t="s">
        <v>398</v>
      </c>
      <c r="D233" s="7" t="s">
        <v>32</v>
      </c>
      <c r="E233" s="7" t="s">
        <v>32</v>
      </c>
      <c r="F233" s="7" t="s">
        <v>34</v>
      </c>
      <c r="G233" s="7" t="s">
        <v>32</v>
      </c>
      <c r="H233" s="7" t="s">
        <v>36</v>
      </c>
      <c r="I233" s="7" t="s">
        <v>36</v>
      </c>
      <c r="J233" s="8">
        <v>1</v>
      </c>
      <c r="K233" s="7" t="s">
        <v>37</v>
      </c>
      <c r="L233" s="8">
        <v>64</v>
      </c>
      <c r="M233" s="7" t="s">
        <v>32</v>
      </c>
      <c r="N233" s="8">
        <v>0</v>
      </c>
      <c r="O233" s="7" t="s">
        <v>32</v>
      </c>
      <c r="P233" s="8">
        <v>0</v>
      </c>
      <c r="Q233" s="9">
        <v>0.12</v>
      </c>
      <c r="R233" s="8">
        <v>0</v>
      </c>
      <c r="S233" s="7" t="s">
        <v>38</v>
      </c>
      <c r="T233" s="9">
        <v>2.5</v>
      </c>
      <c r="U233" s="9">
        <v>1.5</v>
      </c>
      <c r="V233" s="9">
        <v>6.4</v>
      </c>
      <c r="W233" s="9">
        <v>0.70399999999999996</v>
      </c>
      <c r="X233" s="9">
        <v>0.88</v>
      </c>
      <c r="Y233" s="9">
        <v>0</v>
      </c>
      <c r="Z233" s="17">
        <v>8906038786126</v>
      </c>
      <c r="AA233" s="8">
        <v>730</v>
      </c>
      <c r="AB233" s="8">
        <v>60</v>
      </c>
      <c r="AC233" s="7" t="s">
        <v>399</v>
      </c>
      <c r="AD233" s="11">
        <v>64</v>
      </c>
      <c r="AE233">
        <f t="shared" si="4"/>
        <v>362951</v>
      </c>
    </row>
    <row r="234" spans="1:31" x14ac:dyDescent="0.25">
      <c r="A234" s="7">
        <v>362952</v>
      </c>
      <c r="B234" s="7" t="s">
        <v>402</v>
      </c>
      <c r="C234" s="7" t="s">
        <v>398</v>
      </c>
      <c r="D234" s="7" t="s">
        <v>32</v>
      </c>
      <c r="E234" s="7" t="s">
        <v>32</v>
      </c>
      <c r="F234" s="7" t="s">
        <v>34</v>
      </c>
      <c r="G234" s="7" t="s">
        <v>32</v>
      </c>
      <c r="H234" s="7" t="s">
        <v>36</v>
      </c>
      <c r="I234" s="7" t="s">
        <v>36</v>
      </c>
      <c r="J234" s="8">
        <v>1</v>
      </c>
      <c r="K234" s="7" t="s">
        <v>37</v>
      </c>
      <c r="L234" s="8">
        <v>64</v>
      </c>
      <c r="M234" s="7" t="s">
        <v>32</v>
      </c>
      <c r="N234" s="8">
        <v>0</v>
      </c>
      <c r="O234" s="7" t="s">
        <v>32</v>
      </c>
      <c r="P234" s="8">
        <v>0</v>
      </c>
      <c r="Q234" s="9">
        <v>0.11</v>
      </c>
      <c r="R234" s="8">
        <v>0</v>
      </c>
      <c r="S234" s="7" t="s">
        <v>38</v>
      </c>
      <c r="T234" s="9">
        <v>1.4</v>
      </c>
      <c r="U234" s="9">
        <v>1.4</v>
      </c>
      <c r="V234" s="8">
        <v>6</v>
      </c>
      <c r="W234" s="9">
        <v>0.51200000000000001</v>
      </c>
      <c r="X234" s="9">
        <v>0.64</v>
      </c>
      <c r="Y234" s="9">
        <v>0</v>
      </c>
      <c r="Z234" s="17">
        <v>8906038781848</v>
      </c>
      <c r="AA234" s="8">
        <v>730</v>
      </c>
      <c r="AB234" s="8">
        <v>60</v>
      </c>
      <c r="AC234" s="7" t="s">
        <v>399</v>
      </c>
      <c r="AD234" s="11">
        <v>64</v>
      </c>
      <c r="AE234">
        <f t="shared" si="4"/>
        <v>362952</v>
      </c>
    </row>
    <row r="235" spans="1:31" x14ac:dyDescent="0.25">
      <c r="A235" s="7">
        <v>362954</v>
      </c>
      <c r="B235" s="7" t="s">
        <v>403</v>
      </c>
      <c r="C235" s="7" t="s">
        <v>398</v>
      </c>
      <c r="D235" s="7" t="s">
        <v>32</v>
      </c>
      <c r="E235" s="7" t="s">
        <v>32</v>
      </c>
      <c r="F235" s="7" t="s">
        <v>34</v>
      </c>
      <c r="G235" s="7" t="s">
        <v>32</v>
      </c>
      <c r="H235" s="7" t="s">
        <v>36</v>
      </c>
      <c r="I235" s="7" t="s">
        <v>36</v>
      </c>
      <c r="J235" s="8">
        <v>1</v>
      </c>
      <c r="K235" s="7" t="s">
        <v>37</v>
      </c>
      <c r="L235" s="8">
        <v>60</v>
      </c>
      <c r="M235" s="7" t="s">
        <v>32</v>
      </c>
      <c r="N235" s="8">
        <v>0</v>
      </c>
      <c r="O235" s="7" t="s">
        <v>32</v>
      </c>
      <c r="P235" s="8">
        <v>0</v>
      </c>
      <c r="Q235" s="9">
        <v>0.22</v>
      </c>
      <c r="R235" s="8">
        <v>0</v>
      </c>
      <c r="S235" s="7" t="s">
        <v>38</v>
      </c>
      <c r="T235" s="8">
        <v>2</v>
      </c>
      <c r="U235" s="9">
        <v>1.5</v>
      </c>
      <c r="V235" s="9">
        <v>7.8</v>
      </c>
      <c r="W235" s="9">
        <v>0.71199999999999997</v>
      </c>
      <c r="X235" s="9">
        <v>0.89</v>
      </c>
      <c r="Y235" s="9">
        <v>0</v>
      </c>
      <c r="Z235" s="17">
        <v>8906038784863</v>
      </c>
      <c r="AA235" s="8">
        <v>730</v>
      </c>
      <c r="AB235" s="8">
        <v>60</v>
      </c>
      <c r="AC235" s="7" t="s">
        <v>399</v>
      </c>
      <c r="AD235" s="11">
        <v>60</v>
      </c>
      <c r="AE235">
        <f t="shared" si="4"/>
        <v>362954</v>
      </c>
    </row>
    <row r="236" spans="1:31" x14ac:dyDescent="0.25">
      <c r="A236" s="7">
        <v>363700</v>
      </c>
      <c r="B236" s="7" t="s">
        <v>404</v>
      </c>
      <c r="C236" s="7" t="s">
        <v>232</v>
      </c>
      <c r="D236" s="7" t="s">
        <v>91</v>
      </c>
      <c r="E236" s="7" t="s">
        <v>32</v>
      </c>
      <c r="F236" s="7" t="s">
        <v>34</v>
      </c>
      <c r="G236" s="7" t="s">
        <v>405</v>
      </c>
      <c r="H236" s="7" t="s">
        <v>36</v>
      </c>
      <c r="I236" s="7" t="s">
        <v>36</v>
      </c>
      <c r="J236" s="8">
        <v>1</v>
      </c>
      <c r="K236" s="7" t="s">
        <v>37</v>
      </c>
      <c r="L236" s="8">
        <v>6</v>
      </c>
      <c r="M236" s="7" t="s">
        <v>32</v>
      </c>
      <c r="N236" s="8">
        <v>0</v>
      </c>
      <c r="O236" s="7" t="s">
        <v>32</v>
      </c>
      <c r="P236" s="8">
        <v>0</v>
      </c>
      <c r="Q236" s="9">
        <v>0.74</v>
      </c>
      <c r="R236" s="8">
        <v>0</v>
      </c>
      <c r="S236" s="7" t="s">
        <v>38</v>
      </c>
      <c r="T236" s="8">
        <v>11</v>
      </c>
      <c r="U236" s="8">
        <v>11</v>
      </c>
      <c r="V236" s="9">
        <v>21.5</v>
      </c>
      <c r="W236" s="9">
        <v>3.3109999999999999</v>
      </c>
      <c r="X236" s="9">
        <v>4.4749999999999996</v>
      </c>
      <c r="Y236" s="9">
        <v>0</v>
      </c>
      <c r="Z236" s="17">
        <v>8410031922875</v>
      </c>
      <c r="AA236" s="8">
        <v>558</v>
      </c>
      <c r="AB236" s="8">
        <v>25</v>
      </c>
      <c r="AC236" s="7" t="s">
        <v>146</v>
      </c>
      <c r="AD236" s="11">
        <v>6</v>
      </c>
      <c r="AE236">
        <f t="shared" si="4"/>
        <v>363700</v>
      </c>
    </row>
    <row r="237" spans="1:31" x14ac:dyDescent="0.25">
      <c r="A237" s="7">
        <v>365133</v>
      </c>
      <c r="B237" s="7" t="s">
        <v>406</v>
      </c>
      <c r="C237" s="7" t="s">
        <v>143</v>
      </c>
      <c r="D237" s="7" t="s">
        <v>91</v>
      </c>
      <c r="E237" s="7" t="s">
        <v>32</v>
      </c>
      <c r="F237" s="7" t="s">
        <v>34</v>
      </c>
      <c r="G237" s="7" t="s">
        <v>407</v>
      </c>
      <c r="H237" s="7" t="s">
        <v>36</v>
      </c>
      <c r="I237" s="7" t="s">
        <v>36</v>
      </c>
      <c r="J237" s="8">
        <v>1</v>
      </c>
      <c r="K237" s="7" t="s">
        <v>37</v>
      </c>
      <c r="L237" s="8">
        <v>12</v>
      </c>
      <c r="M237" s="7" t="s">
        <v>32</v>
      </c>
      <c r="N237" s="8">
        <v>0</v>
      </c>
      <c r="O237" s="7" t="s">
        <v>32</v>
      </c>
      <c r="P237" s="8">
        <v>0</v>
      </c>
      <c r="Q237" s="9">
        <v>0.08</v>
      </c>
      <c r="R237" s="8">
        <v>0</v>
      </c>
      <c r="S237" s="7" t="s">
        <v>38</v>
      </c>
      <c r="T237" s="8">
        <v>15</v>
      </c>
      <c r="U237" s="9">
        <v>1.5</v>
      </c>
      <c r="V237" s="9">
        <v>16.5</v>
      </c>
      <c r="W237" s="9">
        <v>0.29499999999999998</v>
      </c>
      <c r="X237" s="9">
        <v>0.41499999999999998</v>
      </c>
      <c r="Y237" s="9">
        <v>0</v>
      </c>
      <c r="Z237" s="17">
        <v>6921211117025</v>
      </c>
      <c r="AA237" s="8">
        <v>540</v>
      </c>
      <c r="AB237" s="8">
        <v>90</v>
      </c>
      <c r="AC237" s="7" t="s">
        <v>146</v>
      </c>
      <c r="AD237" s="11">
        <v>12</v>
      </c>
      <c r="AE237">
        <f t="shared" si="4"/>
        <v>365133</v>
      </c>
    </row>
    <row r="238" spans="1:31" x14ac:dyDescent="0.25">
      <c r="A238" s="7">
        <v>365134</v>
      </c>
      <c r="B238" s="7" t="s">
        <v>408</v>
      </c>
      <c r="C238" s="7" t="s">
        <v>143</v>
      </c>
      <c r="D238" s="7" t="s">
        <v>91</v>
      </c>
      <c r="E238" s="7" t="s">
        <v>32</v>
      </c>
      <c r="F238" s="7" t="s">
        <v>34</v>
      </c>
      <c r="G238" s="7" t="s">
        <v>409</v>
      </c>
      <c r="H238" s="7" t="s">
        <v>36</v>
      </c>
      <c r="I238" s="7" t="s">
        <v>36</v>
      </c>
      <c r="J238" s="8">
        <v>1</v>
      </c>
      <c r="K238" s="7" t="s">
        <v>37</v>
      </c>
      <c r="L238" s="8">
        <v>12</v>
      </c>
      <c r="M238" s="7" t="s">
        <v>32</v>
      </c>
      <c r="N238" s="8">
        <v>0</v>
      </c>
      <c r="O238" s="7" t="s">
        <v>32</v>
      </c>
      <c r="P238" s="8">
        <v>0</v>
      </c>
      <c r="Q238" s="9">
        <v>0.08</v>
      </c>
      <c r="R238" s="8">
        <v>0</v>
      </c>
      <c r="S238" s="7" t="s">
        <v>38</v>
      </c>
      <c r="T238" s="8">
        <v>15</v>
      </c>
      <c r="U238" s="9">
        <v>1.5</v>
      </c>
      <c r="V238" s="8">
        <v>17</v>
      </c>
      <c r="W238" s="9">
        <v>0.29499999999999998</v>
      </c>
      <c r="X238" s="9">
        <v>0.41499999999999998</v>
      </c>
      <c r="Y238" s="9">
        <v>0</v>
      </c>
      <c r="Z238" s="17">
        <v>6921211118121</v>
      </c>
      <c r="AA238" s="8">
        <v>540</v>
      </c>
      <c r="AB238" s="8">
        <v>90</v>
      </c>
      <c r="AC238" s="7" t="s">
        <v>146</v>
      </c>
      <c r="AD238" s="11">
        <v>12</v>
      </c>
      <c r="AE238">
        <f t="shared" si="4"/>
        <v>365134</v>
      </c>
    </row>
    <row r="239" spans="1:31" x14ac:dyDescent="0.25">
      <c r="A239" s="7">
        <v>370080</v>
      </c>
      <c r="B239" s="7" t="s">
        <v>410</v>
      </c>
      <c r="C239" s="7" t="s">
        <v>232</v>
      </c>
      <c r="D239" s="7" t="s">
        <v>91</v>
      </c>
      <c r="E239" s="7" t="s">
        <v>32</v>
      </c>
      <c r="F239" s="7" t="s">
        <v>411</v>
      </c>
      <c r="G239" s="7" t="s">
        <v>32</v>
      </c>
      <c r="H239" s="7" t="s">
        <v>36</v>
      </c>
      <c r="I239" s="7" t="s">
        <v>36</v>
      </c>
      <c r="J239" s="8">
        <v>1</v>
      </c>
      <c r="K239" s="7" t="s">
        <v>37</v>
      </c>
      <c r="L239" s="8">
        <v>4</v>
      </c>
      <c r="M239" s="7" t="s">
        <v>32</v>
      </c>
      <c r="N239" s="8">
        <v>0</v>
      </c>
      <c r="O239" s="7" t="s">
        <v>32</v>
      </c>
      <c r="P239" s="8">
        <v>0</v>
      </c>
      <c r="Q239" s="9">
        <v>0.27</v>
      </c>
      <c r="R239" s="8">
        <v>0</v>
      </c>
      <c r="S239" s="7" t="s">
        <v>38</v>
      </c>
      <c r="T239" s="8">
        <v>11</v>
      </c>
      <c r="U239" s="8">
        <v>5</v>
      </c>
      <c r="V239" s="8">
        <v>16</v>
      </c>
      <c r="W239" s="9">
        <v>0.75</v>
      </c>
      <c r="X239" s="9">
        <v>1.014</v>
      </c>
      <c r="Y239" s="9">
        <v>0</v>
      </c>
      <c r="Z239" s="17">
        <v>1800000017904</v>
      </c>
      <c r="AA239" s="8">
        <v>543</v>
      </c>
      <c r="AB239" s="8">
        <v>60</v>
      </c>
      <c r="AC239" s="7" t="s">
        <v>146</v>
      </c>
      <c r="AD239" s="11">
        <v>4</v>
      </c>
      <c r="AE239">
        <f t="shared" si="4"/>
        <v>370080</v>
      </c>
    </row>
    <row r="240" spans="1:31" x14ac:dyDescent="0.25">
      <c r="A240" s="7">
        <v>371251</v>
      </c>
      <c r="B240" s="7" t="s">
        <v>412</v>
      </c>
      <c r="C240" s="7" t="s">
        <v>143</v>
      </c>
      <c r="D240" s="7" t="s">
        <v>91</v>
      </c>
      <c r="E240" s="7" t="s">
        <v>32</v>
      </c>
      <c r="F240" s="7" t="s">
        <v>34</v>
      </c>
      <c r="G240" s="7" t="s">
        <v>413</v>
      </c>
      <c r="H240" s="7" t="s">
        <v>36</v>
      </c>
      <c r="I240" s="7" t="s">
        <v>36</v>
      </c>
      <c r="J240" s="8">
        <v>1</v>
      </c>
      <c r="K240" s="7" t="s">
        <v>37</v>
      </c>
      <c r="L240" s="8">
        <v>12</v>
      </c>
      <c r="M240" s="7" t="s">
        <v>32</v>
      </c>
      <c r="N240" s="8">
        <v>0</v>
      </c>
      <c r="O240" s="7" t="s">
        <v>32</v>
      </c>
      <c r="P240" s="8">
        <v>0</v>
      </c>
      <c r="Q240" s="9">
        <v>0.08</v>
      </c>
      <c r="R240" s="8">
        <v>0</v>
      </c>
      <c r="S240" s="7" t="s">
        <v>38</v>
      </c>
      <c r="T240" s="8">
        <v>14</v>
      </c>
      <c r="U240" s="8">
        <v>3</v>
      </c>
      <c r="V240" s="8">
        <v>16</v>
      </c>
      <c r="W240" s="9">
        <v>0.29499999999999998</v>
      </c>
      <c r="X240" s="9">
        <v>0.41499999999999998</v>
      </c>
      <c r="Y240" s="9">
        <v>0</v>
      </c>
      <c r="Z240" s="17">
        <v>6921211117094</v>
      </c>
      <c r="AA240" s="8">
        <v>540</v>
      </c>
      <c r="AB240" s="8">
        <v>90</v>
      </c>
      <c r="AC240" s="7" t="s">
        <v>146</v>
      </c>
      <c r="AD240" s="11">
        <v>12</v>
      </c>
      <c r="AE240">
        <f t="shared" si="4"/>
        <v>371251</v>
      </c>
    </row>
    <row r="241" spans="1:31" x14ac:dyDescent="0.25">
      <c r="A241" s="7">
        <v>371252</v>
      </c>
      <c r="B241" s="7" t="s">
        <v>414</v>
      </c>
      <c r="C241" s="7" t="s">
        <v>232</v>
      </c>
      <c r="D241" s="7" t="s">
        <v>91</v>
      </c>
      <c r="E241" s="7" t="s">
        <v>32</v>
      </c>
      <c r="F241" s="7" t="s">
        <v>34</v>
      </c>
      <c r="G241" s="7" t="s">
        <v>415</v>
      </c>
      <c r="H241" s="7" t="s">
        <v>36</v>
      </c>
      <c r="I241" s="7" t="s">
        <v>145</v>
      </c>
      <c r="J241" s="8">
        <v>48</v>
      </c>
      <c r="K241" s="7" t="s">
        <v>36</v>
      </c>
      <c r="L241" s="8">
        <v>1</v>
      </c>
      <c r="M241" s="7" t="s">
        <v>37</v>
      </c>
      <c r="N241" s="8">
        <v>768</v>
      </c>
      <c r="O241" s="7" t="s">
        <v>32</v>
      </c>
      <c r="P241" s="8">
        <v>0</v>
      </c>
      <c r="Q241" s="9">
        <v>0.63</v>
      </c>
      <c r="R241" s="8">
        <v>0</v>
      </c>
      <c r="S241" s="7" t="s">
        <v>38</v>
      </c>
      <c r="T241" s="9">
        <v>20.399999999999999</v>
      </c>
      <c r="U241" s="9">
        <v>10.5</v>
      </c>
      <c r="V241" s="8">
        <v>6</v>
      </c>
      <c r="W241" s="9">
        <v>3.1E-2</v>
      </c>
      <c r="X241" s="9">
        <v>4.1000000000000002E-2</v>
      </c>
      <c r="Y241" s="9">
        <v>0</v>
      </c>
      <c r="Z241" s="17">
        <v>8901393017045</v>
      </c>
      <c r="AA241" s="8">
        <v>540</v>
      </c>
      <c r="AB241" s="8">
        <v>90</v>
      </c>
      <c r="AC241" s="7" t="s">
        <v>146</v>
      </c>
      <c r="AD241" s="11">
        <v>768</v>
      </c>
      <c r="AE241">
        <f t="shared" si="4"/>
        <v>371252</v>
      </c>
    </row>
    <row r="242" spans="1:31" x14ac:dyDescent="0.25">
      <c r="A242" s="7">
        <v>372600</v>
      </c>
      <c r="B242" s="7" t="s">
        <v>416</v>
      </c>
      <c r="C242" s="7" t="s">
        <v>44</v>
      </c>
      <c r="D242" s="7" t="s">
        <v>91</v>
      </c>
      <c r="E242" s="7" t="s">
        <v>32</v>
      </c>
      <c r="F242" s="7" t="s">
        <v>34</v>
      </c>
      <c r="G242" s="7" t="s">
        <v>417</v>
      </c>
      <c r="H242" s="7" t="s">
        <v>36</v>
      </c>
      <c r="I242" s="7" t="s">
        <v>36</v>
      </c>
      <c r="J242" s="8">
        <v>1</v>
      </c>
      <c r="K242" s="7" t="s">
        <v>37</v>
      </c>
      <c r="L242" s="8">
        <v>12</v>
      </c>
      <c r="M242" s="7" t="s">
        <v>32</v>
      </c>
      <c r="N242" s="8">
        <v>0</v>
      </c>
      <c r="O242" s="7" t="s">
        <v>32</v>
      </c>
      <c r="P242" s="8">
        <v>0</v>
      </c>
      <c r="Q242" s="9">
        <v>0.54</v>
      </c>
      <c r="R242" s="8">
        <v>0</v>
      </c>
      <c r="S242" s="7" t="s">
        <v>38</v>
      </c>
      <c r="T242" s="9">
        <v>6.6</v>
      </c>
      <c r="U242" s="9">
        <v>6.6</v>
      </c>
      <c r="V242" s="8">
        <v>12</v>
      </c>
      <c r="W242" s="9">
        <v>0.60699999999999998</v>
      </c>
      <c r="X242" s="9">
        <v>0.85</v>
      </c>
      <c r="Y242" s="9">
        <v>0</v>
      </c>
      <c r="Z242" s="17">
        <v>8720865190549</v>
      </c>
      <c r="AA242" s="8">
        <v>730</v>
      </c>
      <c r="AB242" s="8">
        <v>90</v>
      </c>
      <c r="AC242" s="7" t="s">
        <v>47</v>
      </c>
      <c r="AD242" s="11">
        <v>12</v>
      </c>
      <c r="AE242">
        <f t="shared" si="4"/>
        <v>372600</v>
      </c>
    </row>
    <row r="243" spans="1:31" x14ac:dyDescent="0.25">
      <c r="A243" s="7">
        <v>372601</v>
      </c>
      <c r="B243" s="7" t="s">
        <v>418</v>
      </c>
      <c r="C243" s="7" t="s">
        <v>44</v>
      </c>
      <c r="D243" s="7" t="s">
        <v>91</v>
      </c>
      <c r="E243" s="7" t="s">
        <v>32</v>
      </c>
      <c r="F243" s="7" t="s">
        <v>34</v>
      </c>
      <c r="G243" s="7" t="s">
        <v>419</v>
      </c>
      <c r="H243" s="7" t="s">
        <v>36</v>
      </c>
      <c r="I243" s="7" t="s">
        <v>36</v>
      </c>
      <c r="J243" s="8">
        <v>1</v>
      </c>
      <c r="K243" s="7" t="s">
        <v>37</v>
      </c>
      <c r="L243" s="8">
        <v>12</v>
      </c>
      <c r="M243" s="7" t="s">
        <v>32</v>
      </c>
      <c r="N243" s="8">
        <v>0</v>
      </c>
      <c r="O243" s="7" t="s">
        <v>32</v>
      </c>
      <c r="P243" s="8">
        <v>0</v>
      </c>
      <c r="Q243" s="9">
        <v>0.71</v>
      </c>
      <c r="R243" s="8">
        <v>0</v>
      </c>
      <c r="S243" s="7" t="s">
        <v>38</v>
      </c>
      <c r="T243" s="9">
        <v>6.6</v>
      </c>
      <c r="U243" s="9">
        <v>6.6</v>
      </c>
      <c r="V243" s="8">
        <v>16</v>
      </c>
      <c r="W243" s="9">
        <v>0.97299999999999998</v>
      </c>
      <c r="X243" s="9">
        <v>1.37</v>
      </c>
      <c r="Y243" s="9">
        <v>0</v>
      </c>
      <c r="Z243" s="17">
        <v>8720865190624</v>
      </c>
      <c r="AA243" s="8">
        <v>730</v>
      </c>
      <c r="AB243" s="8">
        <v>90</v>
      </c>
      <c r="AC243" s="7" t="s">
        <v>47</v>
      </c>
      <c r="AD243" s="11">
        <v>12</v>
      </c>
      <c r="AE243">
        <f t="shared" si="4"/>
        <v>372601</v>
      </c>
    </row>
    <row r="244" spans="1:31" x14ac:dyDescent="0.25">
      <c r="A244" s="7">
        <v>372602</v>
      </c>
      <c r="B244" s="7" t="s">
        <v>420</v>
      </c>
      <c r="C244" s="7" t="s">
        <v>44</v>
      </c>
      <c r="D244" s="7" t="s">
        <v>91</v>
      </c>
      <c r="E244" s="7" t="s">
        <v>32</v>
      </c>
      <c r="F244" s="7" t="s">
        <v>34</v>
      </c>
      <c r="G244" s="7" t="s">
        <v>421</v>
      </c>
      <c r="H244" s="7" t="s">
        <v>36</v>
      </c>
      <c r="I244" s="7" t="s">
        <v>36</v>
      </c>
      <c r="J244" s="8">
        <v>1</v>
      </c>
      <c r="K244" s="7" t="s">
        <v>37</v>
      </c>
      <c r="L244" s="8">
        <v>12</v>
      </c>
      <c r="M244" s="7" t="s">
        <v>32</v>
      </c>
      <c r="N244" s="8">
        <v>0</v>
      </c>
      <c r="O244" s="7" t="s">
        <v>32</v>
      </c>
      <c r="P244" s="8">
        <v>0</v>
      </c>
      <c r="Q244" s="9">
        <v>0.54</v>
      </c>
      <c r="R244" s="8">
        <v>0</v>
      </c>
      <c r="S244" s="7" t="s">
        <v>38</v>
      </c>
      <c r="T244" s="9">
        <v>6.6</v>
      </c>
      <c r="U244" s="9">
        <v>6.6</v>
      </c>
      <c r="V244" s="8">
        <v>12</v>
      </c>
      <c r="W244" s="9">
        <v>0.60699999999999998</v>
      </c>
      <c r="X244" s="9">
        <v>0.85</v>
      </c>
      <c r="Y244" s="9">
        <v>0</v>
      </c>
      <c r="Z244" s="17">
        <v>8720865190525</v>
      </c>
      <c r="AA244" s="8">
        <v>730</v>
      </c>
      <c r="AB244" s="8">
        <v>90</v>
      </c>
      <c r="AC244" s="7" t="s">
        <v>47</v>
      </c>
      <c r="AD244" s="11">
        <v>12</v>
      </c>
      <c r="AE244">
        <f t="shared" si="4"/>
        <v>372602</v>
      </c>
    </row>
    <row r="245" spans="1:31" x14ac:dyDescent="0.25">
      <c r="A245" s="7">
        <v>372603</v>
      </c>
      <c r="B245" s="7" t="s">
        <v>422</v>
      </c>
      <c r="C245" s="7" t="s">
        <v>44</v>
      </c>
      <c r="D245" s="7" t="s">
        <v>91</v>
      </c>
      <c r="E245" s="7" t="s">
        <v>32</v>
      </c>
      <c r="F245" s="7" t="s">
        <v>34</v>
      </c>
      <c r="G245" s="7" t="s">
        <v>423</v>
      </c>
      <c r="H245" s="7" t="s">
        <v>36</v>
      </c>
      <c r="I245" s="7" t="s">
        <v>36</v>
      </c>
      <c r="J245" s="8">
        <v>1</v>
      </c>
      <c r="K245" s="7" t="s">
        <v>37</v>
      </c>
      <c r="L245" s="8">
        <v>12</v>
      </c>
      <c r="M245" s="7" t="s">
        <v>32</v>
      </c>
      <c r="N245" s="8">
        <v>0</v>
      </c>
      <c r="O245" s="7" t="s">
        <v>32</v>
      </c>
      <c r="P245" s="8">
        <v>0</v>
      </c>
      <c r="Q245" s="9">
        <v>0.71</v>
      </c>
      <c r="R245" s="8">
        <v>0</v>
      </c>
      <c r="S245" s="7" t="s">
        <v>38</v>
      </c>
      <c r="T245" s="9">
        <v>6.6</v>
      </c>
      <c r="U245" s="9">
        <v>6.6</v>
      </c>
      <c r="V245" s="8">
        <v>16</v>
      </c>
      <c r="W245" s="9">
        <v>0.97299999999999998</v>
      </c>
      <c r="X245" s="9">
        <v>1.37</v>
      </c>
      <c r="Y245" s="9">
        <v>0</v>
      </c>
      <c r="Z245" s="17">
        <v>8720865190600</v>
      </c>
      <c r="AA245" s="8">
        <v>730</v>
      </c>
      <c r="AB245" s="8">
        <v>90</v>
      </c>
      <c r="AC245" s="7" t="s">
        <v>47</v>
      </c>
      <c r="AD245" s="11">
        <v>12</v>
      </c>
      <c r="AE245">
        <f t="shared" si="4"/>
        <v>372603</v>
      </c>
    </row>
    <row r="246" spans="1:31" x14ac:dyDescent="0.25">
      <c r="A246" s="7">
        <v>372604</v>
      </c>
      <c r="B246" s="7" t="s">
        <v>424</v>
      </c>
      <c r="C246" s="7" t="s">
        <v>44</v>
      </c>
      <c r="D246" s="7" t="s">
        <v>91</v>
      </c>
      <c r="E246" s="7" t="s">
        <v>32</v>
      </c>
      <c r="F246" s="7" t="s">
        <v>34</v>
      </c>
      <c r="G246" s="7" t="s">
        <v>425</v>
      </c>
      <c r="H246" s="7" t="s">
        <v>36</v>
      </c>
      <c r="I246" s="7" t="s">
        <v>36</v>
      </c>
      <c r="J246" s="8">
        <v>1</v>
      </c>
      <c r="K246" s="7" t="s">
        <v>37</v>
      </c>
      <c r="L246" s="8">
        <v>12</v>
      </c>
      <c r="M246" s="7" t="s">
        <v>32</v>
      </c>
      <c r="N246" s="8">
        <v>0</v>
      </c>
      <c r="O246" s="7" t="s">
        <v>32</v>
      </c>
      <c r="P246" s="8">
        <v>0</v>
      </c>
      <c r="Q246" s="9">
        <v>0.71</v>
      </c>
      <c r="R246" s="8">
        <v>0</v>
      </c>
      <c r="S246" s="7" t="s">
        <v>38</v>
      </c>
      <c r="T246" s="9">
        <v>6.6</v>
      </c>
      <c r="U246" s="9">
        <v>6.6</v>
      </c>
      <c r="V246" s="8">
        <v>16</v>
      </c>
      <c r="W246" s="9">
        <v>0.97299999999999998</v>
      </c>
      <c r="X246" s="9">
        <v>1.37</v>
      </c>
      <c r="Y246" s="9">
        <v>0</v>
      </c>
      <c r="Z246" s="17">
        <v>8720865190648</v>
      </c>
      <c r="AA246" s="8">
        <v>730</v>
      </c>
      <c r="AB246" s="8">
        <v>90</v>
      </c>
      <c r="AC246" s="7" t="s">
        <v>47</v>
      </c>
      <c r="AD246" s="11">
        <v>12</v>
      </c>
      <c r="AE246">
        <f t="shared" si="4"/>
        <v>372604</v>
      </c>
    </row>
    <row r="247" spans="1:31" x14ac:dyDescent="0.25">
      <c r="A247" s="7">
        <v>372605</v>
      </c>
      <c r="B247" s="7" t="s">
        <v>426</v>
      </c>
      <c r="C247" s="7" t="s">
        <v>44</v>
      </c>
      <c r="D247" s="7" t="s">
        <v>91</v>
      </c>
      <c r="E247" s="7" t="s">
        <v>32</v>
      </c>
      <c r="F247" s="7" t="s">
        <v>34</v>
      </c>
      <c r="G247" s="7" t="s">
        <v>427</v>
      </c>
      <c r="H247" s="7" t="s">
        <v>36</v>
      </c>
      <c r="I247" s="7" t="s">
        <v>36</v>
      </c>
      <c r="J247" s="8">
        <v>1</v>
      </c>
      <c r="K247" s="7" t="s">
        <v>37</v>
      </c>
      <c r="L247" s="8">
        <v>12</v>
      </c>
      <c r="M247" s="7" t="s">
        <v>32</v>
      </c>
      <c r="N247" s="8">
        <v>0</v>
      </c>
      <c r="O247" s="7" t="s">
        <v>32</v>
      </c>
      <c r="P247" s="8">
        <v>0</v>
      </c>
      <c r="Q247" s="9">
        <v>0.54</v>
      </c>
      <c r="R247" s="8">
        <v>0</v>
      </c>
      <c r="S247" s="7" t="s">
        <v>38</v>
      </c>
      <c r="T247" s="9">
        <v>6.6</v>
      </c>
      <c r="U247" s="9">
        <v>6.6</v>
      </c>
      <c r="V247" s="8">
        <v>12</v>
      </c>
      <c r="W247" s="9">
        <v>0.77900000000000003</v>
      </c>
      <c r="X247" s="9">
        <v>1.1000000000000001</v>
      </c>
      <c r="Y247" s="9">
        <v>0</v>
      </c>
      <c r="Z247" s="17">
        <v>8720865190587</v>
      </c>
      <c r="AA247" s="8">
        <v>730</v>
      </c>
      <c r="AB247" s="8">
        <v>90</v>
      </c>
      <c r="AC247" s="7" t="s">
        <v>47</v>
      </c>
      <c r="AD247" s="11">
        <v>12</v>
      </c>
      <c r="AE247">
        <f t="shared" si="4"/>
        <v>372605</v>
      </c>
    </row>
    <row r="248" spans="1:31" x14ac:dyDescent="0.25">
      <c r="A248" s="7">
        <v>372697</v>
      </c>
      <c r="B248" s="7" t="s">
        <v>428</v>
      </c>
      <c r="C248" s="7" t="s">
        <v>143</v>
      </c>
      <c r="D248" s="7" t="s">
        <v>91</v>
      </c>
      <c r="E248" s="7" t="s">
        <v>32</v>
      </c>
      <c r="F248" s="7" t="s">
        <v>34</v>
      </c>
      <c r="G248" s="7" t="s">
        <v>429</v>
      </c>
      <c r="H248" s="7" t="s">
        <v>36</v>
      </c>
      <c r="I248" s="7" t="s">
        <v>145</v>
      </c>
      <c r="J248" s="8">
        <v>20</v>
      </c>
      <c r="K248" s="7" t="s">
        <v>36</v>
      </c>
      <c r="L248" s="8">
        <v>1</v>
      </c>
      <c r="M248" s="7" t="s">
        <v>37</v>
      </c>
      <c r="N248" s="8">
        <v>240</v>
      </c>
      <c r="O248" s="7" t="s">
        <v>32</v>
      </c>
      <c r="P248" s="8">
        <v>0</v>
      </c>
      <c r="Q248" s="9">
        <v>0.5</v>
      </c>
      <c r="R248" s="8">
        <v>0</v>
      </c>
      <c r="S248" s="7" t="s">
        <v>38</v>
      </c>
      <c r="T248" s="9">
        <v>10.6</v>
      </c>
      <c r="U248" s="8">
        <v>3</v>
      </c>
      <c r="V248" s="9">
        <v>1.6</v>
      </c>
      <c r="W248" s="9">
        <v>0.16</v>
      </c>
      <c r="X248" s="9">
        <v>0.217</v>
      </c>
      <c r="Y248" s="9">
        <v>0</v>
      </c>
      <c r="Z248" s="17">
        <v>8935001726029</v>
      </c>
      <c r="AA248" s="8">
        <v>458</v>
      </c>
      <c r="AB248" s="8">
        <v>90</v>
      </c>
      <c r="AC248" s="7" t="s">
        <v>146</v>
      </c>
      <c r="AD248" s="11">
        <v>240</v>
      </c>
      <c r="AE248">
        <f t="shared" si="4"/>
        <v>372697</v>
      </c>
    </row>
    <row r="249" spans="1:31" x14ac:dyDescent="0.25">
      <c r="A249" s="7">
        <v>372698</v>
      </c>
      <c r="B249" s="7" t="s">
        <v>430</v>
      </c>
      <c r="C249" s="7" t="s">
        <v>232</v>
      </c>
      <c r="D249" s="7" t="s">
        <v>91</v>
      </c>
      <c r="E249" s="7" t="s">
        <v>32</v>
      </c>
      <c r="F249" s="7" t="s">
        <v>34</v>
      </c>
      <c r="G249" s="7" t="s">
        <v>431</v>
      </c>
      <c r="H249" s="7" t="s">
        <v>36</v>
      </c>
      <c r="I249" s="7" t="s">
        <v>145</v>
      </c>
      <c r="J249" s="8">
        <v>12</v>
      </c>
      <c r="K249" s="7" t="s">
        <v>36</v>
      </c>
      <c r="L249" s="8">
        <v>1</v>
      </c>
      <c r="M249" s="7" t="s">
        <v>37</v>
      </c>
      <c r="N249" s="8">
        <v>96</v>
      </c>
      <c r="O249" s="7" t="s">
        <v>32</v>
      </c>
      <c r="P249" s="8">
        <v>0</v>
      </c>
      <c r="Q249" s="9">
        <v>0.1</v>
      </c>
      <c r="R249" s="8">
        <v>0</v>
      </c>
      <c r="S249" s="7" t="s">
        <v>38</v>
      </c>
      <c r="T249" s="8">
        <v>10</v>
      </c>
      <c r="U249" s="9">
        <v>0.5</v>
      </c>
      <c r="V249" s="9">
        <v>0.23</v>
      </c>
      <c r="W249" s="9">
        <v>0.2</v>
      </c>
      <c r="X249" s="9">
        <v>0.28499999999999998</v>
      </c>
      <c r="Y249" s="9">
        <v>0</v>
      </c>
      <c r="Z249" s="17">
        <v>8901393025804</v>
      </c>
      <c r="AA249" s="8">
        <v>540</v>
      </c>
      <c r="AB249" s="8">
        <v>90</v>
      </c>
      <c r="AC249" s="7" t="s">
        <v>146</v>
      </c>
      <c r="AD249" s="11">
        <v>96</v>
      </c>
      <c r="AE249">
        <f t="shared" si="4"/>
        <v>372698</v>
      </c>
    </row>
    <row r="250" spans="1:31" x14ac:dyDescent="0.25">
      <c r="A250" s="7">
        <v>372699</v>
      </c>
      <c r="B250" s="7" t="s">
        <v>432</v>
      </c>
      <c r="C250" s="7" t="s">
        <v>232</v>
      </c>
      <c r="D250" s="7" t="s">
        <v>91</v>
      </c>
      <c r="E250" s="7" t="s">
        <v>32</v>
      </c>
      <c r="F250" s="7" t="s">
        <v>34</v>
      </c>
      <c r="G250" s="7" t="s">
        <v>433</v>
      </c>
      <c r="H250" s="7" t="s">
        <v>36</v>
      </c>
      <c r="I250" s="7" t="s">
        <v>145</v>
      </c>
      <c r="J250" s="8">
        <v>20</v>
      </c>
      <c r="K250" s="7" t="s">
        <v>36</v>
      </c>
      <c r="L250" s="8">
        <v>1</v>
      </c>
      <c r="M250" s="7" t="s">
        <v>37</v>
      </c>
      <c r="N250" s="8">
        <v>320</v>
      </c>
      <c r="O250" s="7" t="s">
        <v>32</v>
      </c>
      <c r="P250" s="8">
        <v>0</v>
      </c>
      <c r="Q250" s="9">
        <v>0.3</v>
      </c>
      <c r="R250" s="8">
        <v>0</v>
      </c>
      <c r="S250" s="7" t="s">
        <v>38</v>
      </c>
      <c r="T250" s="8">
        <v>9</v>
      </c>
      <c r="U250" s="9">
        <v>5.8</v>
      </c>
      <c r="V250" s="9">
        <v>0.5</v>
      </c>
      <c r="W250" s="9">
        <v>8.4000000000000005E-2</v>
      </c>
      <c r="X250" s="9">
        <v>0.122</v>
      </c>
      <c r="Y250" s="9">
        <v>0</v>
      </c>
      <c r="Z250" s="17">
        <v>8901393025798</v>
      </c>
      <c r="AA250" s="8">
        <v>540</v>
      </c>
      <c r="AB250" s="8">
        <v>90</v>
      </c>
      <c r="AC250" s="7" t="s">
        <v>146</v>
      </c>
      <c r="AD250" s="11">
        <v>320</v>
      </c>
      <c r="AE250">
        <f t="shared" si="4"/>
        <v>372699</v>
      </c>
    </row>
    <row r="251" spans="1:31" x14ac:dyDescent="0.25">
      <c r="A251" s="7">
        <v>372994</v>
      </c>
      <c r="B251" s="7" t="s">
        <v>434</v>
      </c>
      <c r="C251" s="7" t="s">
        <v>435</v>
      </c>
      <c r="D251" s="7" t="s">
        <v>32</v>
      </c>
      <c r="E251" s="7" t="s">
        <v>32</v>
      </c>
      <c r="F251" s="7" t="s">
        <v>34</v>
      </c>
      <c r="G251" s="7" t="s">
        <v>32</v>
      </c>
      <c r="H251" s="7" t="s">
        <v>36</v>
      </c>
      <c r="I251" s="7" t="s">
        <v>36</v>
      </c>
      <c r="J251" s="8">
        <v>1</v>
      </c>
      <c r="K251" s="7" t="s">
        <v>37</v>
      </c>
      <c r="L251" s="8">
        <v>24</v>
      </c>
      <c r="M251" s="7" t="s">
        <v>32</v>
      </c>
      <c r="N251" s="8">
        <v>0</v>
      </c>
      <c r="O251" s="7" t="s">
        <v>32</v>
      </c>
      <c r="P251" s="8">
        <v>0</v>
      </c>
      <c r="Q251" s="9">
        <v>4.9000000000000004</v>
      </c>
      <c r="R251" s="8">
        <v>0</v>
      </c>
      <c r="S251" s="7" t="s">
        <v>38</v>
      </c>
      <c r="T251" s="8">
        <v>9</v>
      </c>
      <c r="U251" s="8">
        <v>9</v>
      </c>
      <c r="V251" s="9">
        <v>8.5</v>
      </c>
      <c r="W251" s="9">
        <v>2.2400000000000002</v>
      </c>
      <c r="X251" s="9">
        <v>2.8</v>
      </c>
      <c r="Y251" s="9">
        <v>0</v>
      </c>
      <c r="Z251" s="17">
        <v>8906038788465</v>
      </c>
      <c r="AA251" s="8">
        <v>730</v>
      </c>
      <c r="AB251" s="8">
        <v>30</v>
      </c>
      <c r="AC251" s="7" t="s">
        <v>436</v>
      </c>
      <c r="AD251" s="11">
        <v>24</v>
      </c>
      <c r="AE251">
        <f t="shared" si="4"/>
        <v>372994</v>
      </c>
    </row>
    <row r="252" spans="1:31" x14ac:dyDescent="0.25">
      <c r="A252" s="7">
        <v>372996</v>
      </c>
      <c r="B252" s="7" t="s">
        <v>437</v>
      </c>
      <c r="C252" s="7" t="s">
        <v>435</v>
      </c>
      <c r="D252" s="7" t="s">
        <v>32</v>
      </c>
      <c r="E252" s="7" t="s">
        <v>32</v>
      </c>
      <c r="F252" s="7" t="s">
        <v>34</v>
      </c>
      <c r="G252" s="7" t="s">
        <v>32</v>
      </c>
      <c r="H252" s="7" t="s">
        <v>36</v>
      </c>
      <c r="I252" s="7" t="s">
        <v>36</v>
      </c>
      <c r="J252" s="8">
        <v>1</v>
      </c>
      <c r="K252" s="7" t="s">
        <v>37</v>
      </c>
      <c r="L252" s="8">
        <v>12</v>
      </c>
      <c r="M252" s="7" t="s">
        <v>32</v>
      </c>
      <c r="N252" s="8">
        <v>0</v>
      </c>
      <c r="O252" s="7" t="s">
        <v>32</v>
      </c>
      <c r="P252" s="8">
        <v>0</v>
      </c>
      <c r="Q252" s="9">
        <v>0.54</v>
      </c>
      <c r="R252" s="8">
        <v>0</v>
      </c>
      <c r="S252" s="7" t="s">
        <v>38</v>
      </c>
      <c r="T252" s="9">
        <v>6.5</v>
      </c>
      <c r="U252" s="9">
        <v>6.5</v>
      </c>
      <c r="V252" s="9">
        <v>12.5</v>
      </c>
      <c r="W252" s="9">
        <v>1.8879999999999999</v>
      </c>
      <c r="X252" s="9">
        <v>2.36</v>
      </c>
      <c r="Y252" s="9">
        <v>0</v>
      </c>
      <c r="Z252" s="17">
        <v>8906038783798</v>
      </c>
      <c r="AA252" s="8">
        <v>730</v>
      </c>
      <c r="AB252" s="8">
        <v>30</v>
      </c>
      <c r="AC252" s="7" t="s">
        <v>436</v>
      </c>
      <c r="AD252" s="11">
        <v>12</v>
      </c>
      <c r="AE252">
        <f t="shared" si="4"/>
        <v>372996</v>
      </c>
    </row>
    <row r="253" spans="1:31" x14ac:dyDescent="0.25">
      <c r="A253" s="7">
        <v>372997</v>
      </c>
      <c r="B253" s="7" t="s">
        <v>438</v>
      </c>
      <c r="C253" s="7" t="s">
        <v>435</v>
      </c>
      <c r="D253" s="7" t="s">
        <v>32</v>
      </c>
      <c r="E253" s="7" t="s">
        <v>32</v>
      </c>
      <c r="F253" s="7" t="s">
        <v>34</v>
      </c>
      <c r="G253" s="7" t="s">
        <v>32</v>
      </c>
      <c r="H253" s="7" t="s">
        <v>36</v>
      </c>
      <c r="I253" s="7" t="s">
        <v>36</v>
      </c>
      <c r="J253" s="8">
        <v>1</v>
      </c>
      <c r="K253" s="7" t="s">
        <v>37</v>
      </c>
      <c r="L253" s="8">
        <v>15</v>
      </c>
      <c r="M253" s="7" t="s">
        <v>32</v>
      </c>
      <c r="N253" s="8">
        <v>0</v>
      </c>
      <c r="O253" s="7" t="s">
        <v>32</v>
      </c>
      <c r="P253" s="8">
        <v>0</v>
      </c>
      <c r="Q253" s="9">
        <v>1.04</v>
      </c>
      <c r="R253" s="8">
        <v>0</v>
      </c>
      <c r="S253" s="7" t="s">
        <v>38</v>
      </c>
      <c r="T253" s="8">
        <v>11</v>
      </c>
      <c r="U253" s="8">
        <v>11</v>
      </c>
      <c r="V253" s="9">
        <v>13.5</v>
      </c>
      <c r="W253" s="9">
        <v>3.6619999999999999</v>
      </c>
      <c r="X253" s="9">
        <v>4.5780000000000003</v>
      </c>
      <c r="Y253" s="9">
        <v>0</v>
      </c>
      <c r="Z253" s="17">
        <v>8904150128961</v>
      </c>
      <c r="AA253" s="8">
        <v>365</v>
      </c>
      <c r="AB253" s="8">
        <v>30</v>
      </c>
      <c r="AC253" s="7" t="s">
        <v>436</v>
      </c>
      <c r="AD253" s="11">
        <v>15</v>
      </c>
      <c r="AE253">
        <f t="shared" si="4"/>
        <v>372997</v>
      </c>
    </row>
    <row r="254" spans="1:31" x14ac:dyDescent="0.25">
      <c r="A254" s="7">
        <v>372998</v>
      </c>
      <c r="B254" s="7" t="s">
        <v>439</v>
      </c>
      <c r="C254" s="7" t="s">
        <v>435</v>
      </c>
      <c r="D254" s="7" t="s">
        <v>32</v>
      </c>
      <c r="E254" s="7" t="s">
        <v>32</v>
      </c>
      <c r="F254" s="7" t="s">
        <v>34</v>
      </c>
      <c r="G254" s="7" t="s">
        <v>32</v>
      </c>
      <c r="H254" s="7" t="s">
        <v>36</v>
      </c>
      <c r="I254" s="7" t="s">
        <v>36</v>
      </c>
      <c r="J254" s="8">
        <v>1</v>
      </c>
      <c r="K254" s="7" t="s">
        <v>37</v>
      </c>
      <c r="L254" s="8">
        <v>24</v>
      </c>
      <c r="M254" s="7" t="s">
        <v>32</v>
      </c>
      <c r="N254" s="8">
        <v>0</v>
      </c>
      <c r="O254" s="7" t="s">
        <v>32</v>
      </c>
      <c r="P254" s="8">
        <v>0</v>
      </c>
      <c r="Q254" s="9">
        <v>0.54</v>
      </c>
      <c r="R254" s="8">
        <v>0</v>
      </c>
      <c r="S254" s="7" t="s">
        <v>38</v>
      </c>
      <c r="T254" s="8">
        <v>9</v>
      </c>
      <c r="U254" s="8">
        <v>9</v>
      </c>
      <c r="V254" s="9">
        <v>11.5</v>
      </c>
      <c r="W254" s="9">
        <v>1.8879999999999999</v>
      </c>
      <c r="X254" s="9">
        <v>2.36</v>
      </c>
      <c r="Y254" s="9">
        <v>0</v>
      </c>
      <c r="Z254" s="17">
        <v>8904150128954</v>
      </c>
      <c r="AA254" s="8">
        <v>365</v>
      </c>
      <c r="AB254" s="8">
        <v>30</v>
      </c>
      <c r="AC254" s="7" t="s">
        <v>436</v>
      </c>
      <c r="AD254" s="11">
        <v>24</v>
      </c>
      <c r="AE254">
        <f t="shared" si="4"/>
        <v>372998</v>
      </c>
    </row>
    <row r="255" spans="1:31" x14ac:dyDescent="0.25">
      <c r="A255" s="7">
        <v>374046</v>
      </c>
      <c r="B255" s="7" t="s">
        <v>440</v>
      </c>
      <c r="C255" s="7" t="s">
        <v>232</v>
      </c>
      <c r="D255" s="7" t="s">
        <v>91</v>
      </c>
      <c r="E255" s="7" t="s">
        <v>32</v>
      </c>
      <c r="F255" s="7" t="s">
        <v>34</v>
      </c>
      <c r="G255" s="7" t="s">
        <v>441</v>
      </c>
      <c r="H255" s="7" t="s">
        <v>36</v>
      </c>
      <c r="I255" s="7" t="s">
        <v>36</v>
      </c>
      <c r="J255" s="8">
        <v>1</v>
      </c>
      <c r="K255" s="7" t="s">
        <v>37</v>
      </c>
      <c r="L255" s="8">
        <v>12</v>
      </c>
      <c r="M255" s="7" t="s">
        <v>32</v>
      </c>
      <c r="N255" s="8">
        <v>0</v>
      </c>
      <c r="O255" s="7" t="s">
        <v>32</v>
      </c>
      <c r="P255" s="8">
        <v>0</v>
      </c>
      <c r="Q255" s="9">
        <v>0.13</v>
      </c>
      <c r="R255" s="8">
        <v>0</v>
      </c>
      <c r="S255" s="7" t="s">
        <v>38</v>
      </c>
      <c r="T255" s="8">
        <v>15</v>
      </c>
      <c r="U255" s="9">
        <v>2.5</v>
      </c>
      <c r="V255" s="9">
        <v>17.5</v>
      </c>
      <c r="W255" s="9">
        <v>0.46</v>
      </c>
      <c r="X255" s="9">
        <v>0.63900000000000001</v>
      </c>
      <c r="Y255" s="9">
        <v>0</v>
      </c>
      <c r="Z255" s="17">
        <v>8410031977240</v>
      </c>
      <c r="AA255" s="8">
        <v>730</v>
      </c>
      <c r="AB255" s="8">
        <v>90</v>
      </c>
      <c r="AC255" s="7" t="s">
        <v>146</v>
      </c>
      <c r="AD255" s="11">
        <v>12</v>
      </c>
      <c r="AE255">
        <f t="shared" si="4"/>
        <v>374046</v>
      </c>
    </row>
    <row r="256" spans="1:31" x14ac:dyDescent="0.25">
      <c r="A256" s="7">
        <v>375630</v>
      </c>
      <c r="B256" s="7" t="s">
        <v>442</v>
      </c>
      <c r="C256" s="7" t="s">
        <v>44</v>
      </c>
      <c r="D256" s="7" t="s">
        <v>91</v>
      </c>
      <c r="E256" s="7" t="s">
        <v>32</v>
      </c>
      <c r="F256" s="7" t="s">
        <v>86</v>
      </c>
      <c r="G256" s="7" t="s">
        <v>32</v>
      </c>
      <c r="H256" s="7" t="s">
        <v>36</v>
      </c>
      <c r="I256" s="7" t="s">
        <v>36</v>
      </c>
      <c r="J256" s="8">
        <v>1</v>
      </c>
      <c r="K256" s="7" t="s">
        <v>37</v>
      </c>
      <c r="L256" s="8">
        <v>6</v>
      </c>
      <c r="M256" s="7" t="s">
        <v>32</v>
      </c>
      <c r="N256" s="8">
        <v>0</v>
      </c>
      <c r="O256" s="7" t="s">
        <v>32</v>
      </c>
      <c r="P256" s="8">
        <v>0</v>
      </c>
      <c r="Q256" s="9">
        <v>0.54</v>
      </c>
      <c r="R256" s="8">
        <v>0</v>
      </c>
      <c r="S256" s="7" t="s">
        <v>38</v>
      </c>
      <c r="T256" s="9">
        <v>6.6</v>
      </c>
      <c r="U256" s="9">
        <v>6.6</v>
      </c>
      <c r="V256" s="8">
        <v>12</v>
      </c>
      <c r="W256" s="9">
        <v>1.028</v>
      </c>
      <c r="X256" s="9">
        <v>1.44</v>
      </c>
      <c r="Y256" s="9">
        <v>0</v>
      </c>
      <c r="Z256" s="17">
        <v>1800000020706</v>
      </c>
      <c r="AA256" s="8">
        <v>730</v>
      </c>
      <c r="AB256" s="8">
        <v>90</v>
      </c>
      <c r="AC256" s="7" t="s">
        <v>47</v>
      </c>
      <c r="AD256" s="11">
        <v>6</v>
      </c>
      <c r="AE256">
        <f t="shared" si="4"/>
        <v>375630</v>
      </c>
    </row>
    <row r="257" spans="1:31" x14ac:dyDescent="0.25">
      <c r="A257" s="7">
        <v>375631</v>
      </c>
      <c r="B257" s="7" t="s">
        <v>443</v>
      </c>
      <c r="C257" s="7" t="s">
        <v>44</v>
      </c>
      <c r="D257" s="7" t="s">
        <v>91</v>
      </c>
      <c r="E257" s="7" t="s">
        <v>32</v>
      </c>
      <c r="F257" s="7" t="s">
        <v>411</v>
      </c>
      <c r="G257" s="7" t="s">
        <v>32</v>
      </c>
      <c r="H257" s="7" t="s">
        <v>36</v>
      </c>
      <c r="I257" s="7" t="s">
        <v>36</v>
      </c>
      <c r="J257" s="8">
        <v>1</v>
      </c>
      <c r="K257" s="7" t="s">
        <v>37</v>
      </c>
      <c r="L257" s="8">
        <v>6</v>
      </c>
      <c r="M257" s="7" t="s">
        <v>32</v>
      </c>
      <c r="N257" s="8">
        <v>0</v>
      </c>
      <c r="O257" s="7" t="s">
        <v>32</v>
      </c>
      <c r="P257" s="8">
        <v>0</v>
      </c>
      <c r="Q257" s="9">
        <v>0.71</v>
      </c>
      <c r="R257" s="8">
        <v>0</v>
      </c>
      <c r="S257" s="7" t="s">
        <v>38</v>
      </c>
      <c r="T257" s="9">
        <v>6.6</v>
      </c>
      <c r="U257" s="9">
        <v>6.6</v>
      </c>
      <c r="V257" s="8">
        <v>16</v>
      </c>
      <c r="W257" s="9">
        <v>1.651</v>
      </c>
      <c r="X257" s="9">
        <v>2.3250000000000002</v>
      </c>
      <c r="Y257" s="9">
        <v>0</v>
      </c>
      <c r="Z257" s="17">
        <v>1800000020805</v>
      </c>
      <c r="AA257" s="8">
        <v>730</v>
      </c>
      <c r="AB257" s="8">
        <v>90</v>
      </c>
      <c r="AC257" s="7" t="s">
        <v>47</v>
      </c>
      <c r="AD257" s="11">
        <v>6</v>
      </c>
      <c r="AE257">
        <f t="shared" si="4"/>
        <v>375631</v>
      </c>
    </row>
    <row r="258" spans="1:31" x14ac:dyDescent="0.25">
      <c r="A258" s="7">
        <v>376613</v>
      </c>
      <c r="B258" s="7" t="s">
        <v>444</v>
      </c>
      <c r="C258" s="7" t="s">
        <v>232</v>
      </c>
      <c r="D258" s="7" t="s">
        <v>91</v>
      </c>
      <c r="E258" s="7" t="s">
        <v>32</v>
      </c>
      <c r="F258" s="7" t="s">
        <v>34</v>
      </c>
      <c r="G258" s="7" t="s">
        <v>445</v>
      </c>
      <c r="H258" s="7" t="s">
        <v>36</v>
      </c>
      <c r="I258" s="7" t="s">
        <v>36</v>
      </c>
      <c r="J258" s="8">
        <v>1</v>
      </c>
      <c r="K258" s="7" t="s">
        <v>37</v>
      </c>
      <c r="L258" s="8">
        <v>24</v>
      </c>
      <c r="M258" s="7" t="s">
        <v>32</v>
      </c>
      <c r="N258" s="8">
        <v>0</v>
      </c>
      <c r="O258" s="7" t="s">
        <v>32</v>
      </c>
      <c r="P258" s="8">
        <v>0</v>
      </c>
      <c r="Q258" s="9">
        <v>0.25</v>
      </c>
      <c r="R258" s="8">
        <v>0</v>
      </c>
      <c r="S258" s="7" t="s">
        <v>38</v>
      </c>
      <c r="T258" s="8">
        <v>16</v>
      </c>
      <c r="U258" s="8">
        <v>3</v>
      </c>
      <c r="V258" s="8">
        <v>20</v>
      </c>
      <c r="W258" s="9">
        <v>0.81699999999999995</v>
      </c>
      <c r="X258" s="9">
        <v>1.159</v>
      </c>
      <c r="Y258" s="9">
        <v>0</v>
      </c>
      <c r="Z258" s="17">
        <v>8410031936988</v>
      </c>
      <c r="AA258" s="8">
        <v>558</v>
      </c>
      <c r="AB258" s="8">
        <v>90</v>
      </c>
      <c r="AC258" s="7" t="s">
        <v>146</v>
      </c>
      <c r="AD258" s="11">
        <v>24</v>
      </c>
      <c r="AE258">
        <f t="shared" si="4"/>
        <v>376613</v>
      </c>
    </row>
    <row r="259" spans="1:31" x14ac:dyDescent="0.25">
      <c r="A259" s="7">
        <v>377203</v>
      </c>
      <c r="B259" s="7" t="s">
        <v>446</v>
      </c>
      <c r="C259" s="7" t="s">
        <v>44</v>
      </c>
      <c r="D259" s="7" t="s">
        <v>91</v>
      </c>
      <c r="E259" s="7" t="s">
        <v>32</v>
      </c>
      <c r="F259" s="7" t="s">
        <v>34</v>
      </c>
      <c r="G259" s="7" t="s">
        <v>447</v>
      </c>
      <c r="H259" s="7" t="s">
        <v>36</v>
      </c>
      <c r="I259" s="7" t="s">
        <v>36</v>
      </c>
      <c r="J259" s="8">
        <v>1</v>
      </c>
      <c r="K259" s="7" t="s">
        <v>37</v>
      </c>
      <c r="L259" s="8">
        <v>12</v>
      </c>
      <c r="M259" s="7" t="s">
        <v>32</v>
      </c>
      <c r="N259" s="8">
        <v>0</v>
      </c>
      <c r="O259" s="7" t="s">
        <v>32</v>
      </c>
      <c r="P259" s="8">
        <v>0</v>
      </c>
      <c r="Q259" s="9">
        <v>0.54</v>
      </c>
      <c r="R259" s="8">
        <v>0</v>
      </c>
      <c r="S259" s="7" t="s">
        <v>38</v>
      </c>
      <c r="T259" s="9">
        <v>6.6</v>
      </c>
      <c r="U259" s="9">
        <v>6.6</v>
      </c>
      <c r="V259" s="8">
        <v>12</v>
      </c>
      <c r="W259" s="9">
        <v>0.77900000000000003</v>
      </c>
      <c r="X259" s="9">
        <v>1.1000000000000001</v>
      </c>
      <c r="Y259" s="9">
        <v>0</v>
      </c>
      <c r="Z259" s="17">
        <v>8720865190563</v>
      </c>
      <c r="AA259" s="8">
        <v>730</v>
      </c>
      <c r="AB259" s="8">
        <v>90</v>
      </c>
      <c r="AC259" s="7" t="s">
        <v>47</v>
      </c>
      <c r="AD259" s="11">
        <v>12</v>
      </c>
      <c r="AE259">
        <f t="shared" ref="AE259:AE322" si="5">A259</f>
        <v>377203</v>
      </c>
    </row>
    <row r="260" spans="1:31" x14ac:dyDescent="0.25">
      <c r="A260" s="7">
        <v>377204</v>
      </c>
      <c r="B260" s="7" t="s">
        <v>448</v>
      </c>
      <c r="C260" s="7" t="s">
        <v>44</v>
      </c>
      <c r="D260" s="7" t="s">
        <v>91</v>
      </c>
      <c r="E260" s="7" t="s">
        <v>32</v>
      </c>
      <c r="F260" s="7" t="s">
        <v>34</v>
      </c>
      <c r="G260" s="7" t="s">
        <v>449</v>
      </c>
      <c r="H260" s="7" t="s">
        <v>36</v>
      </c>
      <c r="I260" s="7" t="s">
        <v>36</v>
      </c>
      <c r="J260" s="8">
        <v>1</v>
      </c>
      <c r="K260" s="7" t="s">
        <v>37</v>
      </c>
      <c r="L260" s="8">
        <v>12</v>
      </c>
      <c r="M260" s="7" t="s">
        <v>32</v>
      </c>
      <c r="N260" s="8">
        <v>0</v>
      </c>
      <c r="O260" s="7" t="s">
        <v>32</v>
      </c>
      <c r="P260" s="8">
        <v>0</v>
      </c>
      <c r="Q260" s="9">
        <v>0.71</v>
      </c>
      <c r="R260" s="8">
        <v>0</v>
      </c>
      <c r="S260" s="7" t="s">
        <v>38</v>
      </c>
      <c r="T260" s="9">
        <v>6.6</v>
      </c>
      <c r="U260" s="9">
        <v>6.6</v>
      </c>
      <c r="V260" s="8">
        <v>16</v>
      </c>
      <c r="W260" s="9">
        <v>1.0309999999999999</v>
      </c>
      <c r="X260" s="9">
        <v>1.4530000000000001</v>
      </c>
      <c r="Y260" s="9">
        <v>0</v>
      </c>
      <c r="Z260" s="17">
        <v>8720865190662</v>
      </c>
      <c r="AA260" s="8">
        <v>730</v>
      </c>
      <c r="AB260" s="8">
        <v>90</v>
      </c>
      <c r="AC260" s="7" t="s">
        <v>47</v>
      </c>
      <c r="AD260" s="11">
        <v>12</v>
      </c>
      <c r="AE260">
        <f t="shared" si="5"/>
        <v>377204</v>
      </c>
    </row>
    <row r="261" spans="1:31" x14ac:dyDescent="0.25">
      <c r="A261" s="7">
        <v>377696</v>
      </c>
      <c r="B261" s="7" t="s">
        <v>450</v>
      </c>
      <c r="C261" s="7" t="s">
        <v>398</v>
      </c>
      <c r="D261" s="7" t="s">
        <v>32</v>
      </c>
      <c r="E261" s="7" t="s">
        <v>32</v>
      </c>
      <c r="F261" s="7" t="s">
        <v>86</v>
      </c>
      <c r="G261" s="7" t="s">
        <v>32</v>
      </c>
      <c r="H261" s="7" t="s">
        <v>36</v>
      </c>
      <c r="I261" s="7" t="s">
        <v>36</v>
      </c>
      <c r="J261" s="8">
        <v>1</v>
      </c>
      <c r="K261" s="7" t="s">
        <v>37</v>
      </c>
      <c r="L261" s="8">
        <v>32</v>
      </c>
      <c r="M261" s="7" t="s">
        <v>32</v>
      </c>
      <c r="N261" s="8">
        <v>0</v>
      </c>
      <c r="O261" s="7" t="s">
        <v>32</v>
      </c>
      <c r="P261" s="8">
        <v>0</v>
      </c>
      <c r="Q261" s="9">
        <v>0.2</v>
      </c>
      <c r="R261" s="8">
        <v>0</v>
      </c>
      <c r="S261" s="7" t="s">
        <v>38</v>
      </c>
      <c r="T261" s="8">
        <v>38</v>
      </c>
      <c r="U261" s="8">
        <v>38</v>
      </c>
      <c r="V261" s="9">
        <v>18.5</v>
      </c>
      <c r="W261" s="9">
        <v>1.1879999999999999</v>
      </c>
      <c r="X261" s="9">
        <v>1.5840000000000001</v>
      </c>
      <c r="Y261" s="9">
        <v>0</v>
      </c>
      <c r="Z261" s="17">
        <v>1800000018109</v>
      </c>
      <c r="AA261" s="8">
        <v>730</v>
      </c>
      <c r="AB261" s="8">
        <v>60</v>
      </c>
      <c r="AC261" s="7" t="s">
        <v>399</v>
      </c>
      <c r="AD261" s="11">
        <v>32</v>
      </c>
      <c r="AE261">
        <f t="shared" si="5"/>
        <v>377696</v>
      </c>
    </row>
    <row r="262" spans="1:31" x14ac:dyDescent="0.25">
      <c r="A262" s="7">
        <v>377892</v>
      </c>
      <c r="B262" s="7" t="s">
        <v>451</v>
      </c>
      <c r="C262" s="7" t="s">
        <v>143</v>
      </c>
      <c r="D262" s="7" t="s">
        <v>91</v>
      </c>
      <c r="E262" s="7" t="s">
        <v>32</v>
      </c>
      <c r="F262" s="7" t="s">
        <v>34</v>
      </c>
      <c r="G262" s="7" t="s">
        <v>452</v>
      </c>
      <c r="H262" s="7" t="s">
        <v>36</v>
      </c>
      <c r="I262" s="7" t="s">
        <v>145</v>
      </c>
      <c r="J262" s="8">
        <v>15</v>
      </c>
      <c r="K262" s="7" t="s">
        <v>36</v>
      </c>
      <c r="L262" s="8">
        <v>1</v>
      </c>
      <c r="M262" s="7" t="s">
        <v>37</v>
      </c>
      <c r="N262" s="8">
        <v>90</v>
      </c>
      <c r="O262" s="7" t="s">
        <v>32</v>
      </c>
      <c r="P262" s="8">
        <v>0</v>
      </c>
      <c r="Q262" s="9">
        <v>0.42</v>
      </c>
      <c r="R262" s="8">
        <v>0</v>
      </c>
      <c r="S262" s="7" t="s">
        <v>38</v>
      </c>
      <c r="T262" s="9">
        <v>10.09</v>
      </c>
      <c r="U262" s="9">
        <v>10.1</v>
      </c>
      <c r="V262" s="8">
        <v>6</v>
      </c>
      <c r="W262" s="9">
        <v>0.19400000000000001</v>
      </c>
      <c r="X262" s="9">
        <v>0.27</v>
      </c>
      <c r="Y262" s="9">
        <v>0</v>
      </c>
      <c r="Z262" s="17">
        <v>8935001726265</v>
      </c>
      <c r="AA262" s="8">
        <v>558</v>
      </c>
      <c r="AB262" s="8">
        <v>90</v>
      </c>
      <c r="AC262" s="7" t="s">
        <v>146</v>
      </c>
      <c r="AD262" s="11">
        <v>90</v>
      </c>
      <c r="AE262">
        <f t="shared" si="5"/>
        <v>377892</v>
      </c>
    </row>
    <row r="263" spans="1:31" x14ac:dyDescent="0.25">
      <c r="A263" s="7">
        <v>378137</v>
      </c>
      <c r="B263" s="7" t="s">
        <v>453</v>
      </c>
      <c r="C263" s="7" t="s">
        <v>180</v>
      </c>
      <c r="D263" s="7" t="s">
        <v>32</v>
      </c>
      <c r="E263" s="7" t="s">
        <v>32</v>
      </c>
      <c r="F263" s="7" t="s">
        <v>86</v>
      </c>
      <c r="G263" s="7" t="s">
        <v>32</v>
      </c>
      <c r="H263" s="7" t="s">
        <v>36</v>
      </c>
      <c r="I263" s="7" t="s">
        <v>36</v>
      </c>
      <c r="J263" s="8">
        <v>1</v>
      </c>
      <c r="K263" s="7" t="s">
        <v>37</v>
      </c>
      <c r="L263" s="8">
        <v>6</v>
      </c>
      <c r="M263" s="7" t="s">
        <v>32</v>
      </c>
      <c r="N263" s="8">
        <v>0</v>
      </c>
      <c r="O263" s="7" t="s">
        <v>32</v>
      </c>
      <c r="P263" s="8">
        <v>0</v>
      </c>
      <c r="Q263" s="9">
        <v>0.9</v>
      </c>
      <c r="R263" s="8">
        <v>0</v>
      </c>
      <c r="S263" s="7" t="s">
        <v>38</v>
      </c>
      <c r="T263" s="8">
        <v>13</v>
      </c>
      <c r="U263" s="8">
        <v>6</v>
      </c>
      <c r="V263" s="8">
        <v>14</v>
      </c>
      <c r="W263" s="9">
        <v>0.94399999999999995</v>
      </c>
      <c r="X263" s="9">
        <v>1.2769999999999999</v>
      </c>
      <c r="Y263" s="9">
        <v>0</v>
      </c>
      <c r="Z263" s="17">
        <v>6221024199547</v>
      </c>
      <c r="AA263" s="8">
        <v>730</v>
      </c>
      <c r="AB263" s="8">
        <v>90</v>
      </c>
      <c r="AC263" s="7" t="s">
        <v>182</v>
      </c>
      <c r="AD263" s="11">
        <v>6</v>
      </c>
      <c r="AE263">
        <f t="shared" si="5"/>
        <v>378137</v>
      </c>
    </row>
    <row r="264" spans="1:31" x14ac:dyDescent="0.25">
      <c r="A264" s="7">
        <v>378138</v>
      </c>
      <c r="B264" s="7" t="s">
        <v>454</v>
      </c>
      <c r="C264" s="7" t="s">
        <v>180</v>
      </c>
      <c r="D264" s="7" t="s">
        <v>32</v>
      </c>
      <c r="E264" s="7" t="s">
        <v>32</v>
      </c>
      <c r="F264" s="7" t="s">
        <v>86</v>
      </c>
      <c r="G264" s="7" t="s">
        <v>32</v>
      </c>
      <c r="H264" s="7" t="s">
        <v>36</v>
      </c>
      <c r="I264" s="7" t="s">
        <v>36</v>
      </c>
      <c r="J264" s="8">
        <v>1</v>
      </c>
      <c r="K264" s="7" t="s">
        <v>37</v>
      </c>
      <c r="L264" s="8">
        <v>4</v>
      </c>
      <c r="M264" s="7" t="s">
        <v>32</v>
      </c>
      <c r="N264" s="8">
        <v>0</v>
      </c>
      <c r="O264" s="7" t="s">
        <v>32</v>
      </c>
      <c r="P264" s="8">
        <v>0</v>
      </c>
      <c r="Q264" s="9">
        <v>0.45</v>
      </c>
      <c r="R264" s="8">
        <v>0</v>
      </c>
      <c r="S264" s="7" t="s">
        <v>38</v>
      </c>
      <c r="T264" s="8">
        <v>7</v>
      </c>
      <c r="U264" s="8">
        <v>7</v>
      </c>
      <c r="V264" s="9">
        <v>13.5</v>
      </c>
      <c r="W264" s="9">
        <v>1.262</v>
      </c>
      <c r="X264" s="9">
        <v>1.708</v>
      </c>
      <c r="Y264" s="9">
        <v>0</v>
      </c>
      <c r="Z264" s="17">
        <v>6221024990915</v>
      </c>
      <c r="AA264" s="8">
        <v>730</v>
      </c>
      <c r="AB264" s="8">
        <v>90</v>
      </c>
      <c r="AC264" s="7" t="s">
        <v>182</v>
      </c>
      <c r="AD264" s="11">
        <v>4</v>
      </c>
      <c r="AE264">
        <f t="shared" si="5"/>
        <v>378138</v>
      </c>
    </row>
    <row r="265" spans="1:31" x14ac:dyDescent="0.25">
      <c r="A265" s="7">
        <v>378596</v>
      </c>
      <c r="B265" s="7" t="s">
        <v>455</v>
      </c>
      <c r="C265" s="7" t="s">
        <v>143</v>
      </c>
      <c r="D265" s="7" t="s">
        <v>91</v>
      </c>
      <c r="E265" s="7" t="s">
        <v>32</v>
      </c>
      <c r="F265" s="7" t="s">
        <v>34</v>
      </c>
      <c r="G265" s="7" t="s">
        <v>456</v>
      </c>
      <c r="H265" s="7" t="s">
        <v>36</v>
      </c>
      <c r="I265" s="7" t="s">
        <v>145</v>
      </c>
      <c r="J265" s="8">
        <v>15</v>
      </c>
      <c r="K265" s="7" t="s">
        <v>36</v>
      </c>
      <c r="L265" s="8">
        <v>1</v>
      </c>
      <c r="M265" s="7" t="s">
        <v>37</v>
      </c>
      <c r="N265" s="8">
        <v>90</v>
      </c>
      <c r="O265" s="7" t="s">
        <v>32</v>
      </c>
      <c r="P265" s="8">
        <v>0</v>
      </c>
      <c r="Q265" s="9">
        <v>0.42</v>
      </c>
      <c r="R265" s="8">
        <v>0</v>
      </c>
      <c r="S265" s="7" t="s">
        <v>38</v>
      </c>
      <c r="T265" s="9">
        <v>10.09</v>
      </c>
      <c r="U265" s="9">
        <v>10.1</v>
      </c>
      <c r="V265" s="8">
        <v>6</v>
      </c>
      <c r="W265" s="9">
        <v>0.19400000000000001</v>
      </c>
      <c r="X265" s="9">
        <v>0.27</v>
      </c>
      <c r="Y265" s="9">
        <v>0</v>
      </c>
      <c r="Z265" s="17">
        <v>8935001726289</v>
      </c>
      <c r="AA265" s="8">
        <v>558</v>
      </c>
      <c r="AB265" s="8">
        <v>90</v>
      </c>
      <c r="AC265" s="7" t="s">
        <v>146</v>
      </c>
      <c r="AD265" s="11">
        <v>90</v>
      </c>
      <c r="AE265">
        <f t="shared" si="5"/>
        <v>378596</v>
      </c>
    </row>
    <row r="266" spans="1:31" x14ac:dyDescent="0.25">
      <c r="A266" s="7">
        <v>378597</v>
      </c>
      <c r="B266" s="7" t="s">
        <v>457</v>
      </c>
      <c r="C266" s="7" t="s">
        <v>143</v>
      </c>
      <c r="D266" s="7" t="s">
        <v>91</v>
      </c>
      <c r="E266" s="7" t="s">
        <v>32</v>
      </c>
      <c r="F266" s="7" t="s">
        <v>34</v>
      </c>
      <c r="G266" s="7" t="s">
        <v>458</v>
      </c>
      <c r="H266" s="7" t="s">
        <v>36</v>
      </c>
      <c r="I266" s="7" t="s">
        <v>145</v>
      </c>
      <c r="J266" s="8">
        <v>15</v>
      </c>
      <c r="K266" s="7" t="s">
        <v>36</v>
      </c>
      <c r="L266" s="8">
        <v>1</v>
      </c>
      <c r="M266" s="7" t="s">
        <v>37</v>
      </c>
      <c r="N266" s="8">
        <v>90</v>
      </c>
      <c r="O266" s="7" t="s">
        <v>32</v>
      </c>
      <c r="P266" s="8">
        <v>0</v>
      </c>
      <c r="Q266" s="9">
        <v>0.42</v>
      </c>
      <c r="R266" s="8">
        <v>0</v>
      </c>
      <c r="S266" s="7" t="s">
        <v>38</v>
      </c>
      <c r="T266" s="9">
        <v>10.09</v>
      </c>
      <c r="U266" s="9">
        <v>10.1</v>
      </c>
      <c r="V266" s="8">
        <v>6</v>
      </c>
      <c r="W266" s="9">
        <v>0.19400000000000001</v>
      </c>
      <c r="X266" s="9">
        <v>0.27</v>
      </c>
      <c r="Y266" s="9">
        <v>0</v>
      </c>
      <c r="Z266" s="17">
        <v>8935001726326</v>
      </c>
      <c r="AA266" s="8">
        <v>558</v>
      </c>
      <c r="AB266" s="8">
        <v>90</v>
      </c>
      <c r="AC266" s="7" t="s">
        <v>146</v>
      </c>
      <c r="AD266" s="11">
        <v>90</v>
      </c>
      <c r="AE266">
        <f t="shared" si="5"/>
        <v>378597</v>
      </c>
    </row>
    <row r="267" spans="1:31" x14ac:dyDescent="0.25">
      <c r="A267" s="7">
        <v>379780</v>
      </c>
      <c r="B267" s="7" t="s">
        <v>459</v>
      </c>
      <c r="C267" s="7" t="s">
        <v>196</v>
      </c>
      <c r="D267" s="7" t="s">
        <v>32</v>
      </c>
      <c r="E267" s="7" t="s">
        <v>32</v>
      </c>
      <c r="F267" s="7" t="s">
        <v>86</v>
      </c>
      <c r="G267" s="7" t="s">
        <v>32</v>
      </c>
      <c r="H267" s="7" t="s">
        <v>36</v>
      </c>
      <c r="I267" s="7" t="s">
        <v>36</v>
      </c>
      <c r="J267" s="8">
        <v>1</v>
      </c>
      <c r="K267" s="7" t="s">
        <v>37</v>
      </c>
      <c r="L267" s="8">
        <v>3</v>
      </c>
      <c r="M267" s="7" t="s">
        <v>32</v>
      </c>
      <c r="N267" s="8">
        <v>0</v>
      </c>
      <c r="O267" s="7" t="s">
        <v>32</v>
      </c>
      <c r="P267" s="8">
        <v>0</v>
      </c>
      <c r="Q267" s="8">
        <v>0</v>
      </c>
      <c r="R267" s="8">
        <v>0</v>
      </c>
      <c r="S267" s="7" t="s">
        <v>38</v>
      </c>
      <c r="T267" s="8">
        <v>0</v>
      </c>
      <c r="U267" s="8">
        <v>0</v>
      </c>
      <c r="V267" s="8">
        <v>0</v>
      </c>
      <c r="W267" s="9">
        <v>1.026</v>
      </c>
      <c r="X267" s="9">
        <v>1.3680000000000001</v>
      </c>
      <c r="Y267" s="9">
        <v>0</v>
      </c>
      <c r="Z267" s="17">
        <v>1800000021314</v>
      </c>
      <c r="AA267" s="8">
        <v>540</v>
      </c>
      <c r="AB267" s="8">
        <v>60</v>
      </c>
      <c r="AC267" s="7" t="s">
        <v>182</v>
      </c>
      <c r="AD267" s="11">
        <v>3</v>
      </c>
      <c r="AE267">
        <f t="shared" si="5"/>
        <v>379780</v>
      </c>
    </row>
    <row r="268" spans="1:31" x14ac:dyDescent="0.25">
      <c r="A268" s="7">
        <v>384689</v>
      </c>
      <c r="B268" s="7" t="s">
        <v>460</v>
      </c>
      <c r="C268" s="7" t="s">
        <v>228</v>
      </c>
      <c r="D268" s="7" t="s">
        <v>91</v>
      </c>
      <c r="E268" s="7" t="s">
        <v>32</v>
      </c>
      <c r="F268" s="7" t="s">
        <v>34</v>
      </c>
      <c r="G268" s="7" t="s">
        <v>32</v>
      </c>
      <c r="H268" s="7" t="s">
        <v>36</v>
      </c>
      <c r="I268" s="7" t="s">
        <v>145</v>
      </c>
      <c r="J268" s="8">
        <v>12</v>
      </c>
      <c r="K268" s="7" t="s">
        <v>36</v>
      </c>
      <c r="L268" s="8">
        <v>1</v>
      </c>
      <c r="M268" s="7" t="s">
        <v>37</v>
      </c>
      <c r="N268" s="8">
        <v>144</v>
      </c>
      <c r="O268" s="7" t="s">
        <v>32</v>
      </c>
      <c r="P268" s="8">
        <v>0</v>
      </c>
      <c r="Q268" s="9">
        <v>0.06</v>
      </c>
      <c r="R268" s="8">
        <v>0</v>
      </c>
      <c r="S268" s="7" t="s">
        <v>38</v>
      </c>
      <c r="T268" s="8">
        <v>9</v>
      </c>
      <c r="U268" s="9">
        <v>4.5</v>
      </c>
      <c r="V268" s="8">
        <v>2</v>
      </c>
      <c r="W268" s="9">
        <v>0.49399999999999999</v>
      </c>
      <c r="X268" s="9">
        <v>0.70599999999999996</v>
      </c>
      <c r="Y268" s="9">
        <v>0</v>
      </c>
      <c r="Z268" s="17">
        <v>8410031945744</v>
      </c>
      <c r="AA268" s="8">
        <v>540</v>
      </c>
      <c r="AB268" s="8">
        <v>60</v>
      </c>
      <c r="AC268" s="7" t="s">
        <v>146</v>
      </c>
      <c r="AD268" s="11">
        <v>144</v>
      </c>
      <c r="AE268">
        <f t="shared" si="5"/>
        <v>384689</v>
      </c>
    </row>
    <row r="269" spans="1:31" x14ac:dyDescent="0.25">
      <c r="A269" s="7">
        <v>384690</v>
      </c>
      <c r="B269" s="7" t="s">
        <v>461</v>
      </c>
      <c r="C269" s="7" t="s">
        <v>232</v>
      </c>
      <c r="D269" s="7" t="s">
        <v>91</v>
      </c>
      <c r="E269" s="7" t="s">
        <v>32</v>
      </c>
      <c r="F269" s="7" t="s">
        <v>34</v>
      </c>
      <c r="G269" s="7" t="s">
        <v>32</v>
      </c>
      <c r="H269" s="7" t="s">
        <v>36</v>
      </c>
      <c r="I269" s="7" t="s">
        <v>145</v>
      </c>
      <c r="J269" s="8">
        <v>48</v>
      </c>
      <c r="K269" s="7" t="s">
        <v>36</v>
      </c>
      <c r="L269" s="8">
        <v>1</v>
      </c>
      <c r="M269" s="7" t="s">
        <v>37</v>
      </c>
      <c r="N269" s="8">
        <v>288</v>
      </c>
      <c r="O269" s="7" t="s">
        <v>32</v>
      </c>
      <c r="P269" s="8">
        <v>0</v>
      </c>
      <c r="Q269" s="9">
        <v>0.01</v>
      </c>
      <c r="R269" s="8">
        <v>0</v>
      </c>
      <c r="S269" s="7" t="s">
        <v>38</v>
      </c>
      <c r="T269" s="8">
        <v>11</v>
      </c>
      <c r="U269" s="9">
        <v>2.5</v>
      </c>
      <c r="V269" s="9">
        <v>2.5</v>
      </c>
      <c r="W269" s="9">
        <v>6.9000000000000006E-2</v>
      </c>
      <c r="X269" s="9">
        <v>9.5000000000000001E-2</v>
      </c>
      <c r="Y269" s="9">
        <v>0</v>
      </c>
      <c r="Z269" s="17">
        <v>8935001727392</v>
      </c>
      <c r="AA269" s="8">
        <v>720</v>
      </c>
      <c r="AB269" s="8">
        <v>60</v>
      </c>
      <c r="AC269" s="7" t="s">
        <v>146</v>
      </c>
      <c r="AD269" s="11">
        <v>288</v>
      </c>
      <c r="AE269">
        <f t="shared" si="5"/>
        <v>384690</v>
      </c>
    </row>
    <row r="270" spans="1:31" x14ac:dyDescent="0.25">
      <c r="A270" s="7">
        <v>384691</v>
      </c>
      <c r="B270" s="7" t="s">
        <v>462</v>
      </c>
      <c r="C270" s="7" t="s">
        <v>143</v>
      </c>
      <c r="D270" s="7" t="s">
        <v>91</v>
      </c>
      <c r="E270" s="7" t="s">
        <v>32</v>
      </c>
      <c r="F270" s="7" t="s">
        <v>34</v>
      </c>
      <c r="G270" s="7" t="s">
        <v>32</v>
      </c>
      <c r="H270" s="7" t="s">
        <v>36</v>
      </c>
      <c r="I270" s="7" t="s">
        <v>36</v>
      </c>
      <c r="J270" s="8">
        <v>1</v>
      </c>
      <c r="K270" s="7" t="s">
        <v>37</v>
      </c>
      <c r="L270" s="8">
        <v>12</v>
      </c>
      <c r="M270" s="7" t="s">
        <v>32</v>
      </c>
      <c r="N270" s="8">
        <v>0</v>
      </c>
      <c r="O270" s="7" t="s">
        <v>32</v>
      </c>
      <c r="P270" s="8">
        <v>0</v>
      </c>
      <c r="Q270" s="9">
        <v>0.17</v>
      </c>
      <c r="R270" s="8">
        <v>0</v>
      </c>
      <c r="S270" s="7" t="s">
        <v>38</v>
      </c>
      <c r="T270" s="9">
        <v>10.5</v>
      </c>
      <c r="U270" s="8">
        <v>2</v>
      </c>
      <c r="V270" s="9">
        <v>20.100000000000001</v>
      </c>
      <c r="W270" s="9">
        <v>0.55600000000000005</v>
      </c>
      <c r="X270" s="9">
        <v>0.79400000000000004</v>
      </c>
      <c r="Y270" s="9">
        <v>0</v>
      </c>
      <c r="Z270" s="17">
        <v>8935001727309</v>
      </c>
      <c r="AA270" s="8">
        <v>450</v>
      </c>
      <c r="AB270" s="8">
        <v>60</v>
      </c>
      <c r="AC270" s="7" t="s">
        <v>146</v>
      </c>
      <c r="AD270" s="11">
        <v>12</v>
      </c>
      <c r="AE270">
        <f t="shared" si="5"/>
        <v>384691</v>
      </c>
    </row>
    <row r="271" spans="1:31" x14ac:dyDescent="0.25">
      <c r="A271" s="7">
        <v>384692</v>
      </c>
      <c r="B271" s="7" t="s">
        <v>463</v>
      </c>
      <c r="C271" s="7" t="s">
        <v>143</v>
      </c>
      <c r="D271" s="7" t="s">
        <v>91</v>
      </c>
      <c r="E271" s="7" t="s">
        <v>32</v>
      </c>
      <c r="F271" s="7" t="s">
        <v>34</v>
      </c>
      <c r="G271" s="7" t="s">
        <v>32</v>
      </c>
      <c r="H271" s="7" t="s">
        <v>36</v>
      </c>
      <c r="I271" s="7" t="s">
        <v>36</v>
      </c>
      <c r="J271" s="8">
        <v>1</v>
      </c>
      <c r="K271" s="7" t="s">
        <v>37</v>
      </c>
      <c r="L271" s="8">
        <v>12</v>
      </c>
      <c r="M271" s="7" t="s">
        <v>32</v>
      </c>
      <c r="N271" s="8">
        <v>0</v>
      </c>
      <c r="O271" s="7" t="s">
        <v>32</v>
      </c>
      <c r="P271" s="8">
        <v>0</v>
      </c>
      <c r="Q271" s="9">
        <v>0.17</v>
      </c>
      <c r="R271" s="8">
        <v>0</v>
      </c>
      <c r="S271" s="7" t="s">
        <v>38</v>
      </c>
      <c r="T271" s="9">
        <v>10.5</v>
      </c>
      <c r="U271" s="8">
        <v>2</v>
      </c>
      <c r="V271" s="9">
        <v>20.100000000000001</v>
      </c>
      <c r="W271" s="9">
        <v>0.55600000000000005</v>
      </c>
      <c r="X271" s="9">
        <v>0.79400000000000004</v>
      </c>
      <c r="Y271" s="9">
        <v>0</v>
      </c>
      <c r="Z271" s="17">
        <v>8935001727293</v>
      </c>
      <c r="AA271" s="8">
        <v>450</v>
      </c>
      <c r="AB271" s="8">
        <v>60</v>
      </c>
      <c r="AC271" s="7" t="s">
        <v>146</v>
      </c>
      <c r="AD271" s="11">
        <v>12</v>
      </c>
      <c r="AE271">
        <f t="shared" si="5"/>
        <v>384692</v>
      </c>
    </row>
    <row r="272" spans="1:31" x14ac:dyDescent="0.25">
      <c r="A272" s="7">
        <v>386802</v>
      </c>
      <c r="B272" s="7" t="s">
        <v>464</v>
      </c>
      <c r="C272" s="7" t="s">
        <v>232</v>
      </c>
      <c r="D272" s="7" t="s">
        <v>91</v>
      </c>
      <c r="E272" s="7" t="s">
        <v>32</v>
      </c>
      <c r="F272" s="7" t="s">
        <v>34</v>
      </c>
      <c r="G272" s="7" t="s">
        <v>32</v>
      </c>
      <c r="H272" s="7" t="s">
        <v>36</v>
      </c>
      <c r="I272" s="7" t="s">
        <v>36</v>
      </c>
      <c r="J272" s="8">
        <v>1</v>
      </c>
      <c r="K272" s="7" t="s">
        <v>37</v>
      </c>
      <c r="L272" s="8">
        <v>12</v>
      </c>
      <c r="M272" s="7" t="s">
        <v>32</v>
      </c>
      <c r="N272" s="8">
        <v>0</v>
      </c>
      <c r="O272" s="7" t="s">
        <v>32</v>
      </c>
      <c r="P272" s="8">
        <v>0</v>
      </c>
      <c r="Q272" s="9">
        <v>0.28999999999999998</v>
      </c>
      <c r="R272" s="8">
        <v>0</v>
      </c>
      <c r="S272" s="7" t="s">
        <v>38</v>
      </c>
      <c r="T272" s="9">
        <v>20.100000000000001</v>
      </c>
      <c r="U272" s="8">
        <v>7</v>
      </c>
      <c r="V272" s="9">
        <v>20.7</v>
      </c>
      <c r="W272" s="9">
        <v>0.79900000000000004</v>
      </c>
      <c r="X272" s="9">
        <v>1.0860000000000001</v>
      </c>
      <c r="Y272" s="9">
        <v>0</v>
      </c>
      <c r="Z272" s="17">
        <v>6291109790280</v>
      </c>
      <c r="AA272" s="8">
        <v>365</v>
      </c>
      <c r="AB272" s="8">
        <v>25</v>
      </c>
      <c r="AC272" s="7" t="s">
        <v>146</v>
      </c>
      <c r="AD272" s="11">
        <v>12</v>
      </c>
      <c r="AE272">
        <f t="shared" si="5"/>
        <v>386802</v>
      </c>
    </row>
    <row r="273" spans="1:31" x14ac:dyDescent="0.25">
      <c r="A273" s="7">
        <v>386803</v>
      </c>
      <c r="B273" s="7" t="s">
        <v>465</v>
      </c>
      <c r="C273" s="7" t="s">
        <v>232</v>
      </c>
      <c r="D273" s="7" t="s">
        <v>91</v>
      </c>
      <c r="E273" s="7" t="s">
        <v>32</v>
      </c>
      <c r="F273" s="7" t="s">
        <v>34</v>
      </c>
      <c r="G273" s="7" t="s">
        <v>32</v>
      </c>
      <c r="H273" s="7" t="s">
        <v>36</v>
      </c>
      <c r="I273" s="7" t="s">
        <v>36</v>
      </c>
      <c r="J273" s="8">
        <v>1</v>
      </c>
      <c r="K273" s="7" t="s">
        <v>37</v>
      </c>
      <c r="L273" s="8">
        <v>24</v>
      </c>
      <c r="M273" s="7" t="s">
        <v>32</v>
      </c>
      <c r="N273" s="8">
        <v>0</v>
      </c>
      <c r="O273" s="7" t="s">
        <v>32</v>
      </c>
      <c r="P273" s="8">
        <v>0</v>
      </c>
      <c r="Q273" s="9">
        <v>0.15</v>
      </c>
      <c r="R273" s="8">
        <v>0</v>
      </c>
      <c r="S273" s="7" t="s">
        <v>38</v>
      </c>
      <c r="T273" s="9">
        <v>10.9</v>
      </c>
      <c r="U273" s="8">
        <v>5</v>
      </c>
      <c r="V273" s="9">
        <v>20.3</v>
      </c>
      <c r="W273" s="9">
        <v>0.434</v>
      </c>
      <c r="X273" s="9">
        <v>0.59</v>
      </c>
      <c r="Y273" s="9">
        <v>0</v>
      </c>
      <c r="Z273" s="17">
        <v>6291109790297</v>
      </c>
      <c r="AA273" s="8">
        <v>365</v>
      </c>
      <c r="AB273" s="8">
        <v>25</v>
      </c>
      <c r="AC273" s="7" t="s">
        <v>146</v>
      </c>
      <c r="AD273" s="11">
        <v>24</v>
      </c>
      <c r="AE273">
        <f t="shared" si="5"/>
        <v>386803</v>
      </c>
    </row>
    <row r="274" spans="1:31" x14ac:dyDescent="0.25">
      <c r="A274" s="7">
        <v>386805</v>
      </c>
      <c r="B274" s="7" t="s">
        <v>466</v>
      </c>
      <c r="C274" s="7" t="s">
        <v>232</v>
      </c>
      <c r="D274" s="7" t="s">
        <v>91</v>
      </c>
      <c r="E274" s="7" t="s">
        <v>32</v>
      </c>
      <c r="F274" s="7" t="s">
        <v>34</v>
      </c>
      <c r="G274" s="7" t="s">
        <v>32</v>
      </c>
      <c r="H274" s="7" t="s">
        <v>36</v>
      </c>
      <c r="I274" s="7" t="s">
        <v>36</v>
      </c>
      <c r="J274" s="8">
        <v>1</v>
      </c>
      <c r="K274" s="7" t="s">
        <v>37</v>
      </c>
      <c r="L274" s="8">
        <v>12</v>
      </c>
      <c r="M274" s="7" t="s">
        <v>32</v>
      </c>
      <c r="N274" s="8">
        <v>0</v>
      </c>
      <c r="O274" s="7" t="s">
        <v>32</v>
      </c>
      <c r="P274" s="8">
        <v>0</v>
      </c>
      <c r="Q274" s="9">
        <v>7.0000000000000007E-2</v>
      </c>
      <c r="R274" s="8">
        <v>0</v>
      </c>
      <c r="S274" s="7" t="s">
        <v>38</v>
      </c>
      <c r="T274" s="9">
        <v>10.4</v>
      </c>
      <c r="U274" s="8">
        <v>4</v>
      </c>
      <c r="V274" s="8">
        <v>20</v>
      </c>
      <c r="W274" s="9">
        <v>0.27800000000000002</v>
      </c>
      <c r="X274" s="9">
        <v>0.378</v>
      </c>
      <c r="Y274" s="9">
        <v>0</v>
      </c>
      <c r="Z274" s="17">
        <v>6291109790310</v>
      </c>
      <c r="AA274" s="8">
        <v>365</v>
      </c>
      <c r="AB274" s="8">
        <v>25</v>
      </c>
      <c r="AC274" s="7" t="s">
        <v>146</v>
      </c>
      <c r="AD274" s="11">
        <v>12</v>
      </c>
      <c r="AE274">
        <f t="shared" si="5"/>
        <v>386805</v>
      </c>
    </row>
    <row r="275" spans="1:31" x14ac:dyDescent="0.25">
      <c r="A275" s="7">
        <v>386806</v>
      </c>
      <c r="B275" s="7" t="s">
        <v>467</v>
      </c>
      <c r="C275" s="7" t="s">
        <v>232</v>
      </c>
      <c r="D275" s="7" t="s">
        <v>91</v>
      </c>
      <c r="E275" s="7" t="s">
        <v>32</v>
      </c>
      <c r="F275" s="7" t="s">
        <v>34</v>
      </c>
      <c r="G275" s="7" t="s">
        <v>32</v>
      </c>
      <c r="H275" s="7" t="s">
        <v>36</v>
      </c>
      <c r="I275" s="7" t="s">
        <v>145</v>
      </c>
      <c r="J275" s="8">
        <v>12</v>
      </c>
      <c r="K275" s="7" t="s">
        <v>36</v>
      </c>
      <c r="L275" s="8">
        <v>1</v>
      </c>
      <c r="M275" s="7" t="s">
        <v>37</v>
      </c>
      <c r="N275" s="8">
        <v>144</v>
      </c>
      <c r="O275" s="7" t="s">
        <v>32</v>
      </c>
      <c r="P275" s="8">
        <v>0</v>
      </c>
      <c r="Q275" s="9">
        <v>0.24</v>
      </c>
      <c r="R275" s="8">
        <v>0</v>
      </c>
      <c r="S275" s="7" t="s">
        <v>38</v>
      </c>
      <c r="T275" s="8">
        <v>19</v>
      </c>
      <c r="U275" s="9">
        <v>15.5</v>
      </c>
      <c r="V275" s="9">
        <v>13.5</v>
      </c>
      <c r="W275" s="9">
        <v>8.5999999999999993E-2</v>
      </c>
      <c r="X275" s="9">
        <v>0.11799999999999999</v>
      </c>
      <c r="Y275" s="9">
        <v>0</v>
      </c>
      <c r="Z275" s="17">
        <v>6291109790327</v>
      </c>
      <c r="AA275" s="8">
        <v>365</v>
      </c>
      <c r="AB275" s="8">
        <v>25</v>
      </c>
      <c r="AC275" s="7" t="s">
        <v>146</v>
      </c>
      <c r="AD275" s="11">
        <v>144</v>
      </c>
      <c r="AE275">
        <f t="shared" si="5"/>
        <v>386806</v>
      </c>
    </row>
    <row r="276" spans="1:31" x14ac:dyDescent="0.25">
      <c r="A276" s="7">
        <v>387686</v>
      </c>
      <c r="B276" s="7" t="s">
        <v>468</v>
      </c>
      <c r="C276" s="7" t="s">
        <v>228</v>
      </c>
      <c r="D276" s="7" t="s">
        <v>91</v>
      </c>
      <c r="E276" s="7" t="s">
        <v>32</v>
      </c>
      <c r="F276" s="7" t="s">
        <v>34</v>
      </c>
      <c r="G276" s="7" t="s">
        <v>32</v>
      </c>
      <c r="H276" s="7" t="s">
        <v>36</v>
      </c>
      <c r="I276" s="7" t="s">
        <v>145</v>
      </c>
      <c r="J276" s="8">
        <v>12</v>
      </c>
      <c r="K276" s="7" t="s">
        <v>36</v>
      </c>
      <c r="L276" s="8">
        <v>1</v>
      </c>
      <c r="M276" s="7" t="s">
        <v>37</v>
      </c>
      <c r="N276" s="8">
        <v>144</v>
      </c>
      <c r="O276" s="7" t="s">
        <v>32</v>
      </c>
      <c r="P276" s="8">
        <v>0</v>
      </c>
      <c r="Q276" s="9">
        <v>0.06</v>
      </c>
      <c r="R276" s="8">
        <v>0</v>
      </c>
      <c r="S276" s="7" t="s">
        <v>38</v>
      </c>
      <c r="T276" s="8">
        <v>9</v>
      </c>
      <c r="U276" s="9">
        <v>4.5</v>
      </c>
      <c r="V276" s="8">
        <v>2</v>
      </c>
      <c r="W276" s="9">
        <v>0.49399999999999999</v>
      </c>
      <c r="X276" s="9">
        <v>0.70599999999999996</v>
      </c>
      <c r="Y276" s="9">
        <v>0</v>
      </c>
      <c r="Z276" s="17">
        <v>8723400827771</v>
      </c>
      <c r="AA276" s="8">
        <v>540</v>
      </c>
      <c r="AB276" s="8">
        <v>60</v>
      </c>
      <c r="AC276" s="7" t="s">
        <v>146</v>
      </c>
      <c r="AD276" s="11">
        <v>144</v>
      </c>
      <c r="AE276">
        <f t="shared" si="5"/>
        <v>387686</v>
      </c>
    </row>
    <row r="277" spans="1:31" x14ac:dyDescent="0.25">
      <c r="A277" s="7">
        <v>387687</v>
      </c>
      <c r="B277" s="7" t="s">
        <v>469</v>
      </c>
      <c r="C277" s="7" t="s">
        <v>232</v>
      </c>
      <c r="D277" s="7" t="s">
        <v>91</v>
      </c>
      <c r="E277" s="7" t="s">
        <v>32</v>
      </c>
      <c r="F277" s="7" t="s">
        <v>34</v>
      </c>
      <c r="G277" s="7" t="s">
        <v>32</v>
      </c>
      <c r="H277" s="7" t="s">
        <v>36</v>
      </c>
      <c r="I277" s="7" t="s">
        <v>145</v>
      </c>
      <c r="J277" s="8">
        <v>6</v>
      </c>
      <c r="K277" s="7" t="s">
        <v>36</v>
      </c>
      <c r="L277" s="8">
        <v>1</v>
      </c>
      <c r="M277" s="7" t="s">
        <v>37</v>
      </c>
      <c r="N277" s="8">
        <v>48</v>
      </c>
      <c r="O277" s="7" t="s">
        <v>32</v>
      </c>
      <c r="P277" s="8">
        <v>0</v>
      </c>
      <c r="Q277" s="9">
        <v>0.11</v>
      </c>
      <c r="R277" s="8">
        <v>0</v>
      </c>
      <c r="S277" s="7" t="s">
        <v>38</v>
      </c>
      <c r="T277" s="9">
        <v>8.5</v>
      </c>
      <c r="U277" s="9">
        <v>6.5</v>
      </c>
      <c r="V277" s="9">
        <v>6.5</v>
      </c>
      <c r="W277" s="9">
        <v>0.57399999999999995</v>
      </c>
      <c r="X277" s="9">
        <v>0.81899999999999995</v>
      </c>
      <c r="Y277" s="9">
        <v>0</v>
      </c>
      <c r="Z277" s="17">
        <v>80849469</v>
      </c>
      <c r="AA277" s="8">
        <v>730</v>
      </c>
      <c r="AB277" s="8">
        <v>60</v>
      </c>
      <c r="AC277" s="7" t="s">
        <v>146</v>
      </c>
      <c r="AD277" s="11">
        <v>48</v>
      </c>
      <c r="AE277">
        <f t="shared" si="5"/>
        <v>387687</v>
      </c>
    </row>
    <row r="278" spans="1:31" x14ac:dyDescent="0.25">
      <c r="A278" s="7">
        <v>393549</v>
      </c>
      <c r="B278" s="7" t="s">
        <v>470</v>
      </c>
      <c r="C278" s="7" t="s">
        <v>196</v>
      </c>
      <c r="D278" s="7" t="s">
        <v>32</v>
      </c>
      <c r="E278" s="7" t="s">
        <v>32</v>
      </c>
      <c r="F278" s="7" t="s">
        <v>86</v>
      </c>
      <c r="G278" s="7" t="s">
        <v>32</v>
      </c>
      <c r="H278" s="7" t="s">
        <v>36</v>
      </c>
      <c r="I278" s="7" t="s">
        <v>36</v>
      </c>
      <c r="J278" s="8">
        <v>1</v>
      </c>
      <c r="K278" s="7" t="s">
        <v>37</v>
      </c>
      <c r="L278" s="8">
        <v>4</v>
      </c>
      <c r="M278" s="7" t="s">
        <v>32</v>
      </c>
      <c r="N278" s="8">
        <v>0</v>
      </c>
      <c r="O278" s="7" t="s">
        <v>32</v>
      </c>
      <c r="P278" s="8">
        <v>0</v>
      </c>
      <c r="Q278" s="9">
        <v>0.375</v>
      </c>
      <c r="R278" s="8">
        <v>0</v>
      </c>
      <c r="S278" s="7" t="s">
        <v>38</v>
      </c>
      <c r="T278" s="8">
        <v>17</v>
      </c>
      <c r="U278" s="8">
        <v>2</v>
      </c>
      <c r="V278" s="9">
        <v>6.5</v>
      </c>
      <c r="W278" s="9">
        <v>0.92300000000000004</v>
      </c>
      <c r="X278" s="9">
        <v>1.23</v>
      </c>
      <c r="Y278" s="9">
        <v>0</v>
      </c>
      <c r="Z278" s="17">
        <v>1800000022472</v>
      </c>
      <c r="AA278" s="8">
        <v>365</v>
      </c>
      <c r="AB278" s="8">
        <v>90</v>
      </c>
      <c r="AC278" s="7" t="s">
        <v>182</v>
      </c>
      <c r="AD278" s="11">
        <v>4</v>
      </c>
      <c r="AE278">
        <f t="shared" si="5"/>
        <v>393549</v>
      </c>
    </row>
    <row r="279" spans="1:31" x14ac:dyDescent="0.25">
      <c r="A279" s="7">
        <v>394198</v>
      </c>
      <c r="B279" s="7" t="s">
        <v>471</v>
      </c>
      <c r="C279" s="7" t="s">
        <v>398</v>
      </c>
      <c r="D279" s="7" t="s">
        <v>32</v>
      </c>
      <c r="E279" s="7" t="s">
        <v>32</v>
      </c>
      <c r="F279" s="7" t="s">
        <v>103</v>
      </c>
      <c r="G279" s="7" t="s">
        <v>32</v>
      </c>
      <c r="H279" s="7" t="s">
        <v>36</v>
      </c>
      <c r="I279" s="7" t="s">
        <v>36</v>
      </c>
      <c r="J279" s="8">
        <v>1</v>
      </c>
      <c r="K279" s="7" t="s">
        <v>37</v>
      </c>
      <c r="L279" s="8">
        <v>60</v>
      </c>
      <c r="M279" s="7" t="s">
        <v>32</v>
      </c>
      <c r="N279" s="8">
        <v>0</v>
      </c>
      <c r="O279" s="7" t="s">
        <v>32</v>
      </c>
      <c r="P279" s="8">
        <v>0</v>
      </c>
      <c r="Q279" s="9">
        <v>0.15</v>
      </c>
      <c r="R279" s="8">
        <v>0</v>
      </c>
      <c r="S279" s="7" t="s">
        <v>38</v>
      </c>
      <c r="T279" s="8">
        <v>6</v>
      </c>
      <c r="U279" s="8">
        <v>4</v>
      </c>
      <c r="V279" s="9">
        <v>20.399999999999999</v>
      </c>
      <c r="W279" s="9">
        <v>0.41599999999999998</v>
      </c>
      <c r="X279" s="9">
        <v>0.52</v>
      </c>
      <c r="Y279" s="9">
        <v>0</v>
      </c>
      <c r="Z279" s="17">
        <v>8904150195529</v>
      </c>
      <c r="AA279" s="8">
        <v>730</v>
      </c>
      <c r="AB279" s="8">
        <v>60</v>
      </c>
      <c r="AC279" s="7" t="s">
        <v>399</v>
      </c>
      <c r="AD279" s="11">
        <v>60</v>
      </c>
      <c r="AE279">
        <f t="shared" si="5"/>
        <v>394198</v>
      </c>
    </row>
    <row r="280" spans="1:31" ht="15.75" x14ac:dyDescent="0.25">
      <c r="A280" s="7">
        <v>395985</v>
      </c>
      <c r="B280" s="7" t="s">
        <v>472</v>
      </c>
      <c r="C280" s="7" t="s">
        <v>90</v>
      </c>
      <c r="D280" s="7" t="s">
        <v>91</v>
      </c>
      <c r="E280" s="7" t="s">
        <v>32</v>
      </c>
      <c r="F280" s="7" t="s">
        <v>103</v>
      </c>
      <c r="G280" s="7" t="s">
        <v>32</v>
      </c>
      <c r="H280" s="7" t="s">
        <v>36</v>
      </c>
      <c r="I280" s="7" t="s">
        <v>36</v>
      </c>
      <c r="J280" s="8">
        <v>1</v>
      </c>
      <c r="K280" s="7" t="s">
        <v>37</v>
      </c>
      <c r="L280" s="8">
        <v>16</v>
      </c>
      <c r="M280" s="7" t="s">
        <v>32</v>
      </c>
      <c r="N280" s="8">
        <v>0</v>
      </c>
      <c r="O280" s="7" t="s">
        <v>32</v>
      </c>
      <c r="P280" s="8">
        <v>0</v>
      </c>
      <c r="Q280" s="9">
        <v>0.56000000000000005</v>
      </c>
      <c r="R280" s="8">
        <v>0</v>
      </c>
      <c r="S280" s="7" t="s">
        <v>38</v>
      </c>
      <c r="T280" s="9">
        <v>11.5</v>
      </c>
      <c r="U280" s="9">
        <v>11.5</v>
      </c>
      <c r="V280" s="9">
        <v>9.5</v>
      </c>
      <c r="W280" s="9">
        <v>1.046</v>
      </c>
      <c r="X280" s="9">
        <v>1.2689999999999999</v>
      </c>
      <c r="Y280" s="9">
        <v>0</v>
      </c>
      <c r="Z280" s="18">
        <v>3073781049831</v>
      </c>
      <c r="AA280" s="8">
        <v>300</v>
      </c>
      <c r="AB280" s="8">
        <v>30</v>
      </c>
      <c r="AC280" s="7" t="s">
        <v>94</v>
      </c>
      <c r="AD280" s="11">
        <v>16</v>
      </c>
      <c r="AE280">
        <f t="shared" si="5"/>
        <v>395985</v>
      </c>
    </row>
    <row r="281" spans="1:31" x14ac:dyDescent="0.25">
      <c r="A281" s="7">
        <v>397386</v>
      </c>
      <c r="B281" s="7" t="s">
        <v>473</v>
      </c>
      <c r="C281" s="7" t="s">
        <v>474</v>
      </c>
      <c r="D281" s="7" t="s">
        <v>91</v>
      </c>
      <c r="E281" s="7" t="s">
        <v>32</v>
      </c>
      <c r="F281" s="7" t="s">
        <v>34</v>
      </c>
      <c r="G281" s="7" t="s">
        <v>32</v>
      </c>
      <c r="H281" s="7" t="s">
        <v>36</v>
      </c>
      <c r="I281" s="7" t="s">
        <v>36</v>
      </c>
      <c r="J281" s="8">
        <v>1</v>
      </c>
      <c r="K281" s="7" t="s">
        <v>37</v>
      </c>
      <c r="L281" s="8">
        <v>36</v>
      </c>
      <c r="M281" s="7" t="s">
        <v>32</v>
      </c>
      <c r="N281" s="8">
        <v>0</v>
      </c>
      <c r="O281" s="7" t="s">
        <v>32</v>
      </c>
      <c r="P281" s="8">
        <v>0</v>
      </c>
      <c r="Q281" s="9">
        <v>0.13</v>
      </c>
      <c r="R281" s="8">
        <v>0</v>
      </c>
      <c r="S281" s="7" t="s">
        <v>38</v>
      </c>
      <c r="T281" s="9">
        <v>11.3</v>
      </c>
      <c r="U281" s="9">
        <v>11.3</v>
      </c>
      <c r="V281" s="8">
        <v>2</v>
      </c>
      <c r="W281" s="9">
        <v>0.192</v>
      </c>
      <c r="X281" s="9">
        <v>0.22500000000000001</v>
      </c>
      <c r="Y281" s="9">
        <v>0</v>
      </c>
      <c r="Z281" s="17">
        <v>3073780886567</v>
      </c>
      <c r="AA281" s="8">
        <v>270</v>
      </c>
      <c r="AB281" s="8">
        <v>90</v>
      </c>
      <c r="AC281" s="7" t="s">
        <v>94</v>
      </c>
      <c r="AD281" s="11">
        <v>36</v>
      </c>
      <c r="AE281">
        <f t="shared" si="5"/>
        <v>397386</v>
      </c>
    </row>
    <row r="282" spans="1:31" x14ac:dyDescent="0.25">
      <c r="A282" s="7">
        <v>399391</v>
      </c>
      <c r="B282" s="7" t="s">
        <v>475</v>
      </c>
      <c r="C282" s="7" t="s">
        <v>125</v>
      </c>
      <c r="D282" s="7" t="s">
        <v>91</v>
      </c>
      <c r="E282" s="7" t="s">
        <v>32</v>
      </c>
      <c r="F282" s="7" t="s">
        <v>34</v>
      </c>
      <c r="G282" s="7" t="s">
        <v>32</v>
      </c>
      <c r="H282" s="7" t="s">
        <v>36</v>
      </c>
      <c r="I282" s="7" t="s">
        <v>36</v>
      </c>
      <c r="J282" s="8">
        <v>1</v>
      </c>
      <c r="K282" s="7" t="s">
        <v>37</v>
      </c>
      <c r="L282" s="8">
        <v>24</v>
      </c>
      <c r="M282" s="7" t="s">
        <v>32</v>
      </c>
      <c r="N282" s="8">
        <v>0</v>
      </c>
      <c r="O282" s="7" t="s">
        <v>32</v>
      </c>
      <c r="P282" s="8">
        <v>0</v>
      </c>
      <c r="Q282" s="9">
        <v>0.43</v>
      </c>
      <c r="R282" s="8">
        <v>0</v>
      </c>
      <c r="S282" s="7" t="s">
        <v>38</v>
      </c>
      <c r="T282" s="9">
        <v>6.7</v>
      </c>
      <c r="U282" s="9">
        <v>6.7</v>
      </c>
      <c r="V282" s="9">
        <v>12.5</v>
      </c>
      <c r="W282" s="9">
        <v>0.73899999999999999</v>
      </c>
      <c r="X282" s="9">
        <v>0.89600000000000002</v>
      </c>
      <c r="Y282" s="9">
        <v>0</v>
      </c>
      <c r="Z282" s="17">
        <v>3073781147063</v>
      </c>
      <c r="AA282" s="8">
        <v>364</v>
      </c>
      <c r="AB282" s="8">
        <v>90</v>
      </c>
      <c r="AC282" s="7" t="s">
        <v>94</v>
      </c>
      <c r="AD282" s="11">
        <v>24</v>
      </c>
      <c r="AE282">
        <f t="shared" si="5"/>
        <v>399391</v>
      </c>
    </row>
    <row r="283" spans="1:31" x14ac:dyDescent="0.25">
      <c r="A283" s="7">
        <v>399392</v>
      </c>
      <c r="B283" s="7" t="s">
        <v>476</v>
      </c>
      <c r="C283" s="7" t="s">
        <v>125</v>
      </c>
      <c r="D283" s="7" t="s">
        <v>91</v>
      </c>
      <c r="E283" s="7" t="s">
        <v>32</v>
      </c>
      <c r="F283" s="7" t="s">
        <v>34</v>
      </c>
      <c r="G283" s="7" t="s">
        <v>32</v>
      </c>
      <c r="H283" s="7" t="s">
        <v>36</v>
      </c>
      <c r="I283" s="7" t="s">
        <v>36</v>
      </c>
      <c r="J283" s="8">
        <v>1</v>
      </c>
      <c r="K283" s="7" t="s">
        <v>37</v>
      </c>
      <c r="L283" s="8">
        <v>12</v>
      </c>
      <c r="M283" s="7" t="s">
        <v>32</v>
      </c>
      <c r="N283" s="8">
        <v>0</v>
      </c>
      <c r="O283" s="7" t="s">
        <v>32</v>
      </c>
      <c r="P283" s="8">
        <v>0</v>
      </c>
      <c r="Q283" s="9">
        <v>0.74</v>
      </c>
      <c r="R283" s="8">
        <v>0</v>
      </c>
      <c r="S283" s="7" t="s">
        <v>38</v>
      </c>
      <c r="T283" s="9">
        <v>8.5</v>
      </c>
      <c r="U283" s="9">
        <v>8.5</v>
      </c>
      <c r="V283" s="8">
        <v>12</v>
      </c>
      <c r="W283" s="9">
        <v>1.448</v>
      </c>
      <c r="X283" s="9">
        <v>1.7549999999999999</v>
      </c>
      <c r="Y283" s="9">
        <v>0</v>
      </c>
      <c r="Z283" s="17">
        <v>3073781147087</v>
      </c>
      <c r="AA283" s="8">
        <v>364</v>
      </c>
      <c r="AB283" s="8">
        <v>90</v>
      </c>
      <c r="AC283" s="7" t="s">
        <v>94</v>
      </c>
      <c r="AD283" s="11">
        <v>12</v>
      </c>
      <c r="AE283">
        <f t="shared" si="5"/>
        <v>399392</v>
      </c>
    </row>
    <row r="284" spans="1:31" x14ac:dyDescent="0.25">
      <c r="A284" s="7">
        <v>399393</v>
      </c>
      <c r="B284" s="7" t="s">
        <v>477</v>
      </c>
      <c r="C284" s="7" t="s">
        <v>125</v>
      </c>
      <c r="D284" s="7" t="s">
        <v>91</v>
      </c>
      <c r="E284" s="7" t="s">
        <v>32</v>
      </c>
      <c r="F284" s="7" t="s">
        <v>34</v>
      </c>
      <c r="G284" s="7" t="s">
        <v>32</v>
      </c>
      <c r="H284" s="7" t="s">
        <v>36</v>
      </c>
      <c r="I284" s="7" t="s">
        <v>36</v>
      </c>
      <c r="J284" s="8">
        <v>1</v>
      </c>
      <c r="K284" s="7" t="s">
        <v>37</v>
      </c>
      <c r="L284" s="8">
        <v>6</v>
      </c>
      <c r="M284" s="7" t="s">
        <v>32</v>
      </c>
      <c r="N284" s="8">
        <v>0</v>
      </c>
      <c r="O284" s="7" t="s">
        <v>32</v>
      </c>
      <c r="P284" s="8">
        <v>0</v>
      </c>
      <c r="Q284" s="9">
        <v>1.34</v>
      </c>
      <c r="R284" s="8">
        <v>0</v>
      </c>
      <c r="S284" s="7" t="s">
        <v>38</v>
      </c>
      <c r="T284" s="8">
        <v>10</v>
      </c>
      <c r="U284" s="8">
        <v>10</v>
      </c>
      <c r="V284" s="8">
        <v>15</v>
      </c>
      <c r="W284" s="9">
        <v>2.3980000000000001</v>
      </c>
      <c r="X284" s="9">
        <v>2.907</v>
      </c>
      <c r="Y284" s="9">
        <v>0</v>
      </c>
      <c r="Z284" s="17">
        <v>3073781194739</v>
      </c>
      <c r="AA284" s="8">
        <v>364</v>
      </c>
      <c r="AB284" s="8">
        <v>90</v>
      </c>
      <c r="AC284" s="7" t="s">
        <v>94</v>
      </c>
      <c r="AD284" s="11">
        <v>6</v>
      </c>
      <c r="AE284">
        <f t="shared" si="5"/>
        <v>399393</v>
      </c>
    </row>
    <row r="285" spans="1:31" x14ac:dyDescent="0.25">
      <c r="A285" s="7">
        <v>399394</v>
      </c>
      <c r="B285" s="7" t="s">
        <v>478</v>
      </c>
      <c r="C285" s="7" t="s">
        <v>125</v>
      </c>
      <c r="D285" s="7" t="s">
        <v>91</v>
      </c>
      <c r="E285" s="7" t="s">
        <v>32</v>
      </c>
      <c r="F285" s="7" t="s">
        <v>103</v>
      </c>
      <c r="G285" s="7" t="s">
        <v>32</v>
      </c>
      <c r="H285" s="7" t="s">
        <v>36</v>
      </c>
      <c r="I285" s="7" t="s">
        <v>36</v>
      </c>
      <c r="J285" s="8">
        <v>1</v>
      </c>
      <c r="K285" s="7" t="s">
        <v>37</v>
      </c>
      <c r="L285" s="8">
        <v>6</v>
      </c>
      <c r="M285" s="7" t="s">
        <v>32</v>
      </c>
      <c r="N285" s="8">
        <v>0</v>
      </c>
      <c r="O285" s="7" t="s">
        <v>32</v>
      </c>
      <c r="P285" s="8">
        <v>0</v>
      </c>
      <c r="Q285" s="9">
        <v>0.74</v>
      </c>
      <c r="R285" s="8">
        <v>0</v>
      </c>
      <c r="S285" s="7" t="s">
        <v>38</v>
      </c>
      <c r="T285" s="9">
        <v>8.5</v>
      </c>
      <c r="U285" s="9">
        <v>8.5</v>
      </c>
      <c r="V285" s="8">
        <v>12</v>
      </c>
      <c r="W285" s="9">
        <v>2.302</v>
      </c>
      <c r="X285" s="9">
        <v>2.79</v>
      </c>
      <c r="Y285" s="9">
        <v>0</v>
      </c>
      <c r="Z285" s="17">
        <v>3073781194753</v>
      </c>
      <c r="AA285" s="8">
        <v>364</v>
      </c>
      <c r="AB285" s="8">
        <v>90</v>
      </c>
      <c r="AC285" s="7" t="s">
        <v>94</v>
      </c>
      <c r="AD285" s="11">
        <v>6</v>
      </c>
      <c r="AE285">
        <f t="shared" si="5"/>
        <v>399394</v>
      </c>
    </row>
    <row r="286" spans="1:31" x14ac:dyDescent="0.25">
      <c r="A286" s="7">
        <v>399395</v>
      </c>
      <c r="B286" s="7" t="s">
        <v>479</v>
      </c>
      <c r="C286" s="7" t="s">
        <v>474</v>
      </c>
      <c r="D286" s="7" t="s">
        <v>91</v>
      </c>
      <c r="E286" s="7" t="s">
        <v>32</v>
      </c>
      <c r="F286" s="7" t="s">
        <v>86</v>
      </c>
      <c r="G286" s="7" t="s">
        <v>32</v>
      </c>
      <c r="H286" s="7" t="s">
        <v>36</v>
      </c>
      <c r="I286" s="7" t="s">
        <v>36</v>
      </c>
      <c r="J286" s="8">
        <v>1</v>
      </c>
      <c r="K286" s="7" t="s">
        <v>37</v>
      </c>
      <c r="L286" s="8">
        <v>12</v>
      </c>
      <c r="M286" s="7" t="s">
        <v>32</v>
      </c>
      <c r="N286" s="8">
        <v>0</v>
      </c>
      <c r="O286" s="7" t="s">
        <v>32</v>
      </c>
      <c r="P286" s="8">
        <v>0</v>
      </c>
      <c r="Q286" s="9">
        <v>0.54</v>
      </c>
      <c r="R286" s="8">
        <v>0</v>
      </c>
      <c r="S286" s="7" t="s">
        <v>38</v>
      </c>
      <c r="T286" s="8">
        <v>11</v>
      </c>
      <c r="U286" s="8">
        <v>11</v>
      </c>
      <c r="V286" s="9">
        <v>8.5</v>
      </c>
      <c r="W286" s="9">
        <v>0.68300000000000005</v>
      </c>
      <c r="X286" s="9">
        <v>0.80500000000000005</v>
      </c>
      <c r="Y286" s="9">
        <v>0</v>
      </c>
      <c r="Z286" s="17">
        <v>1800000023608</v>
      </c>
      <c r="AA286" s="8">
        <v>270</v>
      </c>
      <c r="AB286" s="8">
        <v>90</v>
      </c>
      <c r="AC286" s="7" t="s">
        <v>94</v>
      </c>
      <c r="AD286" s="11">
        <v>12</v>
      </c>
      <c r="AE286">
        <f t="shared" si="5"/>
        <v>399395</v>
      </c>
    </row>
    <row r="287" spans="1:31" x14ac:dyDescent="0.25">
      <c r="A287" s="7">
        <v>399396</v>
      </c>
      <c r="B287" s="7" t="s">
        <v>480</v>
      </c>
      <c r="C287" s="7" t="s">
        <v>143</v>
      </c>
      <c r="D287" s="7" t="s">
        <v>91</v>
      </c>
      <c r="E287" s="7" t="s">
        <v>32</v>
      </c>
      <c r="F287" s="7" t="s">
        <v>86</v>
      </c>
      <c r="G287" s="7" t="s">
        <v>32</v>
      </c>
      <c r="H287" s="7" t="s">
        <v>36</v>
      </c>
      <c r="I287" s="7" t="s">
        <v>36</v>
      </c>
      <c r="J287" s="8">
        <v>1</v>
      </c>
      <c r="K287" s="7" t="s">
        <v>37</v>
      </c>
      <c r="L287" s="8">
        <v>36</v>
      </c>
      <c r="M287" s="7" t="s">
        <v>32</v>
      </c>
      <c r="N287" s="8">
        <v>0</v>
      </c>
      <c r="O287" s="7" t="s">
        <v>32</v>
      </c>
      <c r="P287" s="8">
        <v>0</v>
      </c>
      <c r="Q287" s="9">
        <v>0.15</v>
      </c>
      <c r="R287" s="8">
        <v>0</v>
      </c>
      <c r="S287" s="7" t="s">
        <v>38</v>
      </c>
      <c r="T287" s="8">
        <v>10</v>
      </c>
      <c r="U287" s="8">
        <v>4</v>
      </c>
      <c r="V287" s="9">
        <v>7.5</v>
      </c>
      <c r="W287" s="9">
        <v>0.66600000000000004</v>
      </c>
      <c r="X287" s="9">
        <v>1.1000000000000001</v>
      </c>
      <c r="Y287" s="9">
        <v>0</v>
      </c>
      <c r="Z287" s="17">
        <v>1800000023509</v>
      </c>
      <c r="AA287" s="8">
        <v>540</v>
      </c>
      <c r="AB287" s="8">
        <v>30</v>
      </c>
      <c r="AC287" s="7" t="s">
        <v>146</v>
      </c>
      <c r="AD287" s="11">
        <v>36</v>
      </c>
      <c r="AE287">
        <f t="shared" si="5"/>
        <v>399396</v>
      </c>
    </row>
    <row r="288" spans="1:31" x14ac:dyDescent="0.25">
      <c r="A288" s="7">
        <v>400025</v>
      </c>
      <c r="B288" s="7" t="s">
        <v>481</v>
      </c>
      <c r="C288" s="7" t="s">
        <v>90</v>
      </c>
      <c r="D288" s="7" t="s">
        <v>91</v>
      </c>
      <c r="E288" s="7" t="s">
        <v>32</v>
      </c>
      <c r="F288" s="7" t="s">
        <v>86</v>
      </c>
      <c r="G288" s="7" t="s">
        <v>32</v>
      </c>
      <c r="H288" s="7" t="s">
        <v>36</v>
      </c>
      <c r="I288" s="7" t="s">
        <v>36</v>
      </c>
      <c r="J288" s="8">
        <v>1</v>
      </c>
      <c r="K288" s="7" t="s">
        <v>37</v>
      </c>
      <c r="L288" s="8">
        <v>6</v>
      </c>
      <c r="M288" s="7" t="s">
        <v>32</v>
      </c>
      <c r="N288" s="8">
        <v>0</v>
      </c>
      <c r="O288" s="7" t="s">
        <v>32</v>
      </c>
      <c r="P288" s="8">
        <v>0</v>
      </c>
      <c r="Q288" s="9">
        <v>0.56999999999999995</v>
      </c>
      <c r="R288" s="8">
        <v>0</v>
      </c>
      <c r="S288" s="7" t="s">
        <v>38</v>
      </c>
      <c r="T288" s="9">
        <v>7.5</v>
      </c>
      <c r="U288" s="9">
        <v>7.5</v>
      </c>
      <c r="V288" s="8">
        <v>15</v>
      </c>
      <c r="W288" s="9">
        <v>1.046</v>
      </c>
      <c r="X288" s="9">
        <v>1.2689999999999999</v>
      </c>
      <c r="Y288" s="9">
        <v>0</v>
      </c>
      <c r="Z288" s="17">
        <v>3073781049831</v>
      </c>
      <c r="AA288" s="8">
        <v>270</v>
      </c>
      <c r="AB288" s="8">
        <v>30</v>
      </c>
      <c r="AC288" s="7" t="s">
        <v>94</v>
      </c>
      <c r="AD288" s="11">
        <v>6</v>
      </c>
      <c r="AE288">
        <f t="shared" si="5"/>
        <v>400025</v>
      </c>
    </row>
    <row r="289" spans="1:31" x14ac:dyDescent="0.25">
      <c r="A289" s="7">
        <v>400933</v>
      </c>
      <c r="B289" s="7" t="s">
        <v>482</v>
      </c>
      <c r="C289" s="7" t="s">
        <v>105</v>
      </c>
      <c r="D289" s="7" t="s">
        <v>91</v>
      </c>
      <c r="E289" s="7" t="s">
        <v>32</v>
      </c>
      <c r="F289" s="7" t="s">
        <v>34</v>
      </c>
      <c r="G289" s="7" t="s">
        <v>32</v>
      </c>
      <c r="H289" s="7" t="s">
        <v>36</v>
      </c>
      <c r="I289" s="7" t="s">
        <v>36</v>
      </c>
      <c r="J289" s="8">
        <v>1</v>
      </c>
      <c r="K289" s="7" t="s">
        <v>37</v>
      </c>
      <c r="L289" s="8">
        <v>12</v>
      </c>
      <c r="M289" s="7" t="s">
        <v>32</v>
      </c>
      <c r="N289" s="8">
        <v>0</v>
      </c>
      <c r="O289" s="7" t="s">
        <v>32</v>
      </c>
      <c r="P289" s="8">
        <v>0</v>
      </c>
      <c r="Q289" s="9">
        <v>0.74</v>
      </c>
      <c r="R289" s="8">
        <v>0</v>
      </c>
      <c r="S289" s="7" t="s">
        <v>38</v>
      </c>
      <c r="T289" s="9">
        <v>8.5</v>
      </c>
      <c r="U289" s="9">
        <v>8.5</v>
      </c>
      <c r="V289" s="8">
        <v>12</v>
      </c>
      <c r="W289" s="9">
        <v>1.375</v>
      </c>
      <c r="X289" s="9">
        <v>1.667</v>
      </c>
      <c r="Y289" s="9">
        <v>0</v>
      </c>
      <c r="Z289" s="17">
        <v>3073781193688</v>
      </c>
      <c r="AA289" s="8">
        <v>364</v>
      </c>
      <c r="AB289" s="8">
        <v>90</v>
      </c>
      <c r="AC289" s="7" t="s">
        <v>94</v>
      </c>
      <c r="AD289" s="11">
        <v>12</v>
      </c>
      <c r="AE289">
        <f t="shared" si="5"/>
        <v>400933</v>
      </c>
    </row>
    <row r="290" spans="1:31" x14ac:dyDescent="0.25">
      <c r="A290" s="7">
        <v>400934</v>
      </c>
      <c r="B290" s="7" t="s">
        <v>483</v>
      </c>
      <c r="C290" s="7" t="s">
        <v>105</v>
      </c>
      <c r="D290" s="7" t="s">
        <v>91</v>
      </c>
      <c r="E290" s="7" t="s">
        <v>32</v>
      </c>
      <c r="F290" s="7" t="s">
        <v>103</v>
      </c>
      <c r="G290" s="7" t="s">
        <v>32</v>
      </c>
      <c r="H290" s="7" t="s">
        <v>36</v>
      </c>
      <c r="I290" s="7" t="s">
        <v>36</v>
      </c>
      <c r="J290" s="8">
        <v>1</v>
      </c>
      <c r="K290" s="7" t="s">
        <v>37</v>
      </c>
      <c r="L290" s="8">
        <v>6</v>
      </c>
      <c r="M290" s="7" t="s">
        <v>32</v>
      </c>
      <c r="N290" s="8">
        <v>0</v>
      </c>
      <c r="O290" s="7" t="s">
        <v>32</v>
      </c>
      <c r="P290" s="8">
        <v>0</v>
      </c>
      <c r="Q290" s="8">
        <v>1</v>
      </c>
      <c r="R290" s="8">
        <v>0</v>
      </c>
      <c r="S290" s="7" t="s">
        <v>38</v>
      </c>
      <c r="T290" s="8">
        <v>14</v>
      </c>
      <c r="U290" s="9">
        <v>6.5</v>
      </c>
      <c r="V290" s="8">
        <v>11</v>
      </c>
      <c r="W290" s="9">
        <v>2.2000000000000002</v>
      </c>
      <c r="X290" s="9">
        <v>2.6659999999999999</v>
      </c>
      <c r="Y290" s="9">
        <v>0</v>
      </c>
      <c r="Z290" s="17">
        <v>3073781193701</v>
      </c>
      <c r="AA290" s="8">
        <v>364</v>
      </c>
      <c r="AB290" s="8">
        <v>90</v>
      </c>
      <c r="AC290" s="7" t="s">
        <v>94</v>
      </c>
      <c r="AD290" s="11">
        <v>6</v>
      </c>
      <c r="AE290">
        <f t="shared" si="5"/>
        <v>400934</v>
      </c>
    </row>
    <row r="291" spans="1:31" x14ac:dyDescent="0.25">
      <c r="A291" s="7">
        <v>401021</v>
      </c>
      <c r="B291" s="7" t="s">
        <v>484</v>
      </c>
      <c r="C291" s="7" t="s">
        <v>44</v>
      </c>
      <c r="D291" s="7" t="s">
        <v>91</v>
      </c>
      <c r="E291" s="7" t="s">
        <v>32</v>
      </c>
      <c r="F291" s="7" t="s">
        <v>86</v>
      </c>
      <c r="G291" s="7" t="s">
        <v>32</v>
      </c>
      <c r="H291" s="7" t="s">
        <v>36</v>
      </c>
      <c r="I291" s="7" t="s">
        <v>36</v>
      </c>
      <c r="J291" s="8">
        <v>1</v>
      </c>
      <c r="K291" s="7" t="s">
        <v>37</v>
      </c>
      <c r="L291" s="8">
        <v>12</v>
      </c>
      <c r="M291" s="7" t="s">
        <v>32</v>
      </c>
      <c r="N291" s="8">
        <v>0</v>
      </c>
      <c r="O291" s="7" t="s">
        <v>32</v>
      </c>
      <c r="P291" s="8">
        <v>0</v>
      </c>
      <c r="Q291" s="9">
        <v>0.93</v>
      </c>
      <c r="R291" s="8">
        <v>0</v>
      </c>
      <c r="S291" s="7" t="s">
        <v>38</v>
      </c>
      <c r="T291" s="8">
        <v>34</v>
      </c>
      <c r="U291" s="8">
        <v>9</v>
      </c>
      <c r="V291" s="9">
        <v>4.5</v>
      </c>
      <c r="W291" s="9">
        <v>1.595</v>
      </c>
      <c r="X291" s="9">
        <v>2.5339999999999998</v>
      </c>
      <c r="Y291" s="9">
        <v>0</v>
      </c>
      <c r="Z291" s="17">
        <v>1800000024100</v>
      </c>
      <c r="AA291" s="8">
        <v>364</v>
      </c>
      <c r="AB291" s="8">
        <v>90</v>
      </c>
      <c r="AC291" s="7" t="s">
        <v>47</v>
      </c>
      <c r="AD291" s="11">
        <v>12</v>
      </c>
      <c r="AE291">
        <f t="shared" si="5"/>
        <v>401021</v>
      </c>
    </row>
    <row r="292" spans="1:31" x14ac:dyDescent="0.25">
      <c r="A292" s="7">
        <v>401022</v>
      </c>
      <c r="B292" s="7" t="s">
        <v>485</v>
      </c>
      <c r="C292" s="7" t="s">
        <v>44</v>
      </c>
      <c r="D292" s="7" t="s">
        <v>91</v>
      </c>
      <c r="E292" s="7" t="s">
        <v>32</v>
      </c>
      <c r="F292" s="7" t="s">
        <v>86</v>
      </c>
      <c r="G292" s="7" t="s">
        <v>32</v>
      </c>
      <c r="H292" s="7" t="s">
        <v>36</v>
      </c>
      <c r="I292" s="7" t="s">
        <v>36</v>
      </c>
      <c r="J292" s="8">
        <v>1</v>
      </c>
      <c r="K292" s="7" t="s">
        <v>37</v>
      </c>
      <c r="L292" s="8">
        <v>12</v>
      </c>
      <c r="M292" s="7" t="s">
        <v>32</v>
      </c>
      <c r="N292" s="8">
        <v>0</v>
      </c>
      <c r="O292" s="7" t="s">
        <v>32</v>
      </c>
      <c r="P292" s="8">
        <v>0</v>
      </c>
      <c r="Q292" s="9">
        <v>0.93</v>
      </c>
      <c r="R292" s="8">
        <v>0</v>
      </c>
      <c r="S292" s="7" t="s">
        <v>38</v>
      </c>
      <c r="T292" s="8">
        <v>34</v>
      </c>
      <c r="U292" s="8">
        <v>9</v>
      </c>
      <c r="V292" s="9">
        <v>4.5</v>
      </c>
      <c r="W292" s="9">
        <v>1.62</v>
      </c>
      <c r="X292" s="9">
        <v>2.5419999999999998</v>
      </c>
      <c r="Y292" s="9">
        <v>0</v>
      </c>
      <c r="Z292" s="17">
        <v>1800000024209</v>
      </c>
      <c r="AA292" s="8">
        <v>364</v>
      </c>
      <c r="AB292" s="8">
        <v>90</v>
      </c>
      <c r="AC292" s="7" t="s">
        <v>47</v>
      </c>
      <c r="AD292" s="11">
        <v>12</v>
      </c>
      <c r="AE292">
        <f t="shared" si="5"/>
        <v>401022</v>
      </c>
    </row>
    <row r="293" spans="1:31" x14ac:dyDescent="0.25">
      <c r="A293" s="7">
        <v>401023</v>
      </c>
      <c r="B293" s="7" t="s">
        <v>486</v>
      </c>
      <c r="C293" s="7" t="s">
        <v>44</v>
      </c>
      <c r="D293" s="7" t="s">
        <v>91</v>
      </c>
      <c r="E293" s="7" t="s">
        <v>32</v>
      </c>
      <c r="F293" s="7" t="s">
        <v>86</v>
      </c>
      <c r="G293" s="7" t="s">
        <v>32</v>
      </c>
      <c r="H293" s="7" t="s">
        <v>36</v>
      </c>
      <c r="I293" s="7" t="s">
        <v>36</v>
      </c>
      <c r="J293" s="8">
        <v>1</v>
      </c>
      <c r="K293" s="7" t="s">
        <v>37</v>
      </c>
      <c r="L293" s="8">
        <v>12</v>
      </c>
      <c r="M293" s="7" t="s">
        <v>32</v>
      </c>
      <c r="N293" s="8">
        <v>0</v>
      </c>
      <c r="O293" s="7" t="s">
        <v>32</v>
      </c>
      <c r="P293" s="8">
        <v>0</v>
      </c>
      <c r="Q293" s="9">
        <v>0.93</v>
      </c>
      <c r="R293" s="8">
        <v>0</v>
      </c>
      <c r="S293" s="7" t="s">
        <v>38</v>
      </c>
      <c r="T293" s="8">
        <v>34</v>
      </c>
      <c r="U293" s="8">
        <v>9</v>
      </c>
      <c r="V293" s="9">
        <v>4.5</v>
      </c>
      <c r="W293" s="9">
        <v>1.7210000000000001</v>
      </c>
      <c r="X293" s="9">
        <v>2.8839999999999999</v>
      </c>
      <c r="Y293" s="9">
        <v>0</v>
      </c>
      <c r="Z293" s="17">
        <v>1800000023707</v>
      </c>
      <c r="AA293" s="8">
        <v>364</v>
      </c>
      <c r="AB293" s="8">
        <v>90</v>
      </c>
      <c r="AC293" s="7" t="s">
        <v>47</v>
      </c>
      <c r="AD293" s="11">
        <v>12</v>
      </c>
      <c r="AE293">
        <f t="shared" si="5"/>
        <v>401023</v>
      </c>
    </row>
    <row r="294" spans="1:31" x14ac:dyDescent="0.25">
      <c r="A294" s="7">
        <v>401024</v>
      </c>
      <c r="B294" s="7" t="s">
        <v>487</v>
      </c>
      <c r="C294" s="7" t="s">
        <v>44</v>
      </c>
      <c r="D294" s="7" t="s">
        <v>91</v>
      </c>
      <c r="E294" s="7" t="s">
        <v>32</v>
      </c>
      <c r="F294" s="7" t="s">
        <v>86</v>
      </c>
      <c r="G294" s="7" t="s">
        <v>32</v>
      </c>
      <c r="H294" s="7" t="s">
        <v>36</v>
      </c>
      <c r="I294" s="7" t="s">
        <v>36</v>
      </c>
      <c r="J294" s="8">
        <v>1</v>
      </c>
      <c r="K294" s="7" t="s">
        <v>37</v>
      </c>
      <c r="L294" s="8">
        <v>12</v>
      </c>
      <c r="M294" s="7" t="s">
        <v>32</v>
      </c>
      <c r="N294" s="8">
        <v>0</v>
      </c>
      <c r="O294" s="7" t="s">
        <v>32</v>
      </c>
      <c r="P294" s="8">
        <v>0</v>
      </c>
      <c r="Q294" s="9">
        <v>0.93</v>
      </c>
      <c r="R294" s="8">
        <v>0</v>
      </c>
      <c r="S294" s="7" t="s">
        <v>38</v>
      </c>
      <c r="T294" s="8">
        <v>34</v>
      </c>
      <c r="U294" s="8">
        <v>9</v>
      </c>
      <c r="V294" s="9">
        <v>4.5</v>
      </c>
      <c r="W294" s="9">
        <v>1.746</v>
      </c>
      <c r="X294" s="9">
        <v>2.891</v>
      </c>
      <c r="Y294" s="9">
        <v>0</v>
      </c>
      <c r="Z294" s="17">
        <v>1800000023806</v>
      </c>
      <c r="AA294" s="8">
        <v>364</v>
      </c>
      <c r="AB294" s="8">
        <v>90</v>
      </c>
      <c r="AC294" s="7" t="s">
        <v>47</v>
      </c>
      <c r="AD294" s="11">
        <v>12</v>
      </c>
      <c r="AE294">
        <f t="shared" si="5"/>
        <v>401024</v>
      </c>
    </row>
    <row r="295" spans="1:31" x14ac:dyDescent="0.25">
      <c r="A295" s="7">
        <v>401025</v>
      </c>
      <c r="B295" s="7" t="s">
        <v>488</v>
      </c>
      <c r="C295" s="7" t="s">
        <v>44</v>
      </c>
      <c r="D295" s="7" t="s">
        <v>91</v>
      </c>
      <c r="E295" s="7" t="s">
        <v>32</v>
      </c>
      <c r="F295" s="7" t="s">
        <v>86</v>
      </c>
      <c r="G295" s="7" t="s">
        <v>32</v>
      </c>
      <c r="H295" s="7" t="s">
        <v>36</v>
      </c>
      <c r="I295" s="7" t="s">
        <v>36</v>
      </c>
      <c r="J295" s="8">
        <v>1</v>
      </c>
      <c r="K295" s="7" t="s">
        <v>37</v>
      </c>
      <c r="L295" s="8">
        <v>12</v>
      </c>
      <c r="M295" s="7" t="s">
        <v>32</v>
      </c>
      <c r="N295" s="8">
        <v>0</v>
      </c>
      <c r="O295" s="7" t="s">
        <v>32</v>
      </c>
      <c r="P295" s="8">
        <v>0</v>
      </c>
      <c r="Q295" s="9">
        <v>0.93</v>
      </c>
      <c r="R295" s="8">
        <v>0</v>
      </c>
      <c r="S295" s="7" t="s">
        <v>38</v>
      </c>
      <c r="T295" s="8">
        <v>34</v>
      </c>
      <c r="U295" s="8">
        <v>9</v>
      </c>
      <c r="V295" s="9">
        <v>4.5</v>
      </c>
      <c r="W295" s="9">
        <v>2.0230000000000001</v>
      </c>
      <c r="X295" s="9">
        <v>3.0640000000000001</v>
      </c>
      <c r="Y295" s="9">
        <v>0</v>
      </c>
      <c r="Z295" s="17">
        <v>1800000023905</v>
      </c>
      <c r="AA295" s="8">
        <v>364</v>
      </c>
      <c r="AB295" s="8">
        <v>90</v>
      </c>
      <c r="AC295" s="7" t="s">
        <v>47</v>
      </c>
      <c r="AD295" s="11">
        <v>12</v>
      </c>
      <c r="AE295">
        <f t="shared" si="5"/>
        <v>401025</v>
      </c>
    </row>
    <row r="296" spans="1:31" x14ac:dyDescent="0.25">
      <c r="A296" s="7">
        <v>401026</v>
      </c>
      <c r="B296" s="7" t="s">
        <v>489</v>
      </c>
      <c r="C296" s="7" t="s">
        <v>44</v>
      </c>
      <c r="D296" s="7" t="s">
        <v>91</v>
      </c>
      <c r="E296" s="7" t="s">
        <v>32</v>
      </c>
      <c r="F296" s="7" t="s">
        <v>86</v>
      </c>
      <c r="G296" s="7" t="s">
        <v>32</v>
      </c>
      <c r="H296" s="7" t="s">
        <v>36</v>
      </c>
      <c r="I296" s="7" t="s">
        <v>36</v>
      </c>
      <c r="J296" s="8">
        <v>1</v>
      </c>
      <c r="K296" s="7" t="s">
        <v>37</v>
      </c>
      <c r="L296" s="8">
        <v>12</v>
      </c>
      <c r="M296" s="7" t="s">
        <v>32</v>
      </c>
      <c r="N296" s="8">
        <v>0</v>
      </c>
      <c r="O296" s="7" t="s">
        <v>32</v>
      </c>
      <c r="P296" s="8">
        <v>0</v>
      </c>
      <c r="Q296" s="9">
        <v>0.93</v>
      </c>
      <c r="R296" s="8">
        <v>0</v>
      </c>
      <c r="S296" s="7" t="s">
        <v>38</v>
      </c>
      <c r="T296" s="8">
        <v>34</v>
      </c>
      <c r="U296" s="8">
        <v>9</v>
      </c>
      <c r="V296" s="9">
        <v>4.5</v>
      </c>
      <c r="W296" s="9">
        <v>2.12</v>
      </c>
      <c r="X296" s="9">
        <v>3.169</v>
      </c>
      <c r="Y296" s="9">
        <v>0</v>
      </c>
      <c r="Z296" s="17">
        <v>1800000024001</v>
      </c>
      <c r="AA296" s="8">
        <v>364</v>
      </c>
      <c r="AB296" s="8">
        <v>90</v>
      </c>
      <c r="AC296" s="7" t="s">
        <v>47</v>
      </c>
      <c r="AD296" s="11">
        <v>12</v>
      </c>
      <c r="AE296">
        <f t="shared" si="5"/>
        <v>401026</v>
      </c>
    </row>
    <row r="297" spans="1:31" x14ac:dyDescent="0.25">
      <c r="A297" s="7">
        <v>401027</v>
      </c>
      <c r="B297" s="7" t="s">
        <v>490</v>
      </c>
      <c r="C297" s="7" t="s">
        <v>44</v>
      </c>
      <c r="D297" s="7" t="s">
        <v>91</v>
      </c>
      <c r="E297" s="7" t="s">
        <v>32</v>
      </c>
      <c r="F297" s="7" t="s">
        <v>86</v>
      </c>
      <c r="G297" s="7" t="s">
        <v>32</v>
      </c>
      <c r="H297" s="7" t="s">
        <v>36</v>
      </c>
      <c r="I297" s="7" t="s">
        <v>36</v>
      </c>
      <c r="J297" s="8">
        <v>1</v>
      </c>
      <c r="K297" s="7" t="s">
        <v>37</v>
      </c>
      <c r="L297" s="8">
        <v>12</v>
      </c>
      <c r="M297" s="7" t="s">
        <v>32</v>
      </c>
      <c r="N297" s="8">
        <v>0</v>
      </c>
      <c r="O297" s="7" t="s">
        <v>32</v>
      </c>
      <c r="P297" s="8">
        <v>0</v>
      </c>
      <c r="Q297" s="9">
        <v>0.89</v>
      </c>
      <c r="R297" s="8">
        <v>0</v>
      </c>
      <c r="S297" s="7" t="s">
        <v>38</v>
      </c>
      <c r="T297" s="8">
        <v>34</v>
      </c>
      <c r="U297" s="8">
        <v>9</v>
      </c>
      <c r="V297" s="9">
        <v>4.5</v>
      </c>
      <c r="W297" s="9">
        <v>1.5589999999999999</v>
      </c>
      <c r="X297" s="9">
        <v>2.1909999999999998</v>
      </c>
      <c r="Y297" s="9">
        <v>0</v>
      </c>
      <c r="Z297" s="17">
        <v>1800000024308</v>
      </c>
      <c r="AA297" s="8">
        <v>364</v>
      </c>
      <c r="AB297" s="8">
        <v>90</v>
      </c>
      <c r="AC297" s="7" t="s">
        <v>47</v>
      </c>
      <c r="AD297" s="11">
        <v>12</v>
      </c>
      <c r="AE297">
        <f t="shared" si="5"/>
        <v>401027</v>
      </c>
    </row>
    <row r="298" spans="1:31" x14ac:dyDescent="0.25">
      <c r="A298" s="7">
        <v>401028</v>
      </c>
      <c r="B298" s="7" t="s">
        <v>491</v>
      </c>
      <c r="C298" s="7" t="s">
        <v>44</v>
      </c>
      <c r="D298" s="7" t="s">
        <v>91</v>
      </c>
      <c r="E298" s="7" t="s">
        <v>32</v>
      </c>
      <c r="F298" s="7" t="s">
        <v>86</v>
      </c>
      <c r="G298" s="7" t="s">
        <v>32</v>
      </c>
      <c r="H298" s="7" t="s">
        <v>36</v>
      </c>
      <c r="I298" s="7" t="s">
        <v>36</v>
      </c>
      <c r="J298" s="8">
        <v>1</v>
      </c>
      <c r="K298" s="7" t="s">
        <v>37</v>
      </c>
      <c r="L298" s="8">
        <v>12</v>
      </c>
      <c r="M298" s="7" t="s">
        <v>32</v>
      </c>
      <c r="N298" s="8">
        <v>0</v>
      </c>
      <c r="O298" s="7" t="s">
        <v>32</v>
      </c>
      <c r="P298" s="8">
        <v>0</v>
      </c>
      <c r="Q298" s="9">
        <v>0.89</v>
      </c>
      <c r="R298" s="8">
        <v>0</v>
      </c>
      <c r="S298" s="7" t="s">
        <v>38</v>
      </c>
      <c r="T298" s="8">
        <v>34</v>
      </c>
      <c r="U298" s="8">
        <v>9</v>
      </c>
      <c r="V298" s="9">
        <v>4.5</v>
      </c>
      <c r="W298" s="9">
        <v>1.5589999999999999</v>
      </c>
      <c r="X298" s="9">
        <v>2.1909999999999998</v>
      </c>
      <c r="Y298" s="9">
        <v>0</v>
      </c>
      <c r="Z298" s="17">
        <v>1800000024407</v>
      </c>
      <c r="AA298" s="8">
        <v>364</v>
      </c>
      <c r="AB298" s="8">
        <v>90</v>
      </c>
      <c r="AC298" s="7" t="s">
        <v>47</v>
      </c>
      <c r="AD298" s="11">
        <v>12</v>
      </c>
      <c r="AE298">
        <f t="shared" si="5"/>
        <v>401028</v>
      </c>
    </row>
    <row r="299" spans="1:31" x14ac:dyDescent="0.25">
      <c r="A299" s="7">
        <v>404560</v>
      </c>
      <c r="B299" s="7" t="s">
        <v>492</v>
      </c>
      <c r="C299" s="7" t="s">
        <v>175</v>
      </c>
      <c r="D299" s="7" t="s">
        <v>91</v>
      </c>
      <c r="E299" s="7" t="s">
        <v>32</v>
      </c>
      <c r="F299" s="7" t="s">
        <v>86</v>
      </c>
      <c r="G299" s="7" t="s">
        <v>32</v>
      </c>
      <c r="H299" s="7" t="s">
        <v>36</v>
      </c>
      <c r="I299" s="7" t="s">
        <v>36</v>
      </c>
      <c r="J299" s="8">
        <v>1</v>
      </c>
      <c r="K299" s="7" t="s">
        <v>37</v>
      </c>
      <c r="L299" s="8">
        <v>6</v>
      </c>
      <c r="M299" s="7" t="s">
        <v>32</v>
      </c>
      <c r="N299" s="8">
        <v>0</v>
      </c>
      <c r="O299" s="7" t="s">
        <v>32</v>
      </c>
      <c r="P299" s="8">
        <v>0</v>
      </c>
      <c r="Q299" s="9">
        <v>0.8</v>
      </c>
      <c r="R299" s="8">
        <v>0</v>
      </c>
      <c r="S299" s="7" t="s">
        <v>38</v>
      </c>
      <c r="T299" s="9">
        <v>21.5</v>
      </c>
      <c r="U299" s="9">
        <v>21.5</v>
      </c>
      <c r="V299" s="9">
        <v>21.5</v>
      </c>
      <c r="W299" s="9">
        <v>0.91200000000000003</v>
      </c>
      <c r="X299" s="9">
        <v>1.143</v>
      </c>
      <c r="Y299" s="9">
        <v>0</v>
      </c>
      <c r="Z299" s="17">
        <v>1800000024902</v>
      </c>
      <c r="AA299" s="8">
        <v>540</v>
      </c>
      <c r="AB299" s="8">
        <v>90</v>
      </c>
      <c r="AC299" s="7" t="s">
        <v>178</v>
      </c>
      <c r="AD299" s="11">
        <v>6</v>
      </c>
      <c r="AE299">
        <f t="shared" si="5"/>
        <v>404560</v>
      </c>
    </row>
    <row r="300" spans="1:31" x14ac:dyDescent="0.25">
      <c r="A300" s="7">
        <v>404576</v>
      </c>
      <c r="B300" s="7" t="s">
        <v>493</v>
      </c>
      <c r="C300" s="7" t="s">
        <v>232</v>
      </c>
      <c r="D300" s="7" t="s">
        <v>91</v>
      </c>
      <c r="E300" s="7" t="s">
        <v>32</v>
      </c>
      <c r="F300" s="7" t="s">
        <v>86</v>
      </c>
      <c r="G300" s="7" t="s">
        <v>32</v>
      </c>
      <c r="H300" s="7" t="s">
        <v>36</v>
      </c>
      <c r="I300" s="7" t="s">
        <v>36</v>
      </c>
      <c r="J300" s="8">
        <v>1</v>
      </c>
      <c r="K300" s="7" t="s">
        <v>37</v>
      </c>
      <c r="L300" s="8">
        <v>12</v>
      </c>
      <c r="M300" s="7" t="s">
        <v>32</v>
      </c>
      <c r="N300" s="8">
        <v>0</v>
      </c>
      <c r="O300" s="7" t="s">
        <v>32</v>
      </c>
      <c r="P300" s="8">
        <v>0</v>
      </c>
      <c r="Q300" s="9">
        <v>0.5</v>
      </c>
      <c r="R300" s="8">
        <v>0</v>
      </c>
      <c r="S300" s="7" t="s">
        <v>38</v>
      </c>
      <c r="T300" s="8">
        <v>7</v>
      </c>
      <c r="U300" s="8">
        <v>8</v>
      </c>
      <c r="V300" s="8">
        <v>23</v>
      </c>
      <c r="W300" s="9">
        <v>1.4019999999999999</v>
      </c>
      <c r="X300" s="9">
        <v>1.9</v>
      </c>
      <c r="Y300" s="9">
        <v>0</v>
      </c>
      <c r="Z300" s="17">
        <v>1800000024704</v>
      </c>
      <c r="AA300" s="8">
        <v>730</v>
      </c>
      <c r="AB300" s="8">
        <v>90</v>
      </c>
      <c r="AC300" s="7" t="s">
        <v>146</v>
      </c>
      <c r="AD300" s="11">
        <v>12</v>
      </c>
      <c r="AE300">
        <f t="shared" si="5"/>
        <v>404576</v>
      </c>
    </row>
    <row r="301" spans="1:31" x14ac:dyDescent="0.25">
      <c r="A301" s="7">
        <v>404577</v>
      </c>
      <c r="B301" s="7" t="s">
        <v>494</v>
      </c>
      <c r="C301" s="7" t="s">
        <v>232</v>
      </c>
      <c r="D301" s="7" t="s">
        <v>91</v>
      </c>
      <c r="E301" s="7" t="s">
        <v>32</v>
      </c>
      <c r="F301" s="7" t="s">
        <v>86</v>
      </c>
      <c r="G301" s="7" t="s">
        <v>32</v>
      </c>
      <c r="H301" s="7" t="s">
        <v>36</v>
      </c>
      <c r="I301" s="7" t="s">
        <v>36</v>
      </c>
      <c r="J301" s="8">
        <v>1</v>
      </c>
      <c r="K301" s="7" t="s">
        <v>37</v>
      </c>
      <c r="L301" s="8">
        <v>6</v>
      </c>
      <c r="M301" s="7" t="s">
        <v>32</v>
      </c>
      <c r="N301" s="8">
        <v>0</v>
      </c>
      <c r="O301" s="7" t="s">
        <v>32</v>
      </c>
      <c r="P301" s="8">
        <v>0</v>
      </c>
      <c r="Q301" s="9">
        <v>0.33</v>
      </c>
      <c r="R301" s="8">
        <v>0</v>
      </c>
      <c r="S301" s="7" t="s">
        <v>38</v>
      </c>
      <c r="T301" s="8">
        <v>13</v>
      </c>
      <c r="U301" s="8">
        <v>6</v>
      </c>
      <c r="V301" s="8">
        <v>19</v>
      </c>
      <c r="W301" s="9">
        <v>1</v>
      </c>
      <c r="X301" s="9">
        <v>1.35</v>
      </c>
      <c r="Y301" s="9">
        <v>0</v>
      </c>
      <c r="Z301" s="17">
        <v>180000024803</v>
      </c>
      <c r="AA301" s="8">
        <v>456</v>
      </c>
      <c r="AB301" s="8">
        <v>90</v>
      </c>
      <c r="AC301" s="7" t="s">
        <v>146</v>
      </c>
      <c r="AD301" s="11">
        <v>6</v>
      </c>
      <c r="AE301">
        <f t="shared" si="5"/>
        <v>404577</v>
      </c>
    </row>
    <row r="302" spans="1:31" x14ac:dyDescent="0.25">
      <c r="A302" s="7">
        <v>407977</v>
      </c>
      <c r="B302" s="7" t="s">
        <v>495</v>
      </c>
      <c r="C302" s="7" t="s">
        <v>175</v>
      </c>
      <c r="D302" s="7" t="s">
        <v>91</v>
      </c>
      <c r="E302" s="7" t="s">
        <v>32</v>
      </c>
      <c r="F302" s="7" t="s">
        <v>86</v>
      </c>
      <c r="G302" s="7" t="s">
        <v>32</v>
      </c>
      <c r="H302" s="7" t="s">
        <v>36</v>
      </c>
      <c r="I302" s="7" t="s">
        <v>36</v>
      </c>
      <c r="J302" s="8">
        <v>1</v>
      </c>
      <c r="K302" s="7" t="s">
        <v>37</v>
      </c>
      <c r="L302" s="8">
        <v>12</v>
      </c>
      <c r="M302" s="7" t="s">
        <v>32</v>
      </c>
      <c r="N302" s="8">
        <v>0</v>
      </c>
      <c r="O302" s="7" t="s">
        <v>32</v>
      </c>
      <c r="P302" s="8">
        <v>0</v>
      </c>
      <c r="Q302" s="8">
        <v>0</v>
      </c>
      <c r="R302" s="8">
        <v>0</v>
      </c>
      <c r="S302" s="7" t="s">
        <v>38</v>
      </c>
      <c r="T302" s="8">
        <v>0</v>
      </c>
      <c r="U302" s="8">
        <v>0</v>
      </c>
      <c r="V302" s="8">
        <v>0</v>
      </c>
      <c r="W302" s="9">
        <v>0.39900000000000002</v>
      </c>
      <c r="X302" s="9">
        <v>0.5</v>
      </c>
      <c r="Y302" s="9">
        <v>0</v>
      </c>
      <c r="Z302" s="17">
        <v>1800000001163</v>
      </c>
      <c r="AA302" s="8">
        <v>540</v>
      </c>
      <c r="AB302" s="8">
        <v>90</v>
      </c>
      <c r="AC302" s="7" t="s">
        <v>178</v>
      </c>
      <c r="AD302" s="11">
        <v>12</v>
      </c>
      <c r="AE302">
        <f t="shared" si="5"/>
        <v>407977</v>
      </c>
    </row>
    <row r="303" spans="1:31" x14ac:dyDescent="0.25">
      <c r="A303" s="7">
        <v>316242</v>
      </c>
      <c r="B303" s="7" t="s">
        <v>496</v>
      </c>
      <c r="C303" s="7" t="s">
        <v>196</v>
      </c>
      <c r="D303" s="7" t="s">
        <v>32</v>
      </c>
      <c r="E303" s="7" t="s">
        <v>32</v>
      </c>
      <c r="F303" s="7" t="s">
        <v>34</v>
      </c>
      <c r="G303" s="7" t="s">
        <v>32</v>
      </c>
      <c r="H303" s="7" t="s">
        <v>36</v>
      </c>
      <c r="I303" s="7" t="s">
        <v>36</v>
      </c>
      <c r="J303" s="8">
        <v>1</v>
      </c>
      <c r="K303" s="7" t="s">
        <v>37</v>
      </c>
      <c r="L303" s="8">
        <v>6</v>
      </c>
      <c r="M303" s="7" t="s">
        <v>32</v>
      </c>
      <c r="N303" s="8">
        <v>0</v>
      </c>
      <c r="O303" s="7" t="s">
        <v>32</v>
      </c>
      <c r="P303" s="8">
        <v>0</v>
      </c>
      <c r="Q303" s="9">
        <v>0.25</v>
      </c>
      <c r="R303" s="8">
        <v>0</v>
      </c>
      <c r="S303" s="7" t="s">
        <v>38</v>
      </c>
      <c r="T303" s="8">
        <v>15</v>
      </c>
      <c r="U303" s="8">
        <v>8</v>
      </c>
      <c r="V303" s="8">
        <v>19</v>
      </c>
      <c r="W303" s="9">
        <v>1</v>
      </c>
      <c r="X303" s="9">
        <v>1.3340000000000001</v>
      </c>
      <c r="Y303" s="9">
        <v>0</v>
      </c>
      <c r="Z303" s="17">
        <v>8410175065414</v>
      </c>
      <c r="AA303" s="8">
        <v>365</v>
      </c>
      <c r="AB303" s="8">
        <v>90</v>
      </c>
      <c r="AC303" s="7" t="s">
        <v>182</v>
      </c>
      <c r="AD303" s="11">
        <v>6</v>
      </c>
      <c r="AE303">
        <f t="shared" si="5"/>
        <v>316242</v>
      </c>
    </row>
    <row r="304" spans="1:31" x14ac:dyDescent="0.25">
      <c r="A304" s="7">
        <v>316243</v>
      </c>
      <c r="B304" s="7" t="s">
        <v>497</v>
      </c>
      <c r="C304" s="7" t="s">
        <v>196</v>
      </c>
      <c r="D304" s="7" t="s">
        <v>32</v>
      </c>
      <c r="E304" s="7" t="s">
        <v>32</v>
      </c>
      <c r="F304" s="7" t="s">
        <v>34</v>
      </c>
      <c r="G304" s="7" t="s">
        <v>32</v>
      </c>
      <c r="H304" s="7" t="s">
        <v>36</v>
      </c>
      <c r="I304" s="7" t="s">
        <v>36</v>
      </c>
      <c r="J304" s="8">
        <v>1</v>
      </c>
      <c r="K304" s="7" t="s">
        <v>37</v>
      </c>
      <c r="L304" s="8">
        <v>6</v>
      </c>
      <c r="M304" s="7" t="s">
        <v>32</v>
      </c>
      <c r="N304" s="8">
        <v>0</v>
      </c>
      <c r="O304" s="7" t="s">
        <v>32</v>
      </c>
      <c r="P304" s="8">
        <v>0</v>
      </c>
      <c r="Q304" s="9">
        <v>0.25</v>
      </c>
      <c r="R304" s="8">
        <v>0</v>
      </c>
      <c r="S304" s="7" t="s">
        <v>38</v>
      </c>
      <c r="T304" s="8">
        <v>15</v>
      </c>
      <c r="U304" s="8">
        <v>8</v>
      </c>
      <c r="V304" s="8">
        <v>19</v>
      </c>
      <c r="W304" s="9">
        <v>1</v>
      </c>
      <c r="X304" s="9">
        <v>1.3340000000000001</v>
      </c>
      <c r="Y304" s="9">
        <v>0</v>
      </c>
      <c r="Z304" s="17">
        <v>6221024992919</v>
      </c>
      <c r="AA304" s="8">
        <v>365</v>
      </c>
      <c r="AB304" s="8">
        <v>90</v>
      </c>
      <c r="AC304" s="7" t="s">
        <v>182</v>
      </c>
      <c r="AD304" s="11">
        <v>6</v>
      </c>
      <c r="AE304">
        <f t="shared" si="5"/>
        <v>316243</v>
      </c>
    </row>
    <row r="305" spans="1:31" x14ac:dyDescent="0.25">
      <c r="A305">
        <v>95230</v>
      </c>
      <c r="B305" t="s">
        <v>498</v>
      </c>
      <c r="C305" t="s">
        <v>499</v>
      </c>
      <c r="E305" t="s">
        <v>500</v>
      </c>
      <c r="F305" t="s">
        <v>34</v>
      </c>
      <c r="H305" t="s">
        <v>177</v>
      </c>
      <c r="I305" t="s">
        <v>36</v>
      </c>
      <c r="J305">
        <v>1</v>
      </c>
      <c r="K305" t="s">
        <v>37</v>
      </c>
      <c r="L305">
        <v>12</v>
      </c>
      <c r="M305" t="s">
        <v>177</v>
      </c>
      <c r="N305">
        <v>1</v>
      </c>
      <c r="O305" t="s">
        <v>93</v>
      </c>
      <c r="P305" s="12">
        <v>2500</v>
      </c>
      <c r="Q305">
        <v>0.61</v>
      </c>
      <c r="R305">
        <v>0.4</v>
      </c>
      <c r="S305" t="s">
        <v>38</v>
      </c>
      <c r="T305">
        <v>9</v>
      </c>
      <c r="U305">
        <v>9</v>
      </c>
      <c r="V305">
        <v>7.5</v>
      </c>
      <c r="W305">
        <v>0</v>
      </c>
      <c r="X305">
        <v>1.4650000000000001</v>
      </c>
      <c r="Y305">
        <v>0</v>
      </c>
      <c r="Z305" s="19">
        <v>9501047211417</v>
      </c>
      <c r="AA305">
        <v>365</v>
      </c>
      <c r="AB305">
        <v>30</v>
      </c>
      <c r="AC305" t="s">
        <v>88</v>
      </c>
      <c r="AD305">
        <v>12</v>
      </c>
      <c r="AE305">
        <f t="shared" si="5"/>
        <v>95230</v>
      </c>
    </row>
    <row r="306" spans="1:31" x14ac:dyDescent="0.25">
      <c r="A306">
        <v>95240</v>
      </c>
      <c r="B306" t="s">
        <v>501</v>
      </c>
      <c r="C306" t="s">
        <v>499</v>
      </c>
      <c r="E306" t="s">
        <v>502</v>
      </c>
      <c r="F306" t="s">
        <v>34</v>
      </c>
      <c r="H306" t="s">
        <v>145</v>
      </c>
      <c r="I306" t="s">
        <v>145</v>
      </c>
      <c r="J306">
        <v>1</v>
      </c>
      <c r="K306" t="s">
        <v>36</v>
      </c>
      <c r="L306">
        <v>1</v>
      </c>
      <c r="M306" t="s">
        <v>37</v>
      </c>
      <c r="N306">
        <v>12</v>
      </c>
      <c r="O306" t="s">
        <v>93</v>
      </c>
      <c r="P306" s="12">
        <v>2500</v>
      </c>
      <c r="Q306">
        <v>0.61</v>
      </c>
      <c r="R306">
        <v>0.4</v>
      </c>
      <c r="S306" t="s">
        <v>38</v>
      </c>
      <c r="T306">
        <v>19</v>
      </c>
      <c r="U306">
        <v>19</v>
      </c>
      <c r="V306">
        <v>7.5</v>
      </c>
      <c r="W306">
        <v>1.173</v>
      </c>
      <c r="X306">
        <v>1.466</v>
      </c>
      <c r="Y306">
        <v>0</v>
      </c>
      <c r="Z306" s="19">
        <v>9501047221416</v>
      </c>
      <c r="AA306">
        <v>365</v>
      </c>
      <c r="AB306">
        <v>30</v>
      </c>
      <c r="AC306" t="s">
        <v>88</v>
      </c>
      <c r="AD306">
        <v>12</v>
      </c>
      <c r="AE306">
        <f t="shared" si="5"/>
        <v>95240</v>
      </c>
    </row>
    <row r="307" spans="1:31" x14ac:dyDescent="0.25">
      <c r="A307">
        <v>95814</v>
      </c>
      <c r="B307" t="s">
        <v>503</v>
      </c>
      <c r="C307" t="s">
        <v>504</v>
      </c>
      <c r="E307" t="s">
        <v>505</v>
      </c>
      <c r="F307" t="s">
        <v>34</v>
      </c>
      <c r="H307" t="s">
        <v>177</v>
      </c>
      <c r="I307" t="s">
        <v>145</v>
      </c>
      <c r="J307">
        <v>12</v>
      </c>
      <c r="K307" t="s">
        <v>36</v>
      </c>
      <c r="L307">
        <v>1</v>
      </c>
      <c r="M307" t="s">
        <v>37</v>
      </c>
      <c r="N307">
        <v>48</v>
      </c>
      <c r="O307" t="s">
        <v>177</v>
      </c>
      <c r="P307">
        <v>1</v>
      </c>
      <c r="Q307">
        <v>0.62</v>
      </c>
      <c r="R307">
        <v>0.05</v>
      </c>
      <c r="S307" t="s">
        <v>38</v>
      </c>
      <c r="T307">
        <v>31</v>
      </c>
      <c r="U307">
        <v>18</v>
      </c>
      <c r="V307">
        <v>4</v>
      </c>
      <c r="W307">
        <v>4.7E-2</v>
      </c>
      <c r="X307">
        <v>5.8000000000000003E-2</v>
      </c>
      <c r="Y307">
        <v>0</v>
      </c>
      <c r="Z307" s="19">
        <v>6291007700039</v>
      </c>
      <c r="AA307">
        <v>365</v>
      </c>
      <c r="AB307">
        <v>30</v>
      </c>
      <c r="AC307" t="s">
        <v>88</v>
      </c>
      <c r="AD307">
        <v>48</v>
      </c>
      <c r="AE307">
        <f t="shared" si="5"/>
        <v>95814</v>
      </c>
    </row>
    <row r="308" spans="1:31" x14ac:dyDescent="0.25">
      <c r="A308">
        <v>95816</v>
      </c>
      <c r="B308" t="s">
        <v>506</v>
      </c>
      <c r="C308" t="s">
        <v>504</v>
      </c>
      <c r="E308" t="s">
        <v>507</v>
      </c>
      <c r="F308" t="s">
        <v>34</v>
      </c>
      <c r="H308" t="s">
        <v>177</v>
      </c>
      <c r="I308" t="s">
        <v>145</v>
      </c>
      <c r="J308">
        <v>12</v>
      </c>
      <c r="K308" t="s">
        <v>36</v>
      </c>
      <c r="L308">
        <v>1</v>
      </c>
      <c r="M308" t="s">
        <v>37</v>
      </c>
      <c r="N308">
        <v>48</v>
      </c>
      <c r="O308" t="s">
        <v>177</v>
      </c>
      <c r="P308">
        <v>1</v>
      </c>
      <c r="Q308">
        <v>0.05</v>
      </c>
      <c r="R308">
        <v>0.05</v>
      </c>
      <c r="S308" t="s">
        <v>38</v>
      </c>
      <c r="T308">
        <v>5</v>
      </c>
      <c r="U308">
        <v>4</v>
      </c>
      <c r="V308">
        <v>8</v>
      </c>
      <c r="W308">
        <v>4.7E-2</v>
      </c>
      <c r="X308">
        <v>5.8000000000000003E-2</v>
      </c>
      <c r="Y308">
        <v>0</v>
      </c>
      <c r="Z308" s="19">
        <v>6291007700227</v>
      </c>
      <c r="AA308">
        <v>365</v>
      </c>
      <c r="AB308">
        <v>30</v>
      </c>
      <c r="AC308" t="s">
        <v>88</v>
      </c>
      <c r="AD308">
        <v>48</v>
      </c>
      <c r="AE308">
        <f t="shared" si="5"/>
        <v>95816</v>
      </c>
    </row>
    <row r="309" spans="1:31" x14ac:dyDescent="0.25">
      <c r="A309">
        <v>95891</v>
      </c>
      <c r="B309" t="s">
        <v>508</v>
      </c>
      <c r="C309" t="s">
        <v>509</v>
      </c>
      <c r="E309" t="s">
        <v>510</v>
      </c>
      <c r="F309" t="s">
        <v>34</v>
      </c>
      <c r="H309" t="s">
        <v>177</v>
      </c>
      <c r="I309" t="s">
        <v>36</v>
      </c>
      <c r="J309">
        <v>1</v>
      </c>
      <c r="K309" t="s">
        <v>37</v>
      </c>
      <c r="L309">
        <v>30</v>
      </c>
      <c r="M309" t="s">
        <v>177</v>
      </c>
      <c r="N309">
        <v>1</v>
      </c>
      <c r="O309" t="s">
        <v>93</v>
      </c>
      <c r="P309" s="12">
        <v>22222</v>
      </c>
      <c r="Q309">
        <v>0.11</v>
      </c>
      <c r="R309">
        <v>0.1</v>
      </c>
      <c r="S309" t="s">
        <v>38</v>
      </c>
      <c r="T309">
        <v>6</v>
      </c>
      <c r="U309">
        <v>4</v>
      </c>
      <c r="V309">
        <v>10</v>
      </c>
      <c r="W309">
        <v>0.128</v>
      </c>
      <c r="X309">
        <v>0.16</v>
      </c>
      <c r="Y309">
        <v>0</v>
      </c>
      <c r="Z309" s="19">
        <v>6291007901108</v>
      </c>
      <c r="AA309">
        <v>365</v>
      </c>
      <c r="AB309">
        <v>30</v>
      </c>
      <c r="AC309" t="s">
        <v>88</v>
      </c>
      <c r="AD309">
        <v>30</v>
      </c>
      <c r="AE309">
        <f t="shared" si="5"/>
        <v>95891</v>
      </c>
    </row>
    <row r="310" spans="1:31" x14ac:dyDescent="0.25">
      <c r="A310">
        <v>95894</v>
      </c>
      <c r="B310" t="s">
        <v>511</v>
      </c>
      <c r="C310" t="s">
        <v>509</v>
      </c>
      <c r="E310" t="s">
        <v>512</v>
      </c>
      <c r="F310" t="s">
        <v>34</v>
      </c>
      <c r="H310" t="s">
        <v>177</v>
      </c>
      <c r="I310" t="s">
        <v>36</v>
      </c>
      <c r="J310">
        <v>1</v>
      </c>
      <c r="K310" t="s">
        <v>37</v>
      </c>
      <c r="L310">
        <v>24</v>
      </c>
      <c r="M310" t="s">
        <v>177</v>
      </c>
      <c r="N310">
        <v>1</v>
      </c>
      <c r="O310" t="s">
        <v>93</v>
      </c>
      <c r="P310" s="12">
        <v>22222</v>
      </c>
      <c r="Q310">
        <v>0.08</v>
      </c>
      <c r="R310">
        <v>7.0999999999999994E-2</v>
      </c>
      <c r="S310" t="s">
        <v>38</v>
      </c>
      <c r="T310">
        <v>16</v>
      </c>
      <c r="U310">
        <v>4</v>
      </c>
      <c r="V310">
        <v>4</v>
      </c>
      <c r="W310">
        <v>0.128</v>
      </c>
      <c r="X310">
        <v>0.16</v>
      </c>
      <c r="Y310">
        <v>0</v>
      </c>
      <c r="Z310" s="19">
        <v>6291007901092</v>
      </c>
      <c r="AA310">
        <v>365</v>
      </c>
      <c r="AB310">
        <v>30</v>
      </c>
      <c r="AC310" t="s">
        <v>88</v>
      </c>
      <c r="AD310">
        <v>24</v>
      </c>
      <c r="AE310">
        <f t="shared" si="5"/>
        <v>95894</v>
      </c>
    </row>
    <row r="311" spans="1:31" x14ac:dyDescent="0.25">
      <c r="A311">
        <v>111203</v>
      </c>
      <c r="B311" t="s">
        <v>513</v>
      </c>
      <c r="C311" t="s">
        <v>509</v>
      </c>
      <c r="F311" t="s">
        <v>34</v>
      </c>
      <c r="H311" t="s">
        <v>36</v>
      </c>
      <c r="I311" t="s">
        <v>36</v>
      </c>
      <c r="J311">
        <v>1</v>
      </c>
      <c r="K311" t="s">
        <v>37</v>
      </c>
      <c r="L311">
        <v>12</v>
      </c>
      <c r="N311">
        <v>0</v>
      </c>
      <c r="P311">
        <v>0</v>
      </c>
      <c r="Q311">
        <v>0.46</v>
      </c>
      <c r="R311">
        <v>0.4</v>
      </c>
      <c r="S311" t="s">
        <v>38</v>
      </c>
      <c r="T311">
        <v>7.5</v>
      </c>
      <c r="U311">
        <v>7.5</v>
      </c>
      <c r="V311">
        <v>21</v>
      </c>
      <c r="W311">
        <v>0.68</v>
      </c>
      <c r="X311">
        <v>0.85</v>
      </c>
      <c r="Y311">
        <v>0</v>
      </c>
      <c r="Z311" s="19">
        <v>8901063151024</v>
      </c>
      <c r="AA311">
        <v>364</v>
      </c>
      <c r="AB311">
        <v>30</v>
      </c>
      <c r="AC311" t="s">
        <v>88</v>
      </c>
      <c r="AD311">
        <v>12</v>
      </c>
      <c r="AE311">
        <f t="shared" si="5"/>
        <v>111203</v>
      </c>
    </row>
    <row r="312" spans="1:31" x14ac:dyDescent="0.25">
      <c r="A312">
        <v>164458</v>
      </c>
      <c r="B312" t="s">
        <v>514</v>
      </c>
      <c r="C312" t="s">
        <v>509</v>
      </c>
      <c r="D312" t="s">
        <v>91</v>
      </c>
      <c r="E312">
        <v>95897</v>
      </c>
      <c r="F312" t="s">
        <v>34</v>
      </c>
      <c r="H312" t="s">
        <v>87</v>
      </c>
      <c r="I312" t="s">
        <v>36</v>
      </c>
      <c r="J312">
        <v>1</v>
      </c>
      <c r="K312" t="s">
        <v>37</v>
      </c>
      <c r="L312">
        <v>8</v>
      </c>
      <c r="M312" t="s">
        <v>87</v>
      </c>
      <c r="N312">
        <v>1</v>
      </c>
      <c r="O312" t="s">
        <v>93</v>
      </c>
      <c r="P312" s="12">
        <v>23474</v>
      </c>
      <c r="Q312">
        <v>0.43</v>
      </c>
      <c r="R312">
        <v>0.42599999999999999</v>
      </c>
      <c r="S312" t="s">
        <v>38</v>
      </c>
      <c r="T312">
        <v>15</v>
      </c>
      <c r="U312">
        <v>14</v>
      </c>
      <c r="V312">
        <v>30</v>
      </c>
      <c r="W312">
        <v>0.71699999999999997</v>
      </c>
      <c r="X312">
        <v>0.89700000000000002</v>
      </c>
      <c r="Y312">
        <v>0</v>
      </c>
      <c r="Z312" s="19">
        <v>6291007901566</v>
      </c>
      <c r="AA312">
        <v>365</v>
      </c>
      <c r="AB312">
        <v>30</v>
      </c>
      <c r="AC312" t="s">
        <v>88</v>
      </c>
      <c r="AD312">
        <v>8</v>
      </c>
      <c r="AE312">
        <f t="shared" si="5"/>
        <v>164458</v>
      </c>
    </row>
    <row r="313" spans="1:31" x14ac:dyDescent="0.25">
      <c r="A313">
        <v>164459</v>
      </c>
      <c r="B313" t="s">
        <v>515</v>
      </c>
      <c r="C313" t="s">
        <v>504</v>
      </c>
      <c r="E313">
        <v>95900</v>
      </c>
      <c r="F313" t="s">
        <v>34</v>
      </c>
      <c r="H313" t="s">
        <v>177</v>
      </c>
      <c r="I313" t="s">
        <v>36</v>
      </c>
      <c r="J313">
        <v>1</v>
      </c>
      <c r="K313" t="s">
        <v>37</v>
      </c>
      <c r="L313">
        <v>48</v>
      </c>
      <c r="M313" t="s">
        <v>177</v>
      </c>
      <c r="N313">
        <v>1</v>
      </c>
      <c r="P313">
        <v>0</v>
      </c>
      <c r="Q313">
        <v>0.05</v>
      </c>
      <c r="R313">
        <v>0.05</v>
      </c>
      <c r="S313" t="s">
        <v>38</v>
      </c>
      <c r="T313">
        <v>9</v>
      </c>
      <c r="U313">
        <v>3</v>
      </c>
      <c r="V313">
        <v>5</v>
      </c>
      <c r="W313">
        <v>3.4000000000000002E-2</v>
      </c>
      <c r="X313">
        <v>4.2999999999999997E-2</v>
      </c>
      <c r="Y313">
        <v>0</v>
      </c>
      <c r="Z313" s="20">
        <v>6291007700015</v>
      </c>
      <c r="AA313">
        <v>365</v>
      </c>
      <c r="AB313">
        <v>30</v>
      </c>
      <c r="AC313" t="s">
        <v>88</v>
      </c>
      <c r="AD313">
        <v>48</v>
      </c>
      <c r="AE313">
        <f t="shared" si="5"/>
        <v>164459</v>
      </c>
    </row>
    <row r="314" spans="1:31" x14ac:dyDescent="0.25">
      <c r="A314">
        <v>164460</v>
      </c>
      <c r="B314" t="s">
        <v>516</v>
      </c>
      <c r="C314" t="s">
        <v>504</v>
      </c>
      <c r="D314" t="s">
        <v>91</v>
      </c>
      <c r="E314">
        <v>95901</v>
      </c>
      <c r="F314" t="s">
        <v>34</v>
      </c>
      <c r="H314" t="s">
        <v>177</v>
      </c>
      <c r="I314" t="s">
        <v>145</v>
      </c>
      <c r="J314">
        <v>4</v>
      </c>
      <c r="K314" t="s">
        <v>36</v>
      </c>
      <c r="L314">
        <v>1</v>
      </c>
      <c r="M314" t="s">
        <v>37</v>
      </c>
      <c r="N314">
        <v>48</v>
      </c>
      <c r="O314" t="s">
        <v>177</v>
      </c>
      <c r="P314">
        <v>1</v>
      </c>
      <c r="Q314">
        <v>0.05</v>
      </c>
      <c r="R314">
        <v>0.05</v>
      </c>
      <c r="S314" t="s">
        <v>38</v>
      </c>
      <c r="T314">
        <v>8</v>
      </c>
      <c r="U314">
        <v>3</v>
      </c>
      <c r="V314">
        <v>5</v>
      </c>
      <c r="W314">
        <v>3.4000000000000002E-2</v>
      </c>
      <c r="X314">
        <v>4.2999999999999997E-2</v>
      </c>
      <c r="Y314">
        <v>0</v>
      </c>
      <c r="Z314" s="20">
        <v>6291007700039</v>
      </c>
      <c r="AA314">
        <v>365</v>
      </c>
      <c r="AB314">
        <v>30</v>
      </c>
      <c r="AC314" t="s">
        <v>88</v>
      </c>
      <c r="AD314">
        <v>48</v>
      </c>
      <c r="AE314">
        <f t="shared" si="5"/>
        <v>164460</v>
      </c>
    </row>
    <row r="315" spans="1:31" x14ac:dyDescent="0.25">
      <c r="A315">
        <v>164461</v>
      </c>
      <c r="B315" t="s">
        <v>517</v>
      </c>
      <c r="C315" t="s">
        <v>504</v>
      </c>
      <c r="E315">
        <v>95902</v>
      </c>
      <c r="F315" t="s">
        <v>34</v>
      </c>
      <c r="H315" t="s">
        <v>177</v>
      </c>
      <c r="I315" t="s">
        <v>145</v>
      </c>
      <c r="J315">
        <v>4</v>
      </c>
      <c r="K315" t="s">
        <v>36</v>
      </c>
      <c r="L315">
        <v>1</v>
      </c>
      <c r="M315" t="s">
        <v>37</v>
      </c>
      <c r="N315">
        <v>48</v>
      </c>
      <c r="O315" t="s">
        <v>177</v>
      </c>
      <c r="P315">
        <v>1</v>
      </c>
      <c r="Q315">
        <v>0.05</v>
      </c>
      <c r="R315">
        <v>0.05</v>
      </c>
      <c r="S315" t="s">
        <v>38</v>
      </c>
      <c r="T315">
        <v>8</v>
      </c>
      <c r="U315">
        <v>3</v>
      </c>
      <c r="V315">
        <v>5</v>
      </c>
      <c r="W315">
        <v>3.4000000000000002E-2</v>
      </c>
      <c r="X315">
        <v>4.2999999999999997E-2</v>
      </c>
      <c r="Y315">
        <v>0</v>
      </c>
      <c r="Z315" s="20">
        <v>6291007700227</v>
      </c>
      <c r="AA315">
        <v>365</v>
      </c>
      <c r="AB315">
        <v>30</v>
      </c>
      <c r="AC315" t="s">
        <v>88</v>
      </c>
      <c r="AD315">
        <v>48</v>
      </c>
      <c r="AE315">
        <f t="shared" si="5"/>
        <v>164461</v>
      </c>
    </row>
    <row r="316" spans="1:31" x14ac:dyDescent="0.25">
      <c r="A316">
        <v>164462</v>
      </c>
      <c r="B316" t="s">
        <v>518</v>
      </c>
      <c r="C316" t="s">
        <v>504</v>
      </c>
      <c r="E316">
        <v>95903</v>
      </c>
      <c r="F316" t="s">
        <v>34</v>
      </c>
      <c r="H316" t="s">
        <v>177</v>
      </c>
      <c r="I316" t="s">
        <v>36</v>
      </c>
      <c r="J316">
        <v>1</v>
      </c>
      <c r="K316" t="s">
        <v>37</v>
      </c>
      <c r="L316">
        <v>48</v>
      </c>
      <c r="M316" t="s">
        <v>177</v>
      </c>
      <c r="N316">
        <v>1</v>
      </c>
      <c r="P316">
        <v>0</v>
      </c>
      <c r="Q316">
        <v>0.05</v>
      </c>
      <c r="R316">
        <v>4.2000000000000003E-2</v>
      </c>
      <c r="S316" t="s">
        <v>38</v>
      </c>
      <c r="T316">
        <v>10</v>
      </c>
      <c r="U316">
        <v>4</v>
      </c>
      <c r="V316">
        <v>4</v>
      </c>
      <c r="W316">
        <v>3.4000000000000002E-2</v>
      </c>
      <c r="X316">
        <v>4.2999999999999997E-2</v>
      </c>
      <c r="Y316">
        <v>0</v>
      </c>
      <c r="Z316" s="20">
        <v>6291007700084</v>
      </c>
      <c r="AA316">
        <v>365</v>
      </c>
      <c r="AB316">
        <v>30</v>
      </c>
      <c r="AC316" t="s">
        <v>88</v>
      </c>
      <c r="AD316">
        <v>48</v>
      </c>
      <c r="AE316">
        <f t="shared" si="5"/>
        <v>164462</v>
      </c>
    </row>
    <row r="317" spans="1:31" x14ac:dyDescent="0.25">
      <c r="A317">
        <v>164463</v>
      </c>
      <c r="B317" t="s">
        <v>519</v>
      </c>
      <c r="C317" t="s">
        <v>504</v>
      </c>
      <c r="E317">
        <v>95904</v>
      </c>
      <c r="F317" t="s">
        <v>34</v>
      </c>
      <c r="H317" t="s">
        <v>177</v>
      </c>
      <c r="I317" t="s">
        <v>145</v>
      </c>
      <c r="J317">
        <v>4</v>
      </c>
      <c r="K317" t="s">
        <v>36</v>
      </c>
      <c r="L317">
        <v>1</v>
      </c>
      <c r="M317" t="s">
        <v>37</v>
      </c>
      <c r="N317">
        <v>48</v>
      </c>
      <c r="O317" t="s">
        <v>177</v>
      </c>
      <c r="P317">
        <v>1</v>
      </c>
      <c r="Q317">
        <v>0.05</v>
      </c>
      <c r="R317">
        <v>0.05</v>
      </c>
      <c r="S317" t="s">
        <v>38</v>
      </c>
      <c r="T317">
        <v>8.5</v>
      </c>
      <c r="U317">
        <v>5</v>
      </c>
      <c r="V317">
        <v>5</v>
      </c>
      <c r="W317">
        <v>3.4000000000000002E-2</v>
      </c>
      <c r="X317">
        <v>4.2999999999999997E-2</v>
      </c>
      <c r="Y317">
        <v>0</v>
      </c>
      <c r="Z317" s="20">
        <v>6291007701050</v>
      </c>
      <c r="AA317">
        <v>365</v>
      </c>
      <c r="AB317">
        <v>30</v>
      </c>
      <c r="AC317" t="s">
        <v>88</v>
      </c>
      <c r="AD317">
        <v>48</v>
      </c>
      <c r="AE317">
        <f t="shared" si="5"/>
        <v>164463</v>
      </c>
    </row>
    <row r="318" spans="1:31" x14ac:dyDescent="0.25">
      <c r="A318">
        <v>164508</v>
      </c>
      <c r="B318" t="s">
        <v>520</v>
      </c>
      <c r="C318" t="s">
        <v>509</v>
      </c>
      <c r="D318" t="s">
        <v>91</v>
      </c>
      <c r="E318">
        <v>116865</v>
      </c>
      <c r="F318" t="s">
        <v>34</v>
      </c>
      <c r="H318" t="s">
        <v>36</v>
      </c>
      <c r="I318" t="s">
        <v>36</v>
      </c>
      <c r="J318">
        <v>1</v>
      </c>
      <c r="K318" t="s">
        <v>37</v>
      </c>
      <c r="L318">
        <v>24</v>
      </c>
      <c r="N318">
        <v>0</v>
      </c>
      <c r="P318">
        <v>0</v>
      </c>
      <c r="Q318">
        <v>0.25</v>
      </c>
      <c r="R318">
        <v>0.22500000000000001</v>
      </c>
      <c r="S318" t="s">
        <v>38</v>
      </c>
      <c r="T318">
        <v>8</v>
      </c>
      <c r="U318">
        <v>8</v>
      </c>
      <c r="V318">
        <v>12.5</v>
      </c>
      <c r="W318">
        <v>0.38300000000000001</v>
      </c>
      <c r="X318">
        <v>0.47899999999999998</v>
      </c>
      <c r="Y318">
        <v>0</v>
      </c>
      <c r="Z318" s="19">
        <v>8901063151017</v>
      </c>
      <c r="AA318">
        <v>365</v>
      </c>
      <c r="AB318">
        <v>30</v>
      </c>
      <c r="AC318" t="s">
        <v>88</v>
      </c>
      <c r="AD318">
        <v>24</v>
      </c>
      <c r="AE318">
        <f t="shared" si="5"/>
        <v>164508</v>
      </c>
    </row>
    <row r="319" spans="1:31" x14ac:dyDescent="0.25">
      <c r="A319">
        <v>164530</v>
      </c>
      <c r="B319" t="s">
        <v>521</v>
      </c>
      <c r="C319" t="s">
        <v>509</v>
      </c>
      <c r="E319">
        <v>120847</v>
      </c>
      <c r="F319" t="s">
        <v>34</v>
      </c>
      <c r="H319" t="s">
        <v>36</v>
      </c>
      <c r="I319" t="s">
        <v>36</v>
      </c>
      <c r="J319">
        <v>1</v>
      </c>
      <c r="K319" t="s">
        <v>37</v>
      </c>
      <c r="L319">
        <v>24</v>
      </c>
      <c r="N319">
        <v>0</v>
      </c>
      <c r="P319">
        <v>0</v>
      </c>
      <c r="Q319">
        <v>0.23</v>
      </c>
      <c r="R319">
        <v>0.2</v>
      </c>
      <c r="S319" t="s">
        <v>38</v>
      </c>
      <c r="T319">
        <v>12</v>
      </c>
      <c r="U319">
        <v>7</v>
      </c>
      <c r="V319">
        <v>7</v>
      </c>
      <c r="W319">
        <v>0</v>
      </c>
      <c r="X319">
        <v>0.47799999999999998</v>
      </c>
      <c r="Y319">
        <v>0</v>
      </c>
      <c r="Z319" s="19">
        <v>6291007902181</v>
      </c>
      <c r="AA319">
        <v>273</v>
      </c>
      <c r="AB319">
        <v>30</v>
      </c>
      <c r="AC319" t="s">
        <v>88</v>
      </c>
      <c r="AD319">
        <v>24</v>
      </c>
      <c r="AE319">
        <f t="shared" si="5"/>
        <v>164530</v>
      </c>
    </row>
    <row r="320" spans="1:31" x14ac:dyDescent="0.25">
      <c r="A320">
        <v>164531</v>
      </c>
      <c r="B320" t="s">
        <v>522</v>
      </c>
      <c r="C320" t="s">
        <v>509</v>
      </c>
      <c r="E320">
        <v>120848</v>
      </c>
      <c r="F320" t="s">
        <v>34</v>
      </c>
      <c r="H320" t="s">
        <v>36</v>
      </c>
      <c r="I320" t="s">
        <v>36</v>
      </c>
      <c r="J320">
        <v>1</v>
      </c>
      <c r="K320" t="s">
        <v>37</v>
      </c>
      <c r="L320">
        <v>12</v>
      </c>
      <c r="N320">
        <v>0</v>
      </c>
      <c r="P320">
        <v>0</v>
      </c>
      <c r="Q320">
        <v>0.42</v>
      </c>
      <c r="R320">
        <v>0.35</v>
      </c>
      <c r="S320" t="s">
        <v>38</v>
      </c>
      <c r="T320">
        <v>18</v>
      </c>
      <c r="U320">
        <v>7</v>
      </c>
      <c r="V320">
        <v>7</v>
      </c>
      <c r="W320">
        <v>0.68</v>
      </c>
      <c r="X320">
        <v>0.85</v>
      </c>
      <c r="Y320">
        <v>0</v>
      </c>
      <c r="Z320" s="19">
        <v>6291007902198</v>
      </c>
      <c r="AA320">
        <v>270</v>
      </c>
      <c r="AB320">
        <v>30</v>
      </c>
      <c r="AC320" t="s">
        <v>88</v>
      </c>
      <c r="AD320">
        <v>12</v>
      </c>
      <c r="AE320">
        <f t="shared" si="5"/>
        <v>164531</v>
      </c>
    </row>
    <row r="321" spans="1:31" x14ac:dyDescent="0.25">
      <c r="A321">
        <v>164547</v>
      </c>
      <c r="B321" t="s">
        <v>523</v>
      </c>
      <c r="C321" t="s">
        <v>509</v>
      </c>
      <c r="E321">
        <v>123788</v>
      </c>
      <c r="F321" t="s">
        <v>34</v>
      </c>
      <c r="H321" t="s">
        <v>36</v>
      </c>
      <c r="I321" t="s">
        <v>36</v>
      </c>
      <c r="J321">
        <v>1</v>
      </c>
      <c r="K321" t="s">
        <v>37</v>
      </c>
      <c r="L321">
        <v>24</v>
      </c>
      <c r="N321">
        <v>0</v>
      </c>
      <c r="P321">
        <v>0</v>
      </c>
      <c r="Q321">
        <v>0.21</v>
      </c>
      <c r="R321">
        <v>0.17499999999999999</v>
      </c>
      <c r="S321" t="s">
        <v>38</v>
      </c>
      <c r="T321">
        <v>24</v>
      </c>
      <c r="U321">
        <v>3</v>
      </c>
      <c r="V321">
        <v>9.5</v>
      </c>
      <c r="W321">
        <v>0.53200000000000003</v>
      </c>
      <c r="X321">
        <v>0.66500000000000004</v>
      </c>
      <c r="Y321">
        <v>0</v>
      </c>
      <c r="Z321" s="19">
        <v>8901063151048</v>
      </c>
      <c r="AA321">
        <v>365</v>
      </c>
      <c r="AB321">
        <v>30</v>
      </c>
      <c r="AC321" t="s">
        <v>88</v>
      </c>
      <c r="AD321">
        <v>24</v>
      </c>
      <c r="AE321">
        <f t="shared" si="5"/>
        <v>164547</v>
      </c>
    </row>
    <row r="322" spans="1:31" x14ac:dyDescent="0.25">
      <c r="A322">
        <v>164548</v>
      </c>
      <c r="B322" t="s">
        <v>524</v>
      </c>
      <c r="C322" t="s">
        <v>509</v>
      </c>
      <c r="E322">
        <v>123789</v>
      </c>
      <c r="F322" t="s">
        <v>34</v>
      </c>
      <c r="H322" t="s">
        <v>36</v>
      </c>
      <c r="I322" t="s">
        <v>36</v>
      </c>
      <c r="J322">
        <v>1</v>
      </c>
      <c r="K322" t="s">
        <v>37</v>
      </c>
      <c r="L322">
        <v>24</v>
      </c>
      <c r="N322">
        <v>0</v>
      </c>
      <c r="P322">
        <v>0</v>
      </c>
      <c r="Q322">
        <v>0.22</v>
      </c>
      <c r="R322">
        <v>0.17499999999999999</v>
      </c>
      <c r="S322" t="s">
        <v>38</v>
      </c>
      <c r="T322">
        <v>24</v>
      </c>
      <c r="U322">
        <v>3</v>
      </c>
      <c r="V322">
        <v>9.5</v>
      </c>
      <c r="W322">
        <v>0.53200000000000003</v>
      </c>
      <c r="X322">
        <v>0.66500000000000004</v>
      </c>
      <c r="Y322">
        <v>0</v>
      </c>
      <c r="Z322" s="19">
        <v>8901063151031</v>
      </c>
      <c r="AA322">
        <v>365</v>
      </c>
      <c r="AB322">
        <v>30</v>
      </c>
      <c r="AC322" t="s">
        <v>88</v>
      </c>
      <c r="AD322">
        <v>24</v>
      </c>
      <c r="AE322">
        <f t="shared" si="5"/>
        <v>164548</v>
      </c>
    </row>
    <row r="323" spans="1:31" x14ac:dyDescent="0.25">
      <c r="A323">
        <v>164604</v>
      </c>
      <c r="B323" t="s">
        <v>525</v>
      </c>
      <c r="C323" t="s">
        <v>499</v>
      </c>
      <c r="D323" t="s">
        <v>91</v>
      </c>
      <c r="E323">
        <v>134168</v>
      </c>
      <c r="F323" t="s">
        <v>103</v>
      </c>
      <c r="H323" t="s">
        <v>36</v>
      </c>
      <c r="I323" t="s">
        <v>36</v>
      </c>
      <c r="J323">
        <v>1</v>
      </c>
      <c r="K323" t="s">
        <v>37</v>
      </c>
      <c r="L323">
        <v>6</v>
      </c>
      <c r="N323">
        <v>0</v>
      </c>
      <c r="P323">
        <v>0</v>
      </c>
      <c r="Q323">
        <v>1.24</v>
      </c>
      <c r="R323">
        <v>0.4</v>
      </c>
      <c r="S323" t="s">
        <v>38</v>
      </c>
      <c r="T323">
        <v>38</v>
      </c>
      <c r="U323">
        <v>19</v>
      </c>
      <c r="V323">
        <v>7</v>
      </c>
      <c r="W323">
        <v>2.0859999999999999</v>
      </c>
      <c r="X323">
        <v>2.6070000000000002</v>
      </c>
      <c r="Y323">
        <v>0</v>
      </c>
      <c r="Z323" s="19">
        <v>9501047721411</v>
      </c>
      <c r="AA323">
        <v>365</v>
      </c>
      <c r="AB323">
        <v>30</v>
      </c>
      <c r="AC323" t="s">
        <v>88</v>
      </c>
      <c r="AD323">
        <v>6</v>
      </c>
      <c r="AE323">
        <f t="shared" ref="AE323:AE386" si="6">A323</f>
        <v>164604</v>
      </c>
    </row>
    <row r="324" spans="1:31" x14ac:dyDescent="0.25">
      <c r="A324">
        <v>164622</v>
      </c>
      <c r="B324" t="s">
        <v>526</v>
      </c>
      <c r="C324" t="s">
        <v>509</v>
      </c>
      <c r="E324">
        <v>138071</v>
      </c>
      <c r="F324" t="s">
        <v>34</v>
      </c>
      <c r="H324" t="s">
        <v>36</v>
      </c>
      <c r="I324" t="s">
        <v>36</v>
      </c>
      <c r="J324">
        <v>1</v>
      </c>
      <c r="K324" t="s">
        <v>37</v>
      </c>
      <c r="L324">
        <v>72</v>
      </c>
      <c r="N324">
        <v>0</v>
      </c>
      <c r="P324">
        <v>0</v>
      </c>
      <c r="Q324">
        <v>0.06</v>
      </c>
      <c r="R324">
        <v>0.05</v>
      </c>
      <c r="S324" t="s">
        <v>38</v>
      </c>
      <c r="T324">
        <v>12</v>
      </c>
      <c r="U324">
        <v>3</v>
      </c>
      <c r="V324">
        <v>14</v>
      </c>
      <c r="W324">
        <v>9.6000000000000002E-2</v>
      </c>
      <c r="X324">
        <v>0.12</v>
      </c>
      <c r="Y324">
        <v>0</v>
      </c>
      <c r="Z324" s="19">
        <v>8901063203198</v>
      </c>
      <c r="AA324">
        <v>365</v>
      </c>
      <c r="AB324">
        <v>30</v>
      </c>
      <c r="AC324" t="s">
        <v>88</v>
      </c>
      <c r="AD324">
        <v>72</v>
      </c>
      <c r="AE324">
        <f t="shared" si="6"/>
        <v>164622</v>
      </c>
    </row>
    <row r="325" spans="1:31" x14ac:dyDescent="0.25">
      <c r="A325">
        <v>164645</v>
      </c>
      <c r="B325" t="s">
        <v>527</v>
      </c>
      <c r="C325" t="s">
        <v>509</v>
      </c>
      <c r="E325">
        <v>139247</v>
      </c>
      <c r="F325" t="s">
        <v>34</v>
      </c>
      <c r="H325" t="s">
        <v>36</v>
      </c>
      <c r="I325" t="s">
        <v>36</v>
      </c>
      <c r="J325">
        <v>1</v>
      </c>
      <c r="K325" t="s">
        <v>37</v>
      </c>
      <c r="L325">
        <v>24</v>
      </c>
      <c r="N325">
        <v>0</v>
      </c>
      <c r="P325">
        <v>0</v>
      </c>
      <c r="Q325">
        <v>0.22</v>
      </c>
      <c r="R325">
        <v>0.17499999999999999</v>
      </c>
      <c r="S325" t="s">
        <v>38</v>
      </c>
      <c r="T325">
        <v>9.5</v>
      </c>
      <c r="U325">
        <v>3</v>
      </c>
      <c r="V325">
        <v>24.5</v>
      </c>
      <c r="W325">
        <v>0.53200000000000003</v>
      </c>
      <c r="X325">
        <v>0.66500000000000004</v>
      </c>
      <c r="Y325">
        <v>0</v>
      </c>
      <c r="Z325" s="19">
        <v>8901063151208</v>
      </c>
      <c r="AA325">
        <v>365</v>
      </c>
      <c r="AB325">
        <v>30</v>
      </c>
      <c r="AC325" t="s">
        <v>88</v>
      </c>
      <c r="AD325">
        <v>24</v>
      </c>
      <c r="AE325">
        <f t="shared" si="6"/>
        <v>164645</v>
      </c>
    </row>
    <row r="326" spans="1:31" x14ac:dyDescent="0.25">
      <c r="A326">
        <v>164715</v>
      </c>
      <c r="B326" t="s">
        <v>528</v>
      </c>
      <c r="C326" t="s">
        <v>509</v>
      </c>
      <c r="E326">
        <v>156852</v>
      </c>
      <c r="F326" t="s">
        <v>34</v>
      </c>
      <c r="H326" t="s">
        <v>36</v>
      </c>
      <c r="I326" t="s">
        <v>36</v>
      </c>
      <c r="J326">
        <v>1</v>
      </c>
      <c r="K326" t="s">
        <v>37</v>
      </c>
      <c r="L326">
        <v>12</v>
      </c>
      <c r="N326">
        <v>0</v>
      </c>
      <c r="P326">
        <v>0</v>
      </c>
      <c r="Q326">
        <v>0.2</v>
      </c>
      <c r="R326">
        <v>0.15</v>
      </c>
      <c r="S326" t="s">
        <v>38</v>
      </c>
      <c r="T326">
        <v>9</v>
      </c>
      <c r="U326">
        <v>7</v>
      </c>
      <c r="V326">
        <v>15</v>
      </c>
      <c r="W326">
        <v>0.48699999999999999</v>
      </c>
      <c r="X326">
        <v>0.60899999999999999</v>
      </c>
      <c r="Y326">
        <v>0</v>
      </c>
      <c r="Z326" s="19">
        <v>8901063136861</v>
      </c>
      <c r="AA326">
        <v>365</v>
      </c>
      <c r="AB326">
        <v>30</v>
      </c>
      <c r="AC326" t="s">
        <v>88</v>
      </c>
      <c r="AD326">
        <v>12</v>
      </c>
      <c r="AE326">
        <f t="shared" si="6"/>
        <v>164715</v>
      </c>
    </row>
    <row r="327" spans="1:31" x14ac:dyDescent="0.25">
      <c r="A327">
        <v>164725</v>
      </c>
      <c r="B327" t="s">
        <v>529</v>
      </c>
      <c r="C327" t="s">
        <v>509</v>
      </c>
      <c r="E327">
        <v>160894</v>
      </c>
      <c r="F327" t="s">
        <v>34</v>
      </c>
      <c r="H327" t="s">
        <v>36</v>
      </c>
      <c r="I327" t="s">
        <v>36</v>
      </c>
      <c r="J327">
        <v>1</v>
      </c>
      <c r="K327" t="s">
        <v>37</v>
      </c>
      <c r="L327">
        <v>30</v>
      </c>
      <c r="N327">
        <v>0</v>
      </c>
      <c r="P327">
        <v>0</v>
      </c>
      <c r="Q327">
        <v>0.12</v>
      </c>
      <c r="R327">
        <v>0</v>
      </c>
      <c r="S327" t="s">
        <v>38</v>
      </c>
      <c r="T327">
        <v>6</v>
      </c>
      <c r="U327">
        <v>13</v>
      </c>
      <c r="V327">
        <v>3</v>
      </c>
      <c r="W327">
        <v>0.17</v>
      </c>
      <c r="X327">
        <v>0.21199999999999999</v>
      </c>
      <c r="Y327">
        <v>0</v>
      </c>
      <c r="Z327" s="19">
        <v>8901063030022</v>
      </c>
      <c r="AA327">
        <v>365</v>
      </c>
      <c r="AB327">
        <v>30</v>
      </c>
      <c r="AC327" t="s">
        <v>88</v>
      </c>
      <c r="AD327">
        <v>30</v>
      </c>
      <c r="AE327">
        <f t="shared" si="6"/>
        <v>164725</v>
      </c>
    </row>
    <row r="328" spans="1:31" x14ac:dyDescent="0.25">
      <c r="A328">
        <v>170374</v>
      </c>
      <c r="B328" t="s">
        <v>530</v>
      </c>
      <c r="C328" t="s">
        <v>504</v>
      </c>
      <c r="D328" t="s">
        <v>91</v>
      </c>
      <c r="F328" t="s">
        <v>103</v>
      </c>
      <c r="H328" t="s">
        <v>36</v>
      </c>
      <c r="I328" t="s">
        <v>36</v>
      </c>
      <c r="J328">
        <v>1</v>
      </c>
      <c r="K328" t="s">
        <v>37</v>
      </c>
      <c r="L328">
        <v>2</v>
      </c>
      <c r="N328">
        <v>0</v>
      </c>
      <c r="P328">
        <v>0</v>
      </c>
      <c r="Q328">
        <v>1.63</v>
      </c>
      <c r="R328">
        <v>0</v>
      </c>
      <c r="S328" t="s">
        <v>38</v>
      </c>
      <c r="T328">
        <v>17</v>
      </c>
      <c r="U328">
        <v>25</v>
      </c>
      <c r="V328">
        <v>11</v>
      </c>
      <c r="W328">
        <v>1.0029999999999999</v>
      </c>
      <c r="X328">
        <v>1.2549999999999999</v>
      </c>
      <c r="Y328">
        <v>0</v>
      </c>
      <c r="Z328" s="19">
        <v>1800000006717</v>
      </c>
      <c r="AA328">
        <v>365</v>
      </c>
      <c r="AB328">
        <v>30</v>
      </c>
      <c r="AC328" t="s">
        <v>88</v>
      </c>
      <c r="AD328">
        <v>2</v>
      </c>
      <c r="AE328">
        <f t="shared" si="6"/>
        <v>170374</v>
      </c>
    </row>
    <row r="329" spans="1:31" x14ac:dyDescent="0.25">
      <c r="A329">
        <v>174003</v>
      </c>
      <c r="B329" t="s">
        <v>531</v>
      </c>
      <c r="C329" t="s">
        <v>504</v>
      </c>
      <c r="F329" t="s">
        <v>34</v>
      </c>
      <c r="H329" t="s">
        <v>36</v>
      </c>
      <c r="I329" t="s">
        <v>36</v>
      </c>
      <c r="J329">
        <v>1</v>
      </c>
      <c r="K329" t="s">
        <v>37</v>
      </c>
      <c r="L329">
        <v>24</v>
      </c>
      <c r="N329">
        <v>0</v>
      </c>
      <c r="P329">
        <v>0</v>
      </c>
      <c r="Q329">
        <v>0.18</v>
      </c>
      <c r="R329">
        <v>0</v>
      </c>
      <c r="S329" t="s">
        <v>38</v>
      </c>
      <c r="T329">
        <v>9.5</v>
      </c>
      <c r="U329">
        <v>3.5</v>
      </c>
      <c r="V329">
        <v>33</v>
      </c>
      <c r="W329">
        <v>0.307</v>
      </c>
      <c r="X329">
        <v>0.38500000000000001</v>
      </c>
      <c r="Y329">
        <v>0</v>
      </c>
      <c r="Z329" s="19">
        <v>6291007500332</v>
      </c>
      <c r="AA329">
        <v>365</v>
      </c>
      <c r="AB329">
        <v>30</v>
      </c>
      <c r="AC329" t="s">
        <v>88</v>
      </c>
      <c r="AD329">
        <v>24</v>
      </c>
      <c r="AE329">
        <f t="shared" si="6"/>
        <v>174003</v>
      </c>
    </row>
    <row r="330" spans="1:31" x14ac:dyDescent="0.25">
      <c r="A330">
        <v>175843</v>
      </c>
      <c r="B330" t="s">
        <v>532</v>
      </c>
      <c r="C330" t="s">
        <v>504</v>
      </c>
      <c r="F330" t="s">
        <v>34</v>
      </c>
      <c r="H330" t="s">
        <v>36</v>
      </c>
      <c r="I330" t="s">
        <v>36</v>
      </c>
      <c r="J330">
        <v>1</v>
      </c>
      <c r="K330" t="s">
        <v>37</v>
      </c>
      <c r="L330">
        <v>24</v>
      </c>
      <c r="N330">
        <v>0</v>
      </c>
      <c r="P330">
        <v>0</v>
      </c>
      <c r="Q330">
        <v>0.09</v>
      </c>
      <c r="R330">
        <v>0</v>
      </c>
      <c r="S330" t="s">
        <v>38</v>
      </c>
      <c r="T330">
        <v>9</v>
      </c>
      <c r="U330">
        <v>2</v>
      </c>
      <c r="V330">
        <v>21</v>
      </c>
      <c r="W330">
        <v>0.19400000000000001</v>
      </c>
      <c r="X330">
        <v>0.24299999999999999</v>
      </c>
      <c r="Y330">
        <v>0</v>
      </c>
      <c r="Z330" s="19">
        <v>6291007500387</v>
      </c>
      <c r="AA330">
        <v>365</v>
      </c>
      <c r="AB330">
        <v>30</v>
      </c>
      <c r="AC330" t="s">
        <v>88</v>
      </c>
      <c r="AD330">
        <v>24</v>
      </c>
      <c r="AE330">
        <f t="shared" si="6"/>
        <v>175843</v>
      </c>
    </row>
    <row r="331" spans="1:31" x14ac:dyDescent="0.25">
      <c r="A331">
        <v>175844</v>
      </c>
      <c r="B331" t="s">
        <v>533</v>
      </c>
      <c r="C331" t="s">
        <v>504</v>
      </c>
      <c r="F331" t="s">
        <v>34</v>
      </c>
      <c r="H331" t="s">
        <v>36</v>
      </c>
      <c r="I331" t="s">
        <v>36</v>
      </c>
      <c r="J331">
        <v>1</v>
      </c>
      <c r="K331" t="s">
        <v>37</v>
      </c>
      <c r="L331">
        <v>24</v>
      </c>
      <c r="N331">
        <v>0</v>
      </c>
      <c r="P331">
        <v>0</v>
      </c>
      <c r="Q331">
        <v>0.12</v>
      </c>
      <c r="R331">
        <v>0</v>
      </c>
      <c r="S331" t="s">
        <v>38</v>
      </c>
      <c r="T331">
        <v>9</v>
      </c>
      <c r="U331">
        <v>2</v>
      </c>
      <c r="V331">
        <v>21</v>
      </c>
      <c r="W331">
        <v>0.19400000000000001</v>
      </c>
      <c r="X331">
        <v>0.24299999999999999</v>
      </c>
      <c r="Y331">
        <v>0</v>
      </c>
      <c r="Z331" s="19">
        <v>6291007500417</v>
      </c>
      <c r="AA331">
        <v>365</v>
      </c>
      <c r="AB331">
        <v>30</v>
      </c>
      <c r="AC331" t="s">
        <v>88</v>
      </c>
      <c r="AD331">
        <v>24</v>
      </c>
      <c r="AE331">
        <f t="shared" si="6"/>
        <v>175844</v>
      </c>
    </row>
    <row r="332" spans="1:31" x14ac:dyDescent="0.25">
      <c r="A332">
        <v>177804</v>
      </c>
      <c r="B332" t="s">
        <v>534</v>
      </c>
      <c r="C332" t="s">
        <v>509</v>
      </c>
      <c r="F332" t="s">
        <v>34</v>
      </c>
      <c r="H332" t="s">
        <v>36</v>
      </c>
      <c r="I332" t="s">
        <v>36</v>
      </c>
      <c r="J332">
        <v>1</v>
      </c>
      <c r="K332" t="s">
        <v>37</v>
      </c>
      <c r="L332">
        <v>24</v>
      </c>
      <c r="N332">
        <v>0</v>
      </c>
      <c r="P332">
        <v>0</v>
      </c>
      <c r="Q332">
        <v>0.21</v>
      </c>
      <c r="R332">
        <v>0</v>
      </c>
      <c r="S332" t="s">
        <v>38</v>
      </c>
      <c r="T332">
        <v>14</v>
      </c>
      <c r="U332">
        <v>3</v>
      </c>
      <c r="V332">
        <v>13</v>
      </c>
      <c r="W332">
        <v>0.28499999999999998</v>
      </c>
      <c r="X332">
        <v>0.35699999999999998</v>
      </c>
      <c r="Y332">
        <v>0</v>
      </c>
      <c r="Z332" s="19">
        <v>6291007905311</v>
      </c>
      <c r="AA332">
        <v>365</v>
      </c>
      <c r="AB332">
        <v>30</v>
      </c>
      <c r="AC332" t="s">
        <v>88</v>
      </c>
      <c r="AD332">
        <v>24</v>
      </c>
      <c r="AE332">
        <f t="shared" si="6"/>
        <v>177804</v>
      </c>
    </row>
    <row r="333" spans="1:31" x14ac:dyDescent="0.25">
      <c r="A333">
        <v>180063</v>
      </c>
      <c r="B333" t="s">
        <v>535</v>
      </c>
      <c r="C333" t="s">
        <v>509</v>
      </c>
      <c r="D333" t="s">
        <v>91</v>
      </c>
      <c r="F333" t="s">
        <v>34</v>
      </c>
      <c r="H333" t="s">
        <v>36</v>
      </c>
      <c r="I333" t="s">
        <v>36</v>
      </c>
      <c r="J333">
        <v>1</v>
      </c>
      <c r="K333" t="s">
        <v>37</v>
      </c>
      <c r="L333">
        <v>24</v>
      </c>
      <c r="N333">
        <v>0</v>
      </c>
      <c r="P333">
        <v>0</v>
      </c>
      <c r="Q333">
        <v>0.13</v>
      </c>
      <c r="R333">
        <v>0</v>
      </c>
      <c r="S333" t="s">
        <v>38</v>
      </c>
      <c r="T333">
        <v>5</v>
      </c>
      <c r="U333">
        <v>5</v>
      </c>
      <c r="V333">
        <v>18</v>
      </c>
      <c r="W333">
        <v>0.26700000000000002</v>
      </c>
      <c r="X333">
        <v>0.33300000000000002</v>
      </c>
      <c r="Y333">
        <v>0</v>
      </c>
      <c r="Z333" s="19">
        <v>8901063136779</v>
      </c>
      <c r="AA333">
        <v>365</v>
      </c>
      <c r="AB333">
        <v>30</v>
      </c>
      <c r="AC333" t="s">
        <v>88</v>
      </c>
      <c r="AD333">
        <v>24</v>
      </c>
      <c r="AE333">
        <f t="shared" si="6"/>
        <v>180063</v>
      </c>
    </row>
    <row r="334" spans="1:31" x14ac:dyDescent="0.25">
      <c r="A334">
        <v>181306</v>
      </c>
      <c r="B334" t="s">
        <v>536</v>
      </c>
      <c r="C334" t="s">
        <v>504</v>
      </c>
      <c r="D334" t="s">
        <v>91</v>
      </c>
      <c r="F334" t="s">
        <v>34</v>
      </c>
      <c r="H334" t="s">
        <v>36</v>
      </c>
      <c r="I334" t="s">
        <v>36</v>
      </c>
      <c r="J334">
        <v>1</v>
      </c>
      <c r="K334" t="s">
        <v>37</v>
      </c>
      <c r="L334">
        <v>24</v>
      </c>
      <c r="N334">
        <v>0</v>
      </c>
      <c r="P334">
        <v>0</v>
      </c>
      <c r="Q334">
        <v>0.1</v>
      </c>
      <c r="R334">
        <v>0</v>
      </c>
      <c r="S334" t="s">
        <v>38</v>
      </c>
      <c r="T334">
        <v>8.5</v>
      </c>
      <c r="U334">
        <v>2</v>
      </c>
      <c r="V334">
        <v>22.5</v>
      </c>
      <c r="W334">
        <v>0.19400000000000001</v>
      </c>
      <c r="X334">
        <v>0.24299999999999999</v>
      </c>
      <c r="Y334">
        <v>0</v>
      </c>
      <c r="Z334" s="19">
        <v>6291007500370</v>
      </c>
      <c r="AA334">
        <v>365</v>
      </c>
      <c r="AB334">
        <v>30</v>
      </c>
      <c r="AC334" t="s">
        <v>88</v>
      </c>
      <c r="AD334">
        <v>24</v>
      </c>
      <c r="AE334">
        <f t="shared" si="6"/>
        <v>181306</v>
      </c>
    </row>
    <row r="335" spans="1:31" x14ac:dyDescent="0.25">
      <c r="A335">
        <v>183371</v>
      </c>
      <c r="B335" t="s">
        <v>537</v>
      </c>
      <c r="C335" t="s">
        <v>504</v>
      </c>
      <c r="D335" t="s">
        <v>91</v>
      </c>
      <c r="F335" t="s">
        <v>34</v>
      </c>
      <c r="H335" t="s">
        <v>36</v>
      </c>
      <c r="I335" t="s">
        <v>36</v>
      </c>
      <c r="J335">
        <v>1</v>
      </c>
      <c r="K335" t="s">
        <v>37</v>
      </c>
      <c r="L335">
        <v>24</v>
      </c>
      <c r="N335">
        <v>0</v>
      </c>
      <c r="P335">
        <v>0</v>
      </c>
      <c r="Q335">
        <v>0.1</v>
      </c>
      <c r="R335">
        <v>0</v>
      </c>
      <c r="S335" t="s">
        <v>38</v>
      </c>
      <c r="T335">
        <v>8.5</v>
      </c>
      <c r="U335">
        <v>2</v>
      </c>
      <c r="V335">
        <v>21</v>
      </c>
      <c r="W335">
        <v>0.19400000000000001</v>
      </c>
      <c r="X335">
        <v>0.24299999999999999</v>
      </c>
      <c r="Y335">
        <v>0</v>
      </c>
      <c r="Z335" s="19">
        <v>6291007500424</v>
      </c>
      <c r="AA335">
        <v>365</v>
      </c>
      <c r="AB335">
        <v>30</v>
      </c>
      <c r="AC335" t="s">
        <v>88</v>
      </c>
      <c r="AD335">
        <v>24</v>
      </c>
      <c r="AE335">
        <f t="shared" si="6"/>
        <v>183371</v>
      </c>
    </row>
    <row r="336" spans="1:31" x14ac:dyDescent="0.25">
      <c r="A336">
        <v>185290</v>
      </c>
      <c r="B336" t="s">
        <v>538</v>
      </c>
      <c r="C336" t="s">
        <v>504</v>
      </c>
      <c r="D336" t="s">
        <v>91</v>
      </c>
      <c r="F336" t="s">
        <v>34</v>
      </c>
      <c r="H336" t="s">
        <v>36</v>
      </c>
      <c r="I336" t="s">
        <v>36</v>
      </c>
      <c r="J336">
        <v>1</v>
      </c>
      <c r="K336" t="s">
        <v>37</v>
      </c>
      <c r="L336">
        <v>24</v>
      </c>
      <c r="N336">
        <v>0</v>
      </c>
      <c r="P336">
        <v>0</v>
      </c>
      <c r="Q336">
        <v>0.18</v>
      </c>
      <c r="R336">
        <v>0</v>
      </c>
      <c r="S336" t="s">
        <v>38</v>
      </c>
      <c r="T336">
        <v>23</v>
      </c>
      <c r="U336">
        <v>9.5</v>
      </c>
      <c r="V336">
        <v>3</v>
      </c>
      <c r="W336">
        <v>0.307</v>
      </c>
      <c r="X336">
        <v>0.38500000000000001</v>
      </c>
      <c r="Y336">
        <v>0</v>
      </c>
      <c r="Z336" s="19">
        <v>6291007500325</v>
      </c>
      <c r="AA336">
        <v>365</v>
      </c>
      <c r="AB336">
        <v>30</v>
      </c>
      <c r="AC336" t="s">
        <v>88</v>
      </c>
      <c r="AD336">
        <v>24</v>
      </c>
      <c r="AE336">
        <f t="shared" si="6"/>
        <v>185290</v>
      </c>
    </row>
    <row r="337" spans="1:31" x14ac:dyDescent="0.25">
      <c r="A337">
        <v>194340</v>
      </c>
      <c r="B337" t="s">
        <v>539</v>
      </c>
      <c r="C337" t="s">
        <v>509</v>
      </c>
      <c r="D337" t="s">
        <v>91</v>
      </c>
      <c r="F337" t="s">
        <v>34</v>
      </c>
      <c r="H337" t="s">
        <v>36</v>
      </c>
      <c r="I337" t="s">
        <v>36</v>
      </c>
      <c r="J337">
        <v>1</v>
      </c>
      <c r="K337" t="s">
        <v>37</v>
      </c>
      <c r="L337">
        <v>24</v>
      </c>
      <c r="N337">
        <v>0</v>
      </c>
      <c r="P337">
        <v>0</v>
      </c>
      <c r="Q337">
        <v>0.44</v>
      </c>
      <c r="R337">
        <v>0</v>
      </c>
      <c r="S337" t="s">
        <v>38</v>
      </c>
      <c r="T337">
        <v>22</v>
      </c>
      <c r="U337">
        <v>3.5</v>
      </c>
      <c r="V337">
        <v>14</v>
      </c>
      <c r="W337">
        <v>0.68</v>
      </c>
      <c r="X337">
        <v>0.85</v>
      </c>
      <c r="Y337">
        <v>0</v>
      </c>
      <c r="Z337" s="19">
        <v>8901063136441</v>
      </c>
      <c r="AA337">
        <v>365</v>
      </c>
      <c r="AB337">
        <v>30</v>
      </c>
      <c r="AC337" t="s">
        <v>88</v>
      </c>
      <c r="AD337">
        <v>24</v>
      </c>
      <c r="AE337">
        <f t="shared" si="6"/>
        <v>194340</v>
      </c>
    </row>
    <row r="338" spans="1:31" x14ac:dyDescent="0.25">
      <c r="A338">
        <v>199739</v>
      </c>
      <c r="B338" t="s">
        <v>540</v>
      </c>
      <c r="C338" t="s">
        <v>509</v>
      </c>
      <c r="D338" t="s">
        <v>91</v>
      </c>
      <c r="F338" t="s">
        <v>34</v>
      </c>
      <c r="H338" t="s">
        <v>36</v>
      </c>
      <c r="I338" t="s">
        <v>36</v>
      </c>
      <c r="J338">
        <v>1</v>
      </c>
      <c r="K338" t="s">
        <v>37</v>
      </c>
      <c r="L338">
        <v>24</v>
      </c>
      <c r="N338">
        <v>0</v>
      </c>
      <c r="P338">
        <v>0</v>
      </c>
      <c r="Q338">
        <v>0.25</v>
      </c>
      <c r="R338">
        <v>0</v>
      </c>
      <c r="S338" t="s">
        <v>38</v>
      </c>
      <c r="T338">
        <v>7.5</v>
      </c>
      <c r="U338">
        <v>7.5</v>
      </c>
      <c r="V338">
        <v>12</v>
      </c>
      <c r="W338">
        <v>0.38300000000000001</v>
      </c>
      <c r="X338">
        <v>0.47899999999999998</v>
      </c>
      <c r="Y338">
        <v>0</v>
      </c>
      <c r="Z338" s="19">
        <v>6291007905762</v>
      </c>
      <c r="AA338">
        <v>365</v>
      </c>
      <c r="AB338">
        <v>30</v>
      </c>
      <c r="AC338" t="s">
        <v>88</v>
      </c>
      <c r="AD338">
        <v>24</v>
      </c>
      <c r="AE338">
        <f t="shared" si="6"/>
        <v>199739</v>
      </c>
    </row>
    <row r="339" spans="1:31" x14ac:dyDescent="0.25">
      <c r="A339">
        <v>199740</v>
      </c>
      <c r="B339" t="s">
        <v>541</v>
      </c>
      <c r="C339" t="s">
        <v>509</v>
      </c>
      <c r="F339" t="s">
        <v>34</v>
      </c>
      <c r="H339" t="s">
        <v>36</v>
      </c>
      <c r="I339" t="s">
        <v>36</v>
      </c>
      <c r="J339">
        <v>1</v>
      </c>
      <c r="K339" t="s">
        <v>37</v>
      </c>
      <c r="L339">
        <v>12</v>
      </c>
      <c r="N339">
        <v>0</v>
      </c>
      <c r="P339">
        <v>0</v>
      </c>
      <c r="Q339">
        <v>0.45</v>
      </c>
      <c r="R339">
        <v>0</v>
      </c>
      <c r="S339" t="s">
        <v>38</v>
      </c>
      <c r="T339">
        <v>7.5</v>
      </c>
      <c r="U339">
        <v>7.5</v>
      </c>
      <c r="V339">
        <v>21</v>
      </c>
      <c r="W339">
        <v>0.68</v>
      </c>
      <c r="X339">
        <v>0.84899999999999998</v>
      </c>
      <c r="Y339">
        <v>0</v>
      </c>
      <c r="Z339" s="19">
        <v>6291007905960</v>
      </c>
      <c r="AA339">
        <v>365</v>
      </c>
      <c r="AB339">
        <v>30</v>
      </c>
      <c r="AC339" t="s">
        <v>88</v>
      </c>
      <c r="AD339">
        <v>12</v>
      </c>
      <c r="AE339">
        <f t="shared" si="6"/>
        <v>199740</v>
      </c>
    </row>
    <row r="340" spans="1:31" x14ac:dyDescent="0.25">
      <c r="A340">
        <v>211176</v>
      </c>
      <c r="B340" t="s">
        <v>542</v>
      </c>
      <c r="C340" t="s">
        <v>509</v>
      </c>
      <c r="D340" t="s">
        <v>91</v>
      </c>
      <c r="F340" t="s">
        <v>34</v>
      </c>
      <c r="H340" t="s">
        <v>36</v>
      </c>
      <c r="I340" t="s">
        <v>36</v>
      </c>
      <c r="J340">
        <v>1</v>
      </c>
      <c r="K340" t="s">
        <v>37</v>
      </c>
      <c r="L340">
        <v>15</v>
      </c>
      <c r="N340">
        <v>0</v>
      </c>
      <c r="P340">
        <v>0</v>
      </c>
      <c r="Q340">
        <v>1</v>
      </c>
      <c r="R340">
        <v>0</v>
      </c>
      <c r="S340" t="s">
        <v>38</v>
      </c>
      <c r="T340">
        <v>64</v>
      </c>
      <c r="U340">
        <v>45</v>
      </c>
      <c r="V340">
        <v>45</v>
      </c>
      <c r="W340">
        <v>3.2160000000000002</v>
      </c>
      <c r="X340">
        <v>4.0199999999999996</v>
      </c>
      <c r="Y340">
        <v>0</v>
      </c>
      <c r="Z340" s="19">
        <v>8901063405011</v>
      </c>
      <c r="AA340">
        <v>365</v>
      </c>
      <c r="AB340">
        <v>15</v>
      </c>
      <c r="AC340" t="s">
        <v>88</v>
      </c>
      <c r="AD340">
        <v>15</v>
      </c>
      <c r="AE340">
        <f t="shared" si="6"/>
        <v>211176</v>
      </c>
    </row>
    <row r="341" spans="1:31" x14ac:dyDescent="0.25">
      <c r="A341">
        <v>215558</v>
      </c>
      <c r="B341" t="s">
        <v>543</v>
      </c>
      <c r="C341" t="s">
        <v>509</v>
      </c>
      <c r="D341" t="s">
        <v>91</v>
      </c>
      <c r="F341" t="s">
        <v>34</v>
      </c>
      <c r="H341" t="s">
        <v>36</v>
      </c>
      <c r="I341" t="s">
        <v>36</v>
      </c>
      <c r="J341">
        <v>1</v>
      </c>
      <c r="K341" t="s">
        <v>37</v>
      </c>
      <c r="L341">
        <v>24</v>
      </c>
      <c r="N341">
        <v>0</v>
      </c>
      <c r="P341">
        <v>0</v>
      </c>
      <c r="Q341">
        <v>0.26</v>
      </c>
      <c r="R341">
        <v>0</v>
      </c>
      <c r="S341" t="s">
        <v>38</v>
      </c>
      <c r="T341">
        <v>17</v>
      </c>
      <c r="U341">
        <v>16</v>
      </c>
      <c r="V341">
        <v>4.5</v>
      </c>
      <c r="W341">
        <v>0.33600000000000002</v>
      </c>
      <c r="X341">
        <v>0.42099999999999999</v>
      </c>
      <c r="Y341">
        <v>0</v>
      </c>
      <c r="Z341" s="19">
        <v>8901063152427</v>
      </c>
      <c r="AA341">
        <v>365</v>
      </c>
      <c r="AB341">
        <v>10</v>
      </c>
      <c r="AC341" t="s">
        <v>88</v>
      </c>
      <c r="AD341">
        <v>24</v>
      </c>
      <c r="AE341">
        <f t="shared" si="6"/>
        <v>215558</v>
      </c>
    </row>
    <row r="342" spans="1:31" x14ac:dyDescent="0.25">
      <c r="A342">
        <v>221940</v>
      </c>
      <c r="B342" t="s">
        <v>544</v>
      </c>
      <c r="C342" t="s">
        <v>509</v>
      </c>
      <c r="D342" t="s">
        <v>91</v>
      </c>
      <c r="F342" t="s">
        <v>34</v>
      </c>
      <c r="H342" t="s">
        <v>36</v>
      </c>
      <c r="I342" t="s">
        <v>36</v>
      </c>
      <c r="J342">
        <v>1</v>
      </c>
      <c r="K342" t="s">
        <v>37</v>
      </c>
      <c r="L342">
        <v>24</v>
      </c>
      <c r="N342">
        <v>0</v>
      </c>
      <c r="P342">
        <v>0</v>
      </c>
      <c r="Q342">
        <v>0.91</v>
      </c>
      <c r="R342">
        <v>0</v>
      </c>
      <c r="S342" t="s">
        <v>38</v>
      </c>
      <c r="T342">
        <v>21.5</v>
      </c>
      <c r="U342">
        <v>14.5</v>
      </c>
      <c r="V342">
        <v>7.5</v>
      </c>
      <c r="W342">
        <v>1.8720000000000001</v>
      </c>
      <c r="X342">
        <v>2.34</v>
      </c>
      <c r="Y342">
        <v>0</v>
      </c>
      <c r="Z342" s="19">
        <v>8901063405202</v>
      </c>
      <c r="AA342">
        <v>365</v>
      </c>
      <c r="AB342">
        <v>20</v>
      </c>
      <c r="AC342" t="s">
        <v>88</v>
      </c>
      <c r="AD342">
        <v>24</v>
      </c>
      <c r="AE342">
        <f t="shared" si="6"/>
        <v>221940</v>
      </c>
    </row>
    <row r="343" spans="1:31" x14ac:dyDescent="0.25">
      <c r="A343">
        <v>233419</v>
      </c>
      <c r="B343" t="s">
        <v>545</v>
      </c>
      <c r="C343" t="s">
        <v>509</v>
      </c>
      <c r="D343" t="s">
        <v>91</v>
      </c>
      <c r="F343" t="s">
        <v>34</v>
      </c>
      <c r="H343" t="s">
        <v>36</v>
      </c>
      <c r="I343" t="s">
        <v>36</v>
      </c>
      <c r="J343">
        <v>1</v>
      </c>
      <c r="K343" t="s">
        <v>37</v>
      </c>
      <c r="L343">
        <v>24</v>
      </c>
      <c r="N343">
        <v>0</v>
      </c>
      <c r="P343">
        <v>0</v>
      </c>
      <c r="Q343">
        <v>0.15</v>
      </c>
      <c r="R343">
        <v>0</v>
      </c>
      <c r="S343" t="s">
        <v>38</v>
      </c>
      <c r="T343">
        <v>4.5</v>
      </c>
      <c r="U343">
        <v>4.5</v>
      </c>
      <c r="V343">
        <v>19</v>
      </c>
      <c r="W343">
        <v>0.21099999999999999</v>
      </c>
      <c r="X343">
        <v>0.26300000000000001</v>
      </c>
      <c r="Y343">
        <v>0</v>
      </c>
      <c r="Z343" s="19">
        <v>8901063004016</v>
      </c>
      <c r="AA343">
        <v>365</v>
      </c>
      <c r="AB343">
        <v>30</v>
      </c>
      <c r="AC343" t="s">
        <v>88</v>
      </c>
      <c r="AD343">
        <v>24</v>
      </c>
      <c r="AE343">
        <f t="shared" si="6"/>
        <v>233419</v>
      </c>
    </row>
    <row r="344" spans="1:31" x14ac:dyDescent="0.25">
      <c r="A344">
        <v>234074</v>
      </c>
      <c r="B344" t="s">
        <v>546</v>
      </c>
      <c r="C344" t="s">
        <v>232</v>
      </c>
      <c r="D344" t="s">
        <v>91</v>
      </c>
      <c r="F344" t="s">
        <v>34</v>
      </c>
      <c r="H344" t="s">
        <v>36</v>
      </c>
      <c r="I344" t="s">
        <v>145</v>
      </c>
      <c r="J344">
        <v>32</v>
      </c>
      <c r="K344" t="s">
        <v>36</v>
      </c>
      <c r="L344">
        <v>1</v>
      </c>
      <c r="M344" t="s">
        <v>37</v>
      </c>
      <c r="N344">
        <v>512</v>
      </c>
      <c r="P344">
        <v>0</v>
      </c>
      <c r="Q344">
        <v>0.01</v>
      </c>
      <c r="R344">
        <v>0</v>
      </c>
      <c r="S344" t="s">
        <v>38</v>
      </c>
      <c r="T344">
        <v>23</v>
      </c>
      <c r="U344">
        <v>4</v>
      </c>
      <c r="V344">
        <v>0.5</v>
      </c>
      <c r="W344">
        <v>3.1E-2</v>
      </c>
      <c r="X344">
        <v>4.1000000000000002E-2</v>
      </c>
      <c r="Y344">
        <v>0</v>
      </c>
      <c r="Z344" s="19">
        <v>8901393017045</v>
      </c>
      <c r="AA344">
        <v>540</v>
      </c>
      <c r="AB344">
        <v>90</v>
      </c>
      <c r="AC344" t="s">
        <v>146</v>
      </c>
      <c r="AD344">
        <v>512</v>
      </c>
      <c r="AE344">
        <f t="shared" si="6"/>
        <v>234074</v>
      </c>
    </row>
    <row r="345" spans="1:31" x14ac:dyDescent="0.25">
      <c r="A345">
        <v>240667</v>
      </c>
      <c r="B345" t="s">
        <v>547</v>
      </c>
      <c r="C345" t="s">
        <v>509</v>
      </c>
      <c r="D345" t="s">
        <v>91</v>
      </c>
      <c r="F345" t="s">
        <v>34</v>
      </c>
      <c r="H345" t="s">
        <v>36</v>
      </c>
      <c r="I345" t="s">
        <v>36</v>
      </c>
      <c r="J345">
        <v>1</v>
      </c>
      <c r="K345" t="s">
        <v>37</v>
      </c>
      <c r="L345">
        <v>18</v>
      </c>
      <c r="N345">
        <v>0</v>
      </c>
      <c r="P345">
        <v>0</v>
      </c>
      <c r="Q345">
        <v>0.14000000000000001</v>
      </c>
      <c r="R345">
        <v>0</v>
      </c>
      <c r="S345" t="s">
        <v>38</v>
      </c>
      <c r="T345">
        <v>8</v>
      </c>
      <c r="U345">
        <v>29</v>
      </c>
      <c r="V345">
        <v>4.5</v>
      </c>
      <c r="W345">
        <v>0.40400000000000003</v>
      </c>
      <c r="X345">
        <v>0.505</v>
      </c>
      <c r="Y345">
        <v>0</v>
      </c>
      <c r="Z345" s="19">
        <v>6291007905281</v>
      </c>
      <c r="AA345">
        <v>365</v>
      </c>
      <c r="AB345">
        <v>25</v>
      </c>
      <c r="AC345" t="s">
        <v>88</v>
      </c>
      <c r="AD345">
        <v>18</v>
      </c>
      <c r="AE345">
        <f t="shared" si="6"/>
        <v>240667</v>
      </c>
    </row>
    <row r="346" spans="1:31" x14ac:dyDescent="0.25">
      <c r="A346">
        <v>245621</v>
      </c>
      <c r="B346" t="s">
        <v>548</v>
      </c>
      <c r="C346" t="s">
        <v>509</v>
      </c>
      <c r="D346" t="s">
        <v>91</v>
      </c>
      <c r="F346" t="s">
        <v>34</v>
      </c>
      <c r="H346" t="s">
        <v>36</v>
      </c>
      <c r="I346" t="s">
        <v>36</v>
      </c>
      <c r="J346">
        <v>1</v>
      </c>
      <c r="K346" t="s">
        <v>37</v>
      </c>
      <c r="L346">
        <v>48</v>
      </c>
      <c r="N346">
        <v>0</v>
      </c>
      <c r="P346">
        <v>0</v>
      </c>
      <c r="Q346">
        <v>0.04</v>
      </c>
      <c r="R346">
        <v>0</v>
      </c>
      <c r="S346" t="s">
        <v>38</v>
      </c>
      <c r="T346">
        <v>10</v>
      </c>
      <c r="U346">
        <v>5</v>
      </c>
      <c r="V346">
        <v>4</v>
      </c>
      <c r="W346">
        <v>8.7999999999999995E-2</v>
      </c>
      <c r="X346">
        <v>0.11</v>
      </c>
      <c r="Y346">
        <v>0</v>
      </c>
      <c r="Z346" s="19">
        <v>8901063151970</v>
      </c>
      <c r="AA346">
        <v>365</v>
      </c>
      <c r="AB346">
        <v>30</v>
      </c>
      <c r="AC346" t="s">
        <v>88</v>
      </c>
      <c r="AD346">
        <v>48</v>
      </c>
      <c r="AE346">
        <f t="shared" si="6"/>
        <v>245621</v>
      </c>
    </row>
    <row r="347" spans="1:31" x14ac:dyDescent="0.25">
      <c r="A347">
        <v>251153</v>
      </c>
      <c r="B347" t="s">
        <v>549</v>
      </c>
      <c r="C347" t="s">
        <v>509</v>
      </c>
      <c r="D347" t="s">
        <v>91</v>
      </c>
      <c r="F347" t="s">
        <v>34</v>
      </c>
      <c r="H347" t="s">
        <v>36</v>
      </c>
      <c r="I347" t="s">
        <v>36</v>
      </c>
      <c r="J347">
        <v>1</v>
      </c>
      <c r="K347" t="s">
        <v>37</v>
      </c>
      <c r="L347">
        <v>12</v>
      </c>
      <c r="N347">
        <v>0</v>
      </c>
      <c r="P347">
        <v>0</v>
      </c>
      <c r="Q347">
        <v>0.3</v>
      </c>
      <c r="R347">
        <v>0</v>
      </c>
      <c r="S347" t="s">
        <v>38</v>
      </c>
      <c r="T347">
        <v>21.5</v>
      </c>
      <c r="U347">
        <v>14</v>
      </c>
      <c r="V347">
        <v>5</v>
      </c>
      <c r="W347">
        <v>0.57699999999999996</v>
      </c>
      <c r="X347">
        <v>0.72099999999999997</v>
      </c>
      <c r="Y347">
        <v>0</v>
      </c>
      <c r="Z347" s="19">
        <v>6291007906998</v>
      </c>
      <c r="AA347">
        <v>365</v>
      </c>
      <c r="AB347">
        <v>30</v>
      </c>
      <c r="AC347" t="s">
        <v>88</v>
      </c>
      <c r="AD347">
        <v>12</v>
      </c>
      <c r="AE347">
        <f t="shared" si="6"/>
        <v>251153</v>
      </c>
    </row>
    <row r="348" spans="1:31" x14ac:dyDescent="0.25">
      <c r="A348">
        <v>251154</v>
      </c>
      <c r="B348" t="s">
        <v>550</v>
      </c>
      <c r="C348" t="s">
        <v>509</v>
      </c>
      <c r="D348" t="s">
        <v>91</v>
      </c>
      <c r="F348" t="s">
        <v>34</v>
      </c>
      <c r="H348" t="s">
        <v>36</v>
      </c>
      <c r="I348" t="s">
        <v>145</v>
      </c>
      <c r="J348">
        <v>12</v>
      </c>
      <c r="K348" t="s">
        <v>36</v>
      </c>
      <c r="L348">
        <v>1</v>
      </c>
      <c r="M348" t="s">
        <v>37</v>
      </c>
      <c r="N348">
        <v>72</v>
      </c>
      <c r="P348">
        <v>0</v>
      </c>
      <c r="Q348">
        <v>7.0000000000000007E-2</v>
      </c>
      <c r="R348">
        <v>0</v>
      </c>
      <c r="S348" t="s">
        <v>38</v>
      </c>
      <c r="T348">
        <v>17</v>
      </c>
      <c r="U348">
        <v>4</v>
      </c>
      <c r="V348">
        <v>7</v>
      </c>
      <c r="W348">
        <v>0.126</v>
      </c>
      <c r="X348">
        <v>0.158</v>
      </c>
      <c r="Y348">
        <v>0</v>
      </c>
      <c r="Z348" s="19">
        <v>6291007907353</v>
      </c>
      <c r="AA348">
        <v>270</v>
      </c>
      <c r="AB348">
        <v>30</v>
      </c>
      <c r="AC348" t="s">
        <v>88</v>
      </c>
      <c r="AD348">
        <v>72</v>
      </c>
      <c r="AE348">
        <f t="shared" si="6"/>
        <v>251154</v>
      </c>
    </row>
    <row r="349" spans="1:31" x14ac:dyDescent="0.25">
      <c r="A349">
        <v>251155</v>
      </c>
      <c r="B349" t="s">
        <v>551</v>
      </c>
      <c r="C349" t="s">
        <v>509</v>
      </c>
      <c r="D349" t="s">
        <v>91</v>
      </c>
      <c r="F349" t="s">
        <v>34</v>
      </c>
      <c r="H349" t="s">
        <v>36</v>
      </c>
      <c r="I349" t="s">
        <v>145</v>
      </c>
      <c r="J349">
        <v>12</v>
      </c>
      <c r="K349" t="s">
        <v>36</v>
      </c>
      <c r="L349">
        <v>1</v>
      </c>
      <c r="M349" t="s">
        <v>37</v>
      </c>
      <c r="N349">
        <v>72</v>
      </c>
      <c r="P349">
        <v>0</v>
      </c>
      <c r="Q349">
        <v>7.0000000000000007E-2</v>
      </c>
      <c r="R349">
        <v>0</v>
      </c>
      <c r="S349" t="s">
        <v>38</v>
      </c>
      <c r="T349">
        <v>17</v>
      </c>
      <c r="U349">
        <v>4</v>
      </c>
      <c r="V349">
        <v>7</v>
      </c>
      <c r="W349">
        <v>0.126</v>
      </c>
      <c r="X349">
        <v>0.158</v>
      </c>
      <c r="Y349">
        <v>0</v>
      </c>
      <c r="Z349" s="19">
        <v>6291007907346</v>
      </c>
      <c r="AA349">
        <v>270</v>
      </c>
      <c r="AB349">
        <v>30</v>
      </c>
      <c r="AC349" t="s">
        <v>88</v>
      </c>
      <c r="AD349">
        <v>72</v>
      </c>
      <c r="AE349">
        <f t="shared" si="6"/>
        <v>251155</v>
      </c>
    </row>
    <row r="350" spans="1:31" x14ac:dyDescent="0.25">
      <c r="A350">
        <v>253303</v>
      </c>
      <c r="B350" t="s">
        <v>552</v>
      </c>
      <c r="C350" t="s">
        <v>509</v>
      </c>
      <c r="D350" t="s">
        <v>91</v>
      </c>
      <c r="F350" t="s">
        <v>103</v>
      </c>
      <c r="H350" t="s">
        <v>36</v>
      </c>
      <c r="I350" t="s">
        <v>36</v>
      </c>
      <c r="J350">
        <v>1</v>
      </c>
      <c r="K350" t="s">
        <v>37</v>
      </c>
      <c r="L350">
        <v>8</v>
      </c>
      <c r="N350">
        <v>0</v>
      </c>
      <c r="P350">
        <v>0</v>
      </c>
      <c r="Q350">
        <v>0.71</v>
      </c>
      <c r="R350">
        <v>0</v>
      </c>
      <c r="S350" t="s">
        <v>38</v>
      </c>
      <c r="T350">
        <v>28</v>
      </c>
      <c r="U350">
        <v>13</v>
      </c>
      <c r="V350">
        <v>23</v>
      </c>
      <c r="W350">
        <v>0.84699999999999998</v>
      </c>
      <c r="X350">
        <v>1.0589999999999999</v>
      </c>
      <c r="Y350">
        <v>0</v>
      </c>
      <c r="Z350" s="19">
        <v>8901063151581</v>
      </c>
      <c r="AA350">
        <v>365</v>
      </c>
      <c r="AB350">
        <v>25</v>
      </c>
      <c r="AC350" t="s">
        <v>88</v>
      </c>
      <c r="AD350">
        <v>8</v>
      </c>
      <c r="AE350">
        <f t="shared" si="6"/>
        <v>253303</v>
      </c>
    </row>
    <row r="351" spans="1:31" x14ac:dyDescent="0.25">
      <c r="A351">
        <v>295766</v>
      </c>
      <c r="B351" t="s">
        <v>553</v>
      </c>
      <c r="C351" t="s">
        <v>509</v>
      </c>
      <c r="D351" t="s">
        <v>91</v>
      </c>
      <c r="F351" t="s">
        <v>34</v>
      </c>
      <c r="H351" t="s">
        <v>36</v>
      </c>
      <c r="I351" t="s">
        <v>145</v>
      </c>
      <c r="J351">
        <v>6</v>
      </c>
      <c r="K351" t="s">
        <v>36</v>
      </c>
      <c r="L351">
        <v>1</v>
      </c>
      <c r="M351" t="s">
        <v>37</v>
      </c>
      <c r="N351">
        <v>48</v>
      </c>
      <c r="P351">
        <v>0</v>
      </c>
      <c r="Q351">
        <v>0.08</v>
      </c>
      <c r="R351">
        <v>0</v>
      </c>
      <c r="S351" t="s">
        <v>38</v>
      </c>
      <c r="T351">
        <v>6</v>
      </c>
      <c r="U351">
        <v>6</v>
      </c>
      <c r="V351">
        <v>13</v>
      </c>
      <c r="W351">
        <v>0.2</v>
      </c>
      <c r="X351">
        <v>0.25</v>
      </c>
      <c r="Y351">
        <v>0</v>
      </c>
      <c r="Z351" s="19">
        <v>8901063165601</v>
      </c>
      <c r="AA351">
        <v>365</v>
      </c>
      <c r="AB351">
        <v>30</v>
      </c>
      <c r="AC351" t="s">
        <v>88</v>
      </c>
      <c r="AD351">
        <v>48</v>
      </c>
      <c r="AE351">
        <f t="shared" si="6"/>
        <v>295766</v>
      </c>
    </row>
    <row r="352" spans="1:31" x14ac:dyDescent="0.25">
      <c r="A352">
        <v>295767</v>
      </c>
      <c r="B352" t="s">
        <v>554</v>
      </c>
      <c r="C352" t="s">
        <v>509</v>
      </c>
      <c r="D352" t="s">
        <v>91</v>
      </c>
      <c r="F352" t="s">
        <v>34</v>
      </c>
      <c r="H352" t="s">
        <v>36</v>
      </c>
      <c r="I352" t="s">
        <v>145</v>
      </c>
      <c r="J352">
        <v>6</v>
      </c>
      <c r="K352" t="s">
        <v>36</v>
      </c>
      <c r="L352">
        <v>1</v>
      </c>
      <c r="M352" t="s">
        <v>37</v>
      </c>
      <c r="N352">
        <v>48</v>
      </c>
      <c r="P352">
        <v>0</v>
      </c>
      <c r="Q352">
        <v>0.08</v>
      </c>
      <c r="R352">
        <v>0</v>
      </c>
      <c r="S352" t="s">
        <v>38</v>
      </c>
      <c r="T352">
        <v>6</v>
      </c>
      <c r="U352">
        <v>6</v>
      </c>
      <c r="V352">
        <v>13</v>
      </c>
      <c r="W352">
        <v>0.2</v>
      </c>
      <c r="X352">
        <v>0.25</v>
      </c>
      <c r="Y352">
        <v>0</v>
      </c>
      <c r="Z352" s="19">
        <v>8901063151987</v>
      </c>
      <c r="AA352">
        <v>365</v>
      </c>
      <c r="AB352">
        <v>30</v>
      </c>
      <c r="AC352" t="s">
        <v>88</v>
      </c>
      <c r="AD352">
        <v>48</v>
      </c>
      <c r="AE352">
        <f t="shared" si="6"/>
        <v>295767</v>
      </c>
    </row>
    <row r="353" spans="1:31" x14ac:dyDescent="0.25">
      <c r="A353">
        <v>295768</v>
      </c>
      <c r="B353" t="s">
        <v>555</v>
      </c>
      <c r="C353" t="s">
        <v>509</v>
      </c>
      <c r="D353" t="s">
        <v>91</v>
      </c>
      <c r="F353" t="s">
        <v>34</v>
      </c>
      <c r="H353" t="s">
        <v>36</v>
      </c>
      <c r="I353" t="s">
        <v>145</v>
      </c>
      <c r="J353">
        <v>6</v>
      </c>
      <c r="K353" t="s">
        <v>36</v>
      </c>
      <c r="L353">
        <v>1</v>
      </c>
      <c r="M353" t="s">
        <v>37</v>
      </c>
      <c r="N353">
        <v>48</v>
      </c>
      <c r="P353">
        <v>0</v>
      </c>
      <c r="Q353">
        <v>0.08</v>
      </c>
      <c r="R353">
        <v>0</v>
      </c>
      <c r="S353" t="s">
        <v>38</v>
      </c>
      <c r="T353">
        <v>6</v>
      </c>
      <c r="U353">
        <v>6</v>
      </c>
      <c r="V353">
        <v>13</v>
      </c>
      <c r="W353">
        <v>0.2</v>
      </c>
      <c r="X353">
        <v>0.25</v>
      </c>
      <c r="Y353">
        <v>0</v>
      </c>
      <c r="Z353" s="19">
        <v>8901063151963</v>
      </c>
      <c r="AA353">
        <v>365</v>
      </c>
      <c r="AB353">
        <v>30</v>
      </c>
      <c r="AC353" t="s">
        <v>88</v>
      </c>
      <c r="AD353">
        <v>48</v>
      </c>
      <c r="AE353">
        <f t="shared" si="6"/>
        <v>295768</v>
      </c>
    </row>
    <row r="354" spans="1:31" x14ac:dyDescent="0.25">
      <c r="A354">
        <v>300991</v>
      </c>
      <c r="B354" t="s">
        <v>556</v>
      </c>
      <c r="C354" t="s">
        <v>509</v>
      </c>
      <c r="D354" t="s">
        <v>91</v>
      </c>
      <c r="F354" t="s">
        <v>34</v>
      </c>
      <c r="H354" t="s">
        <v>36</v>
      </c>
      <c r="I354" t="s">
        <v>36</v>
      </c>
      <c r="J354">
        <v>1</v>
      </c>
      <c r="K354" t="s">
        <v>37</v>
      </c>
      <c r="L354">
        <v>12</v>
      </c>
      <c r="N354">
        <v>0</v>
      </c>
      <c r="P354">
        <v>0</v>
      </c>
      <c r="Q354">
        <v>1.1599999999999999</v>
      </c>
      <c r="R354">
        <v>0</v>
      </c>
      <c r="S354" t="s">
        <v>38</v>
      </c>
      <c r="T354">
        <v>18</v>
      </c>
      <c r="U354">
        <v>7</v>
      </c>
      <c r="V354">
        <v>22</v>
      </c>
      <c r="W354">
        <v>0.61799999999999999</v>
      </c>
      <c r="X354">
        <v>0.77300000000000002</v>
      </c>
      <c r="Y354">
        <v>0</v>
      </c>
      <c r="Z354" s="19">
        <v>6291007909562</v>
      </c>
      <c r="AA354">
        <v>365</v>
      </c>
      <c r="AB354">
        <v>30</v>
      </c>
      <c r="AC354" t="s">
        <v>88</v>
      </c>
      <c r="AD354">
        <v>12</v>
      </c>
      <c r="AE354">
        <f t="shared" si="6"/>
        <v>300991</v>
      </c>
    </row>
    <row r="355" spans="1:31" x14ac:dyDescent="0.25">
      <c r="A355">
        <v>302569</v>
      </c>
      <c r="B355" t="s">
        <v>557</v>
      </c>
      <c r="C355" t="s">
        <v>509</v>
      </c>
      <c r="D355" t="s">
        <v>91</v>
      </c>
      <c r="F355" t="s">
        <v>34</v>
      </c>
      <c r="H355" t="s">
        <v>36</v>
      </c>
      <c r="I355" t="s">
        <v>36</v>
      </c>
      <c r="J355">
        <v>1</v>
      </c>
      <c r="K355" t="s">
        <v>37</v>
      </c>
      <c r="L355">
        <v>24</v>
      </c>
      <c r="N355">
        <v>0</v>
      </c>
      <c r="P355">
        <v>0</v>
      </c>
      <c r="Q355">
        <v>0.12</v>
      </c>
      <c r="R355">
        <v>0</v>
      </c>
      <c r="S355" t="s">
        <v>38</v>
      </c>
      <c r="T355">
        <v>7</v>
      </c>
      <c r="U355">
        <v>4.5</v>
      </c>
      <c r="V355">
        <v>16.5</v>
      </c>
      <c r="W355">
        <v>0.28399999999999997</v>
      </c>
      <c r="X355">
        <v>0.35499999999999998</v>
      </c>
      <c r="Y355">
        <v>0</v>
      </c>
      <c r="Z355" s="19">
        <v>8901063151543</v>
      </c>
      <c r="AA355">
        <v>365</v>
      </c>
      <c r="AB355">
        <v>30</v>
      </c>
      <c r="AC355" t="s">
        <v>88</v>
      </c>
      <c r="AD355">
        <v>24</v>
      </c>
      <c r="AE355">
        <f t="shared" si="6"/>
        <v>302569</v>
      </c>
    </row>
    <row r="356" spans="1:31" x14ac:dyDescent="0.25">
      <c r="A356">
        <v>308058</v>
      </c>
      <c r="B356" t="s">
        <v>558</v>
      </c>
      <c r="C356" t="s">
        <v>509</v>
      </c>
      <c r="D356" t="s">
        <v>91</v>
      </c>
      <c r="F356" t="s">
        <v>34</v>
      </c>
      <c r="H356" t="s">
        <v>36</v>
      </c>
      <c r="I356" t="s">
        <v>145</v>
      </c>
      <c r="J356">
        <v>12</v>
      </c>
      <c r="K356" t="s">
        <v>36</v>
      </c>
      <c r="L356">
        <v>1</v>
      </c>
      <c r="M356" t="s">
        <v>37</v>
      </c>
      <c r="N356">
        <v>96</v>
      </c>
      <c r="P356">
        <v>0</v>
      </c>
      <c r="Q356">
        <v>0.06</v>
      </c>
      <c r="R356">
        <v>0</v>
      </c>
      <c r="S356" t="s">
        <v>38</v>
      </c>
      <c r="T356">
        <v>16.5</v>
      </c>
      <c r="U356">
        <v>6</v>
      </c>
      <c r="V356">
        <v>3.5</v>
      </c>
      <c r="W356">
        <v>8.1000000000000003E-2</v>
      </c>
      <c r="X356">
        <v>0.10100000000000001</v>
      </c>
      <c r="Y356">
        <v>0</v>
      </c>
      <c r="Z356" s="19">
        <v>8901063165434</v>
      </c>
      <c r="AA356">
        <v>365</v>
      </c>
      <c r="AB356">
        <v>30</v>
      </c>
      <c r="AC356" t="s">
        <v>88</v>
      </c>
      <c r="AD356">
        <v>96</v>
      </c>
      <c r="AE356">
        <f t="shared" si="6"/>
        <v>308058</v>
      </c>
    </row>
    <row r="357" spans="1:31" x14ac:dyDescent="0.25">
      <c r="A357">
        <v>308059</v>
      </c>
      <c r="B357" t="s">
        <v>559</v>
      </c>
      <c r="C357" t="s">
        <v>509</v>
      </c>
      <c r="D357" t="s">
        <v>91</v>
      </c>
      <c r="F357" t="s">
        <v>34</v>
      </c>
      <c r="H357" t="s">
        <v>36</v>
      </c>
      <c r="I357" t="s">
        <v>145</v>
      </c>
      <c r="J357">
        <v>12</v>
      </c>
      <c r="K357" t="s">
        <v>36</v>
      </c>
      <c r="L357">
        <v>1</v>
      </c>
      <c r="M357" t="s">
        <v>37</v>
      </c>
      <c r="N357">
        <v>96</v>
      </c>
      <c r="P357">
        <v>0</v>
      </c>
      <c r="Q357">
        <v>0.84</v>
      </c>
      <c r="R357">
        <v>0</v>
      </c>
      <c r="S357" t="s">
        <v>38</v>
      </c>
      <c r="T357">
        <v>31.5</v>
      </c>
      <c r="U357">
        <v>5.5</v>
      </c>
      <c r="V357">
        <v>18</v>
      </c>
      <c r="W357">
        <v>8.1000000000000003E-2</v>
      </c>
      <c r="X357">
        <v>0.10100000000000001</v>
      </c>
      <c r="Y357">
        <v>0</v>
      </c>
      <c r="Z357" s="19">
        <v>8901063165441</v>
      </c>
      <c r="AA357">
        <v>365</v>
      </c>
      <c r="AB357">
        <v>30</v>
      </c>
      <c r="AC357" t="s">
        <v>88</v>
      </c>
      <c r="AD357">
        <v>96</v>
      </c>
      <c r="AE357">
        <f t="shared" si="6"/>
        <v>308059</v>
      </c>
    </row>
    <row r="358" spans="1:31" x14ac:dyDescent="0.25">
      <c r="A358">
        <v>308871</v>
      </c>
      <c r="B358" t="s">
        <v>560</v>
      </c>
      <c r="C358" t="s">
        <v>509</v>
      </c>
      <c r="D358" t="s">
        <v>91</v>
      </c>
      <c r="F358" t="s">
        <v>103</v>
      </c>
      <c r="H358" t="s">
        <v>36</v>
      </c>
      <c r="I358" t="s">
        <v>36</v>
      </c>
      <c r="J358">
        <v>1</v>
      </c>
      <c r="K358" t="s">
        <v>37</v>
      </c>
      <c r="L358">
        <v>4</v>
      </c>
      <c r="N358">
        <v>0</v>
      </c>
      <c r="P358">
        <v>0</v>
      </c>
      <c r="Q358">
        <v>1.01</v>
      </c>
      <c r="R358">
        <v>0</v>
      </c>
      <c r="S358" t="s">
        <v>38</v>
      </c>
      <c r="T358">
        <v>31.5</v>
      </c>
      <c r="U358">
        <v>20</v>
      </c>
      <c r="V358">
        <v>6</v>
      </c>
      <c r="W358">
        <v>0.90400000000000003</v>
      </c>
      <c r="X358">
        <v>1.131</v>
      </c>
      <c r="Y358">
        <v>0</v>
      </c>
      <c r="Z358" s="19">
        <v>6291007910667</v>
      </c>
      <c r="AA358">
        <v>365</v>
      </c>
      <c r="AB358">
        <v>30</v>
      </c>
      <c r="AC358" t="s">
        <v>88</v>
      </c>
      <c r="AD358">
        <v>4</v>
      </c>
      <c r="AE358">
        <f t="shared" si="6"/>
        <v>308871</v>
      </c>
    </row>
    <row r="359" spans="1:31" x14ac:dyDescent="0.25">
      <c r="A359">
        <v>318417</v>
      </c>
      <c r="B359" t="s">
        <v>561</v>
      </c>
      <c r="C359" t="s">
        <v>509</v>
      </c>
      <c r="D359" t="s">
        <v>91</v>
      </c>
      <c r="F359" t="s">
        <v>103</v>
      </c>
      <c r="H359" t="s">
        <v>36</v>
      </c>
      <c r="I359" t="s">
        <v>36</v>
      </c>
      <c r="J359">
        <v>1</v>
      </c>
      <c r="K359" t="s">
        <v>37</v>
      </c>
      <c r="L359">
        <v>4</v>
      </c>
      <c r="N359">
        <v>0</v>
      </c>
      <c r="P359">
        <v>0</v>
      </c>
      <c r="Q359">
        <v>0.47</v>
      </c>
      <c r="R359">
        <v>0</v>
      </c>
      <c r="S359" t="s">
        <v>38</v>
      </c>
      <c r="T359">
        <v>22</v>
      </c>
      <c r="U359">
        <v>19</v>
      </c>
      <c r="V359">
        <v>6</v>
      </c>
      <c r="W359">
        <v>0.83599999999999997</v>
      </c>
      <c r="X359">
        <v>1.044</v>
      </c>
      <c r="Y359">
        <v>0</v>
      </c>
      <c r="Z359" s="19">
        <v>8901063166158</v>
      </c>
      <c r="AA359">
        <v>365</v>
      </c>
      <c r="AB359">
        <v>30</v>
      </c>
      <c r="AC359" t="s">
        <v>88</v>
      </c>
      <c r="AD359">
        <v>4</v>
      </c>
      <c r="AE359">
        <f t="shared" si="6"/>
        <v>318417</v>
      </c>
    </row>
    <row r="360" spans="1:31" x14ac:dyDescent="0.25">
      <c r="A360">
        <v>323901</v>
      </c>
      <c r="B360" t="s">
        <v>562</v>
      </c>
      <c r="C360" t="s">
        <v>509</v>
      </c>
      <c r="D360" t="s">
        <v>91</v>
      </c>
      <c r="F360" t="s">
        <v>103</v>
      </c>
      <c r="H360" t="s">
        <v>36</v>
      </c>
      <c r="I360" t="s">
        <v>36</v>
      </c>
      <c r="J360">
        <v>1</v>
      </c>
      <c r="K360" t="s">
        <v>37</v>
      </c>
      <c r="L360">
        <v>8</v>
      </c>
      <c r="N360">
        <v>0</v>
      </c>
      <c r="P360">
        <v>0</v>
      </c>
      <c r="Q360">
        <v>0.83</v>
      </c>
      <c r="R360">
        <v>0</v>
      </c>
      <c r="S360" t="s">
        <v>38</v>
      </c>
      <c r="T360">
        <v>35</v>
      </c>
      <c r="U360">
        <v>3</v>
      </c>
      <c r="V360">
        <v>23</v>
      </c>
      <c r="W360">
        <v>1.0209999999999999</v>
      </c>
      <c r="X360">
        <v>1.276</v>
      </c>
      <c r="Y360">
        <v>0</v>
      </c>
      <c r="Z360" s="19">
        <v>6291007905809</v>
      </c>
      <c r="AA360">
        <v>365</v>
      </c>
      <c r="AB360">
        <v>30</v>
      </c>
      <c r="AC360" t="s">
        <v>88</v>
      </c>
      <c r="AD360">
        <v>8</v>
      </c>
      <c r="AE360">
        <f t="shared" si="6"/>
        <v>323901</v>
      </c>
    </row>
    <row r="361" spans="1:31" x14ac:dyDescent="0.25">
      <c r="A361">
        <v>337296</v>
      </c>
      <c r="B361" t="s">
        <v>563</v>
      </c>
      <c r="C361" t="s">
        <v>509</v>
      </c>
      <c r="D361" t="s">
        <v>91</v>
      </c>
      <c r="F361" t="s">
        <v>34</v>
      </c>
      <c r="H361" t="s">
        <v>36</v>
      </c>
      <c r="I361" t="s">
        <v>145</v>
      </c>
      <c r="J361">
        <v>8</v>
      </c>
      <c r="K361" t="s">
        <v>36</v>
      </c>
      <c r="L361">
        <v>1</v>
      </c>
      <c r="M361" t="s">
        <v>37</v>
      </c>
      <c r="N361">
        <v>96</v>
      </c>
      <c r="P361">
        <v>0</v>
      </c>
      <c r="Q361">
        <v>0.03</v>
      </c>
      <c r="R361">
        <v>0</v>
      </c>
      <c r="S361" t="s">
        <v>38</v>
      </c>
      <c r="T361">
        <v>9.5</v>
      </c>
      <c r="U361">
        <v>12</v>
      </c>
      <c r="V361">
        <v>2</v>
      </c>
      <c r="W361">
        <v>0.158</v>
      </c>
      <c r="X361">
        <v>0.19800000000000001</v>
      </c>
      <c r="Y361">
        <v>0</v>
      </c>
      <c r="Z361" s="19">
        <v>6291007911459</v>
      </c>
      <c r="AA361">
        <v>270</v>
      </c>
      <c r="AB361">
        <v>30</v>
      </c>
      <c r="AC361" t="s">
        <v>88</v>
      </c>
      <c r="AD361">
        <v>96</v>
      </c>
      <c r="AE361">
        <f t="shared" si="6"/>
        <v>337296</v>
      </c>
    </row>
    <row r="362" spans="1:31" x14ac:dyDescent="0.25">
      <c r="A362">
        <v>337297</v>
      </c>
      <c r="B362" t="s">
        <v>564</v>
      </c>
      <c r="C362" t="s">
        <v>509</v>
      </c>
      <c r="D362" t="s">
        <v>91</v>
      </c>
      <c r="F362" t="s">
        <v>34</v>
      </c>
      <c r="H362" t="s">
        <v>36</v>
      </c>
      <c r="I362" t="s">
        <v>145</v>
      </c>
      <c r="J362">
        <v>8</v>
      </c>
      <c r="K362" t="s">
        <v>36</v>
      </c>
      <c r="L362">
        <v>1</v>
      </c>
      <c r="M362" t="s">
        <v>37</v>
      </c>
      <c r="N362">
        <v>96</v>
      </c>
      <c r="P362">
        <v>0</v>
      </c>
      <c r="Q362">
        <v>0.28999999999999998</v>
      </c>
      <c r="R362">
        <v>0</v>
      </c>
      <c r="S362" t="s">
        <v>38</v>
      </c>
      <c r="T362">
        <v>23</v>
      </c>
      <c r="U362">
        <v>3</v>
      </c>
      <c r="V362">
        <v>18.5</v>
      </c>
      <c r="W362">
        <v>0.158</v>
      </c>
      <c r="X362">
        <v>0.19800000000000001</v>
      </c>
      <c r="Y362">
        <v>0</v>
      </c>
      <c r="Z362" s="19">
        <v>6291007911473</v>
      </c>
      <c r="AA362">
        <v>270</v>
      </c>
      <c r="AB362">
        <v>30</v>
      </c>
      <c r="AC362" t="s">
        <v>88</v>
      </c>
      <c r="AD362">
        <v>96</v>
      </c>
      <c r="AE362">
        <f t="shared" si="6"/>
        <v>337297</v>
      </c>
    </row>
    <row r="363" spans="1:31" x14ac:dyDescent="0.25">
      <c r="A363">
        <v>346094</v>
      </c>
      <c r="B363" t="s">
        <v>565</v>
      </c>
      <c r="C363" t="s">
        <v>509</v>
      </c>
      <c r="D363" t="s">
        <v>91</v>
      </c>
      <c r="F363" t="s">
        <v>34</v>
      </c>
      <c r="H363" t="s">
        <v>36</v>
      </c>
      <c r="I363" t="s">
        <v>36</v>
      </c>
      <c r="J363">
        <v>1</v>
      </c>
      <c r="K363" t="s">
        <v>37</v>
      </c>
      <c r="L363">
        <v>24</v>
      </c>
      <c r="N363">
        <v>0</v>
      </c>
      <c r="P363">
        <v>0</v>
      </c>
      <c r="Q363">
        <v>0.15</v>
      </c>
      <c r="R363">
        <v>0</v>
      </c>
      <c r="S363" t="s">
        <v>38</v>
      </c>
      <c r="T363">
        <v>5</v>
      </c>
      <c r="U363">
        <v>5</v>
      </c>
      <c r="V363">
        <v>16.5</v>
      </c>
      <c r="W363">
        <v>0.249</v>
      </c>
      <c r="X363">
        <v>0.311</v>
      </c>
      <c r="Y363">
        <v>0</v>
      </c>
      <c r="Z363" s="19">
        <v>6291007906110</v>
      </c>
      <c r="AA363">
        <v>365</v>
      </c>
      <c r="AB363">
        <v>30</v>
      </c>
      <c r="AC363" t="s">
        <v>88</v>
      </c>
      <c r="AD363">
        <v>24</v>
      </c>
      <c r="AE363">
        <f t="shared" si="6"/>
        <v>346094</v>
      </c>
    </row>
    <row r="364" spans="1:31" x14ac:dyDescent="0.25">
      <c r="A364">
        <v>346095</v>
      </c>
      <c r="B364" t="s">
        <v>566</v>
      </c>
      <c r="C364" t="s">
        <v>509</v>
      </c>
      <c r="D364" t="s">
        <v>91</v>
      </c>
      <c r="F364" t="s">
        <v>34</v>
      </c>
      <c r="H364" t="s">
        <v>36</v>
      </c>
      <c r="I364" t="s">
        <v>36</v>
      </c>
      <c r="J364">
        <v>1</v>
      </c>
      <c r="K364" t="s">
        <v>37</v>
      </c>
      <c r="L364">
        <v>24</v>
      </c>
      <c r="N364">
        <v>0</v>
      </c>
      <c r="P364">
        <v>0</v>
      </c>
      <c r="Q364">
        <v>0.13</v>
      </c>
      <c r="R364">
        <v>0</v>
      </c>
      <c r="S364" t="s">
        <v>38</v>
      </c>
      <c r="T364">
        <v>5</v>
      </c>
      <c r="U364">
        <v>5</v>
      </c>
      <c r="V364">
        <v>17</v>
      </c>
      <c r="W364">
        <v>0.249</v>
      </c>
      <c r="X364">
        <v>0.311</v>
      </c>
      <c r="Y364">
        <v>0</v>
      </c>
      <c r="Z364" s="19">
        <v>6291007906103</v>
      </c>
      <c r="AA364">
        <v>365</v>
      </c>
      <c r="AB364">
        <v>30</v>
      </c>
      <c r="AC364" t="s">
        <v>88</v>
      </c>
      <c r="AD364">
        <v>24</v>
      </c>
      <c r="AE364">
        <f t="shared" si="6"/>
        <v>346095</v>
      </c>
    </row>
    <row r="365" spans="1:31" x14ac:dyDescent="0.25">
      <c r="A365">
        <v>346096</v>
      </c>
      <c r="B365" t="s">
        <v>567</v>
      </c>
      <c r="C365" t="s">
        <v>509</v>
      </c>
      <c r="D365" t="s">
        <v>91</v>
      </c>
      <c r="F365" t="s">
        <v>34</v>
      </c>
      <c r="H365" t="s">
        <v>36</v>
      </c>
      <c r="I365" t="s">
        <v>36</v>
      </c>
      <c r="J365">
        <v>1</v>
      </c>
      <c r="K365" t="s">
        <v>37</v>
      </c>
      <c r="L365">
        <v>24</v>
      </c>
      <c r="N365">
        <v>0</v>
      </c>
      <c r="P365">
        <v>0</v>
      </c>
      <c r="Q365">
        <v>0.15</v>
      </c>
      <c r="R365">
        <v>0</v>
      </c>
      <c r="S365" t="s">
        <v>38</v>
      </c>
      <c r="T365">
        <v>5</v>
      </c>
      <c r="U365">
        <v>5</v>
      </c>
      <c r="V365">
        <v>16.5</v>
      </c>
      <c r="W365">
        <v>0.249</v>
      </c>
      <c r="X365">
        <v>0.311</v>
      </c>
      <c r="Y365">
        <v>0</v>
      </c>
      <c r="Z365" s="19">
        <v>6291007906097</v>
      </c>
      <c r="AA365">
        <v>365</v>
      </c>
      <c r="AB365">
        <v>30</v>
      </c>
      <c r="AC365" t="s">
        <v>88</v>
      </c>
      <c r="AD365">
        <v>24</v>
      </c>
      <c r="AE365">
        <f t="shared" si="6"/>
        <v>346096</v>
      </c>
    </row>
    <row r="366" spans="1:31" x14ac:dyDescent="0.25">
      <c r="A366">
        <v>348107</v>
      </c>
      <c r="B366" t="s">
        <v>568</v>
      </c>
      <c r="C366" t="s">
        <v>509</v>
      </c>
      <c r="D366" t="s">
        <v>91</v>
      </c>
      <c r="F366" t="s">
        <v>103</v>
      </c>
      <c r="H366" t="s">
        <v>36</v>
      </c>
      <c r="I366" t="s">
        <v>36</v>
      </c>
      <c r="J366">
        <v>1</v>
      </c>
      <c r="K366" t="s">
        <v>37</v>
      </c>
      <c r="L366">
        <v>4</v>
      </c>
      <c r="N366">
        <v>0</v>
      </c>
      <c r="P366">
        <v>0</v>
      </c>
      <c r="Q366">
        <v>1.39</v>
      </c>
      <c r="R366">
        <v>0</v>
      </c>
      <c r="S366" t="s">
        <v>38</v>
      </c>
      <c r="T366">
        <v>21</v>
      </c>
      <c r="U366">
        <v>7.5</v>
      </c>
      <c r="V366">
        <v>22</v>
      </c>
      <c r="W366">
        <v>1.4359999999999999</v>
      </c>
      <c r="X366">
        <v>1.8</v>
      </c>
      <c r="Y366">
        <v>0</v>
      </c>
      <c r="Z366" s="19">
        <v>6291007913224</v>
      </c>
      <c r="AA366">
        <v>365</v>
      </c>
      <c r="AB366">
        <v>30</v>
      </c>
      <c r="AC366" t="s">
        <v>88</v>
      </c>
      <c r="AD366">
        <v>4</v>
      </c>
      <c r="AE366">
        <f t="shared" si="6"/>
        <v>348107</v>
      </c>
    </row>
    <row r="367" spans="1:31" x14ac:dyDescent="0.25">
      <c r="A367">
        <v>348108</v>
      </c>
      <c r="B367" t="s">
        <v>569</v>
      </c>
      <c r="C367" t="s">
        <v>509</v>
      </c>
      <c r="D367" t="s">
        <v>91</v>
      </c>
      <c r="F367" t="s">
        <v>103</v>
      </c>
      <c r="H367" t="s">
        <v>36</v>
      </c>
      <c r="I367" t="s">
        <v>36</v>
      </c>
      <c r="J367">
        <v>1</v>
      </c>
      <c r="K367" t="s">
        <v>37</v>
      </c>
      <c r="L367">
        <v>4</v>
      </c>
      <c r="N367">
        <v>0</v>
      </c>
      <c r="P367">
        <v>0</v>
      </c>
      <c r="Q367">
        <v>1.2</v>
      </c>
      <c r="R367">
        <v>0</v>
      </c>
      <c r="S367" t="s">
        <v>38</v>
      </c>
      <c r="T367">
        <v>17.5</v>
      </c>
      <c r="U367">
        <v>7.5</v>
      </c>
      <c r="V367">
        <v>21.5</v>
      </c>
      <c r="W367">
        <v>1.36</v>
      </c>
      <c r="X367">
        <v>1.8</v>
      </c>
      <c r="Y367">
        <v>0</v>
      </c>
      <c r="Z367" s="19">
        <v>6291007913217</v>
      </c>
      <c r="AA367">
        <v>270</v>
      </c>
      <c r="AB367">
        <v>30</v>
      </c>
      <c r="AC367" t="s">
        <v>88</v>
      </c>
      <c r="AD367">
        <v>4</v>
      </c>
      <c r="AE367">
        <f t="shared" si="6"/>
        <v>348108</v>
      </c>
    </row>
    <row r="368" spans="1:31" x14ac:dyDescent="0.25">
      <c r="A368">
        <v>348109</v>
      </c>
      <c r="B368" t="s">
        <v>570</v>
      </c>
      <c r="C368" t="s">
        <v>509</v>
      </c>
      <c r="D368" t="s">
        <v>91</v>
      </c>
      <c r="F368" t="s">
        <v>103</v>
      </c>
      <c r="H368" t="s">
        <v>36</v>
      </c>
      <c r="I368" t="s">
        <v>36</v>
      </c>
      <c r="J368">
        <v>1</v>
      </c>
      <c r="K368" t="s">
        <v>37</v>
      </c>
      <c r="L368">
        <v>6</v>
      </c>
      <c r="N368">
        <v>0</v>
      </c>
      <c r="P368">
        <v>0</v>
      </c>
      <c r="Q368">
        <v>0.92</v>
      </c>
      <c r="R368">
        <v>0</v>
      </c>
      <c r="S368" t="s">
        <v>38</v>
      </c>
      <c r="T368">
        <v>21</v>
      </c>
      <c r="U368">
        <v>7.5</v>
      </c>
      <c r="V368">
        <v>14</v>
      </c>
      <c r="W368">
        <v>0.94299999999999995</v>
      </c>
      <c r="X368">
        <v>1.18</v>
      </c>
      <c r="Y368">
        <v>0</v>
      </c>
      <c r="Z368" s="19">
        <v>6291007910537</v>
      </c>
      <c r="AA368">
        <v>365</v>
      </c>
      <c r="AB368">
        <v>30</v>
      </c>
      <c r="AC368" t="s">
        <v>88</v>
      </c>
      <c r="AD368">
        <v>6</v>
      </c>
      <c r="AE368">
        <f t="shared" si="6"/>
        <v>348109</v>
      </c>
    </row>
    <row r="369" spans="1:31" x14ac:dyDescent="0.25">
      <c r="A369">
        <v>348110</v>
      </c>
      <c r="B369" t="s">
        <v>571</v>
      </c>
      <c r="C369" t="s">
        <v>509</v>
      </c>
      <c r="D369" t="s">
        <v>91</v>
      </c>
      <c r="F369" t="s">
        <v>103</v>
      </c>
      <c r="H369" t="s">
        <v>36</v>
      </c>
      <c r="I369" t="s">
        <v>36</v>
      </c>
      <c r="J369">
        <v>1</v>
      </c>
      <c r="K369" t="s">
        <v>37</v>
      </c>
      <c r="L369">
        <v>6</v>
      </c>
      <c r="N369">
        <v>0</v>
      </c>
      <c r="P369">
        <v>0</v>
      </c>
      <c r="Q369">
        <v>0.82</v>
      </c>
      <c r="R369">
        <v>0</v>
      </c>
      <c r="S369" t="s">
        <v>38</v>
      </c>
      <c r="T369">
        <v>18</v>
      </c>
      <c r="U369">
        <v>14.5</v>
      </c>
      <c r="V369">
        <v>7</v>
      </c>
      <c r="W369">
        <v>0.88100000000000001</v>
      </c>
      <c r="X369">
        <v>1.18</v>
      </c>
      <c r="Y369">
        <v>0</v>
      </c>
      <c r="Z369" s="19">
        <v>6291007903133</v>
      </c>
      <c r="AA369">
        <v>270</v>
      </c>
      <c r="AB369">
        <v>30</v>
      </c>
      <c r="AC369" t="s">
        <v>88</v>
      </c>
      <c r="AD369">
        <v>6</v>
      </c>
      <c r="AE369">
        <f t="shared" si="6"/>
        <v>348110</v>
      </c>
    </row>
    <row r="370" spans="1:31" x14ac:dyDescent="0.25">
      <c r="A370">
        <v>352835</v>
      </c>
      <c r="B370" t="s">
        <v>572</v>
      </c>
      <c r="C370" t="s">
        <v>509</v>
      </c>
      <c r="D370" t="s">
        <v>91</v>
      </c>
      <c r="F370" t="s">
        <v>34</v>
      </c>
      <c r="H370" t="s">
        <v>36</v>
      </c>
      <c r="I370" t="s">
        <v>36</v>
      </c>
      <c r="J370">
        <v>1</v>
      </c>
      <c r="K370" t="s">
        <v>37</v>
      </c>
      <c r="L370">
        <v>8</v>
      </c>
      <c r="N370">
        <v>0</v>
      </c>
      <c r="P370">
        <v>0</v>
      </c>
      <c r="Q370">
        <v>0.37</v>
      </c>
      <c r="R370">
        <v>0</v>
      </c>
      <c r="S370" t="s">
        <v>38</v>
      </c>
      <c r="T370">
        <v>17</v>
      </c>
      <c r="U370">
        <v>16</v>
      </c>
      <c r="V370">
        <v>5.5</v>
      </c>
      <c r="W370">
        <v>0.71299999999999997</v>
      </c>
      <c r="X370">
        <v>0.9</v>
      </c>
      <c r="Y370">
        <v>0</v>
      </c>
      <c r="Z370" s="19">
        <v>8901063166493</v>
      </c>
      <c r="AA370">
        <v>365</v>
      </c>
      <c r="AB370">
        <v>30</v>
      </c>
      <c r="AC370" t="s">
        <v>88</v>
      </c>
      <c r="AD370">
        <v>8</v>
      </c>
      <c r="AE370">
        <f t="shared" si="6"/>
        <v>352835</v>
      </c>
    </row>
    <row r="371" spans="1:31" x14ac:dyDescent="0.25">
      <c r="A371">
        <v>356736</v>
      </c>
      <c r="B371" t="s">
        <v>573</v>
      </c>
      <c r="C371" t="s">
        <v>509</v>
      </c>
      <c r="D371" t="s">
        <v>91</v>
      </c>
      <c r="F371" t="s">
        <v>103</v>
      </c>
      <c r="H371" t="s">
        <v>36</v>
      </c>
      <c r="I371" t="s">
        <v>36</v>
      </c>
      <c r="J371">
        <v>1</v>
      </c>
      <c r="K371" t="s">
        <v>37</v>
      </c>
      <c r="L371">
        <v>5</v>
      </c>
      <c r="N371">
        <v>0</v>
      </c>
      <c r="P371">
        <v>0</v>
      </c>
      <c r="Q371">
        <v>0.78</v>
      </c>
      <c r="R371">
        <v>0</v>
      </c>
      <c r="S371" t="s">
        <v>38</v>
      </c>
      <c r="T371">
        <v>31</v>
      </c>
      <c r="U371">
        <v>20</v>
      </c>
      <c r="V371">
        <v>4</v>
      </c>
      <c r="W371">
        <v>0.876</v>
      </c>
      <c r="X371">
        <v>1.1599999999999999</v>
      </c>
      <c r="Y371">
        <v>0</v>
      </c>
      <c r="Z371" s="19">
        <v>8901063165359</v>
      </c>
      <c r="AA371">
        <v>365</v>
      </c>
      <c r="AB371">
        <v>30</v>
      </c>
      <c r="AC371" t="s">
        <v>88</v>
      </c>
      <c r="AD371">
        <v>5</v>
      </c>
      <c r="AE371">
        <f t="shared" si="6"/>
        <v>356736</v>
      </c>
    </row>
    <row r="372" spans="1:31" x14ac:dyDescent="0.25">
      <c r="A372">
        <v>357939</v>
      </c>
      <c r="B372" t="s">
        <v>574</v>
      </c>
      <c r="C372" t="s">
        <v>509</v>
      </c>
      <c r="D372" t="s">
        <v>91</v>
      </c>
      <c r="F372" t="s">
        <v>34</v>
      </c>
      <c r="H372" t="s">
        <v>36</v>
      </c>
      <c r="I372" t="s">
        <v>36</v>
      </c>
      <c r="J372">
        <v>1</v>
      </c>
      <c r="K372" t="s">
        <v>37</v>
      </c>
      <c r="L372">
        <v>24</v>
      </c>
      <c r="N372">
        <v>0</v>
      </c>
      <c r="P372">
        <v>0</v>
      </c>
      <c r="Q372">
        <v>0.1</v>
      </c>
      <c r="R372">
        <v>0</v>
      </c>
      <c r="S372" t="s">
        <v>38</v>
      </c>
      <c r="T372">
        <v>4</v>
      </c>
      <c r="U372">
        <v>4</v>
      </c>
      <c r="V372">
        <v>14</v>
      </c>
      <c r="W372">
        <v>0.154</v>
      </c>
      <c r="X372">
        <v>0.192</v>
      </c>
      <c r="Y372">
        <v>0</v>
      </c>
      <c r="Z372" s="19">
        <v>8901063242029</v>
      </c>
      <c r="AA372">
        <v>365</v>
      </c>
      <c r="AB372">
        <v>30</v>
      </c>
      <c r="AC372" t="s">
        <v>88</v>
      </c>
      <c r="AD372">
        <v>24</v>
      </c>
      <c r="AE372">
        <f t="shared" si="6"/>
        <v>357939</v>
      </c>
    </row>
    <row r="373" spans="1:31" x14ac:dyDescent="0.25">
      <c r="A373">
        <v>357940</v>
      </c>
      <c r="B373" t="s">
        <v>575</v>
      </c>
      <c r="C373" t="s">
        <v>509</v>
      </c>
      <c r="D373" t="s">
        <v>91</v>
      </c>
      <c r="F373" t="s">
        <v>34</v>
      </c>
      <c r="H373" t="s">
        <v>36</v>
      </c>
      <c r="I373" t="s">
        <v>36</v>
      </c>
      <c r="J373">
        <v>1</v>
      </c>
      <c r="K373" t="s">
        <v>37</v>
      </c>
      <c r="L373">
        <v>24</v>
      </c>
      <c r="N373">
        <v>0</v>
      </c>
      <c r="P373">
        <v>0</v>
      </c>
      <c r="Q373">
        <v>0.15</v>
      </c>
      <c r="R373">
        <v>0</v>
      </c>
      <c r="S373" t="s">
        <v>38</v>
      </c>
      <c r="T373">
        <v>9</v>
      </c>
      <c r="U373">
        <v>9</v>
      </c>
      <c r="V373">
        <v>4.2</v>
      </c>
      <c r="W373">
        <v>0.20599999999999999</v>
      </c>
      <c r="X373">
        <v>0.25800000000000001</v>
      </c>
      <c r="Y373">
        <v>0</v>
      </c>
      <c r="Z373" s="19">
        <v>8901063151413</v>
      </c>
      <c r="AA373">
        <v>365</v>
      </c>
      <c r="AB373">
        <v>30</v>
      </c>
      <c r="AC373" t="s">
        <v>88</v>
      </c>
      <c r="AD373">
        <v>24</v>
      </c>
      <c r="AE373">
        <f t="shared" si="6"/>
        <v>357940</v>
      </c>
    </row>
    <row r="374" spans="1:31" x14ac:dyDescent="0.25">
      <c r="A374">
        <v>365212</v>
      </c>
      <c r="B374" t="s">
        <v>576</v>
      </c>
      <c r="C374" t="s">
        <v>509</v>
      </c>
      <c r="D374" t="s">
        <v>91</v>
      </c>
      <c r="F374" t="s">
        <v>34</v>
      </c>
      <c r="H374" t="s">
        <v>36</v>
      </c>
      <c r="I374" t="s">
        <v>36</v>
      </c>
      <c r="J374">
        <v>1</v>
      </c>
      <c r="K374" t="s">
        <v>37</v>
      </c>
      <c r="L374">
        <v>24</v>
      </c>
      <c r="N374">
        <v>0</v>
      </c>
      <c r="P374">
        <v>0</v>
      </c>
      <c r="Q374">
        <v>0.08</v>
      </c>
      <c r="R374">
        <v>0</v>
      </c>
      <c r="S374" t="s">
        <v>38</v>
      </c>
      <c r="T374">
        <v>13.5</v>
      </c>
      <c r="U374">
        <v>6</v>
      </c>
      <c r="V374">
        <v>6</v>
      </c>
      <c r="W374">
        <v>0.154</v>
      </c>
      <c r="X374">
        <v>0.193</v>
      </c>
      <c r="Y374">
        <v>0</v>
      </c>
      <c r="Z374" s="19">
        <v>6291007901047</v>
      </c>
      <c r="AA374">
        <v>365</v>
      </c>
      <c r="AB374">
        <v>30</v>
      </c>
      <c r="AC374" t="s">
        <v>88</v>
      </c>
      <c r="AD374">
        <v>24</v>
      </c>
      <c r="AE374">
        <f t="shared" si="6"/>
        <v>365212</v>
      </c>
    </row>
    <row r="375" spans="1:31" x14ac:dyDescent="0.25">
      <c r="A375">
        <v>365213</v>
      </c>
      <c r="B375" t="s">
        <v>577</v>
      </c>
      <c r="C375" t="s">
        <v>509</v>
      </c>
      <c r="D375" t="s">
        <v>91</v>
      </c>
      <c r="F375" t="s">
        <v>34</v>
      </c>
      <c r="H375" t="s">
        <v>36</v>
      </c>
      <c r="I375" t="s">
        <v>36</v>
      </c>
      <c r="J375">
        <v>1</v>
      </c>
      <c r="K375" t="s">
        <v>37</v>
      </c>
      <c r="L375">
        <v>24</v>
      </c>
      <c r="N375">
        <v>0</v>
      </c>
      <c r="P375">
        <v>0</v>
      </c>
      <c r="Q375">
        <v>0.08</v>
      </c>
      <c r="R375">
        <v>0</v>
      </c>
      <c r="S375" t="s">
        <v>38</v>
      </c>
      <c r="T375">
        <v>13.5</v>
      </c>
      <c r="U375">
        <v>6</v>
      </c>
      <c r="V375">
        <v>6</v>
      </c>
      <c r="W375">
        <v>0.154</v>
      </c>
      <c r="X375">
        <v>0.193</v>
      </c>
      <c r="Y375">
        <v>0</v>
      </c>
      <c r="Z375" s="19">
        <v>6291007901030</v>
      </c>
      <c r="AA375">
        <v>365</v>
      </c>
      <c r="AB375">
        <v>30</v>
      </c>
      <c r="AC375" t="s">
        <v>88</v>
      </c>
      <c r="AD375">
        <v>24</v>
      </c>
      <c r="AE375">
        <f t="shared" si="6"/>
        <v>365213</v>
      </c>
    </row>
    <row r="376" spans="1:31" x14ac:dyDescent="0.25">
      <c r="A376">
        <v>365214</v>
      </c>
      <c r="B376" t="s">
        <v>578</v>
      </c>
      <c r="C376" t="s">
        <v>509</v>
      </c>
      <c r="D376" t="s">
        <v>91</v>
      </c>
      <c r="F376" t="s">
        <v>34</v>
      </c>
      <c r="H376" t="s">
        <v>36</v>
      </c>
      <c r="I376" t="s">
        <v>36</v>
      </c>
      <c r="J376">
        <v>1</v>
      </c>
      <c r="K376" t="s">
        <v>37</v>
      </c>
      <c r="L376">
        <v>24</v>
      </c>
      <c r="N376">
        <v>0</v>
      </c>
      <c r="P376">
        <v>0</v>
      </c>
      <c r="Q376">
        <v>0.08</v>
      </c>
      <c r="R376">
        <v>0</v>
      </c>
      <c r="S376" t="s">
        <v>38</v>
      </c>
      <c r="T376">
        <v>13.5</v>
      </c>
      <c r="U376">
        <v>6</v>
      </c>
      <c r="V376">
        <v>6</v>
      </c>
      <c r="W376">
        <v>0.154</v>
      </c>
      <c r="X376">
        <v>0.193</v>
      </c>
      <c r="Y376">
        <v>0</v>
      </c>
      <c r="Z376" s="19">
        <v>6291007901016</v>
      </c>
      <c r="AA376">
        <v>365</v>
      </c>
      <c r="AB376">
        <v>30</v>
      </c>
      <c r="AC376" t="s">
        <v>88</v>
      </c>
      <c r="AD376">
        <v>24</v>
      </c>
      <c r="AE376">
        <f t="shared" si="6"/>
        <v>365214</v>
      </c>
    </row>
    <row r="377" spans="1:31" x14ac:dyDescent="0.25">
      <c r="A377">
        <v>365215</v>
      </c>
      <c r="B377" t="s">
        <v>579</v>
      </c>
      <c r="C377" t="s">
        <v>509</v>
      </c>
      <c r="D377" t="s">
        <v>91</v>
      </c>
      <c r="F377" t="s">
        <v>103</v>
      </c>
      <c r="H377" t="s">
        <v>36</v>
      </c>
      <c r="I377" t="s">
        <v>36</v>
      </c>
      <c r="J377">
        <v>1</v>
      </c>
      <c r="K377" t="s">
        <v>37</v>
      </c>
      <c r="L377">
        <v>6</v>
      </c>
      <c r="N377">
        <v>0</v>
      </c>
      <c r="P377">
        <v>0</v>
      </c>
      <c r="Q377">
        <v>0.61</v>
      </c>
      <c r="R377">
        <v>0</v>
      </c>
      <c r="S377" t="s">
        <v>38</v>
      </c>
      <c r="T377">
        <v>5</v>
      </c>
      <c r="U377">
        <v>20.5</v>
      </c>
      <c r="V377">
        <v>25.5</v>
      </c>
      <c r="W377">
        <v>0.90500000000000003</v>
      </c>
      <c r="X377">
        <v>1.1319999999999999</v>
      </c>
      <c r="Y377">
        <v>0</v>
      </c>
      <c r="Z377" s="19">
        <v>6291007913446</v>
      </c>
      <c r="AA377">
        <v>365</v>
      </c>
      <c r="AB377">
        <v>30</v>
      </c>
      <c r="AC377" t="s">
        <v>88</v>
      </c>
      <c r="AD377">
        <v>6</v>
      </c>
      <c r="AE377">
        <f t="shared" si="6"/>
        <v>365215</v>
      </c>
    </row>
    <row r="378" spans="1:31" x14ac:dyDescent="0.25">
      <c r="A378">
        <v>365216</v>
      </c>
      <c r="B378" t="s">
        <v>580</v>
      </c>
      <c r="C378" t="s">
        <v>509</v>
      </c>
      <c r="D378" t="s">
        <v>91</v>
      </c>
      <c r="F378" t="s">
        <v>103</v>
      </c>
      <c r="H378" t="s">
        <v>36</v>
      </c>
      <c r="I378" t="s">
        <v>36</v>
      </c>
      <c r="J378">
        <v>1</v>
      </c>
      <c r="K378" t="s">
        <v>37</v>
      </c>
      <c r="L378">
        <v>6</v>
      </c>
      <c r="N378">
        <v>0</v>
      </c>
      <c r="P378">
        <v>0</v>
      </c>
      <c r="Q378">
        <v>0.61</v>
      </c>
      <c r="R378">
        <v>0</v>
      </c>
      <c r="S378" t="s">
        <v>38</v>
      </c>
      <c r="T378">
        <v>20</v>
      </c>
      <c r="U378">
        <v>6</v>
      </c>
      <c r="V378">
        <v>25.5</v>
      </c>
      <c r="W378">
        <v>0.90500000000000003</v>
      </c>
      <c r="X378">
        <v>1.1319999999999999</v>
      </c>
      <c r="Y378">
        <v>0</v>
      </c>
      <c r="Z378" s="19">
        <v>6291007913453</v>
      </c>
      <c r="AA378">
        <v>365</v>
      </c>
      <c r="AB378">
        <v>30</v>
      </c>
      <c r="AC378" t="s">
        <v>88</v>
      </c>
      <c r="AD378">
        <v>6</v>
      </c>
      <c r="AE378">
        <f t="shared" si="6"/>
        <v>365216</v>
      </c>
    </row>
    <row r="379" spans="1:31" x14ac:dyDescent="0.25">
      <c r="A379">
        <v>365217</v>
      </c>
      <c r="B379" t="s">
        <v>581</v>
      </c>
      <c r="C379" t="s">
        <v>509</v>
      </c>
      <c r="D379" t="s">
        <v>91</v>
      </c>
      <c r="F379" t="s">
        <v>103</v>
      </c>
      <c r="H379" t="s">
        <v>36</v>
      </c>
      <c r="I379" t="s">
        <v>36</v>
      </c>
      <c r="J379">
        <v>1</v>
      </c>
      <c r="K379" t="s">
        <v>37</v>
      </c>
      <c r="L379">
        <v>6</v>
      </c>
      <c r="N379">
        <v>0</v>
      </c>
      <c r="P379">
        <v>0</v>
      </c>
      <c r="Q379">
        <v>0.61</v>
      </c>
      <c r="R379">
        <v>0</v>
      </c>
      <c r="S379" t="s">
        <v>38</v>
      </c>
      <c r="T379">
        <v>20</v>
      </c>
      <c r="U379">
        <v>6</v>
      </c>
      <c r="V379">
        <v>25.5</v>
      </c>
      <c r="W379">
        <v>0.90500000000000003</v>
      </c>
      <c r="X379">
        <v>1.1319999999999999</v>
      </c>
      <c r="Y379">
        <v>0</v>
      </c>
      <c r="Z379" s="19">
        <v>6291007913460</v>
      </c>
      <c r="AA379">
        <v>365</v>
      </c>
      <c r="AB379">
        <v>30</v>
      </c>
      <c r="AC379" t="s">
        <v>88</v>
      </c>
      <c r="AD379">
        <v>6</v>
      </c>
      <c r="AE379">
        <f t="shared" si="6"/>
        <v>365217</v>
      </c>
    </row>
    <row r="380" spans="1:31" x14ac:dyDescent="0.25">
      <c r="A380">
        <v>365220</v>
      </c>
      <c r="B380" t="s">
        <v>582</v>
      </c>
      <c r="C380" t="s">
        <v>509</v>
      </c>
      <c r="D380" t="s">
        <v>91</v>
      </c>
      <c r="F380" t="s">
        <v>103</v>
      </c>
      <c r="H380" t="s">
        <v>36</v>
      </c>
      <c r="I380" t="s">
        <v>36</v>
      </c>
      <c r="J380">
        <v>1</v>
      </c>
      <c r="K380" t="s">
        <v>37</v>
      </c>
      <c r="L380">
        <v>6</v>
      </c>
      <c r="N380">
        <v>0</v>
      </c>
      <c r="P380">
        <v>0</v>
      </c>
      <c r="Q380">
        <v>1.2</v>
      </c>
      <c r="R380">
        <v>0</v>
      </c>
      <c r="S380" t="s">
        <v>38</v>
      </c>
      <c r="T380">
        <v>10</v>
      </c>
      <c r="U380">
        <v>7.2</v>
      </c>
      <c r="V380">
        <v>3.5</v>
      </c>
      <c r="W380">
        <v>1.5880000000000001</v>
      </c>
      <c r="X380">
        <v>1.9850000000000001</v>
      </c>
      <c r="Y380">
        <v>0</v>
      </c>
      <c r="Z380" s="19">
        <v>6291007913491</v>
      </c>
      <c r="AA380">
        <v>365</v>
      </c>
      <c r="AB380">
        <v>30</v>
      </c>
      <c r="AC380" t="s">
        <v>88</v>
      </c>
      <c r="AD380">
        <v>6</v>
      </c>
      <c r="AE380">
        <f t="shared" si="6"/>
        <v>365220</v>
      </c>
    </row>
    <row r="381" spans="1:31" x14ac:dyDescent="0.25">
      <c r="A381">
        <v>365221</v>
      </c>
      <c r="B381" t="s">
        <v>583</v>
      </c>
      <c r="C381" t="s">
        <v>509</v>
      </c>
      <c r="D381" t="s">
        <v>91</v>
      </c>
      <c r="F381" t="s">
        <v>34</v>
      </c>
      <c r="H381" t="s">
        <v>36</v>
      </c>
      <c r="I381" t="s">
        <v>36</v>
      </c>
      <c r="J381">
        <v>1</v>
      </c>
      <c r="K381" t="s">
        <v>37</v>
      </c>
      <c r="L381">
        <v>10</v>
      </c>
      <c r="N381">
        <v>0</v>
      </c>
      <c r="P381">
        <v>0</v>
      </c>
      <c r="Q381">
        <v>0.39</v>
      </c>
      <c r="R381">
        <v>0</v>
      </c>
      <c r="S381" t="s">
        <v>38</v>
      </c>
      <c r="T381">
        <v>25</v>
      </c>
      <c r="U381">
        <v>6</v>
      </c>
      <c r="V381">
        <v>14</v>
      </c>
      <c r="W381">
        <v>0.55700000000000005</v>
      </c>
      <c r="X381">
        <v>0.69599999999999995</v>
      </c>
      <c r="Y381">
        <v>0</v>
      </c>
      <c r="Z381" s="19">
        <v>6291007910278</v>
      </c>
      <c r="AA381">
        <v>365</v>
      </c>
      <c r="AB381">
        <v>30</v>
      </c>
      <c r="AC381" t="s">
        <v>88</v>
      </c>
      <c r="AD381">
        <v>10</v>
      </c>
      <c r="AE381">
        <f t="shared" si="6"/>
        <v>365221</v>
      </c>
    </row>
    <row r="382" spans="1:31" x14ac:dyDescent="0.25">
      <c r="A382">
        <v>365222</v>
      </c>
      <c r="B382" t="s">
        <v>584</v>
      </c>
      <c r="C382" t="s">
        <v>504</v>
      </c>
      <c r="D382" t="s">
        <v>91</v>
      </c>
      <c r="F382" t="s">
        <v>34</v>
      </c>
      <c r="H382" t="s">
        <v>36</v>
      </c>
      <c r="I382" t="s">
        <v>36</v>
      </c>
      <c r="J382">
        <v>1</v>
      </c>
      <c r="K382" t="s">
        <v>37</v>
      </c>
      <c r="L382">
        <v>24</v>
      </c>
      <c r="N382">
        <v>0</v>
      </c>
      <c r="P382">
        <v>0</v>
      </c>
      <c r="Q382">
        <v>8.3000000000000004E-2</v>
      </c>
      <c r="R382">
        <v>0</v>
      </c>
      <c r="S382" t="s">
        <v>38</v>
      </c>
      <c r="T382">
        <v>7</v>
      </c>
      <c r="U382">
        <v>1.8</v>
      </c>
      <c r="V382">
        <v>1.2</v>
      </c>
      <c r="W382">
        <v>8.4000000000000005E-2</v>
      </c>
      <c r="X382">
        <v>0.105</v>
      </c>
      <c r="Y382">
        <v>0</v>
      </c>
      <c r="Z382" s="19">
        <v>8901063121188</v>
      </c>
      <c r="AA382">
        <v>365</v>
      </c>
      <c r="AB382">
        <v>30</v>
      </c>
      <c r="AC382" t="s">
        <v>88</v>
      </c>
      <c r="AD382">
        <v>24</v>
      </c>
      <c r="AE382">
        <f t="shared" si="6"/>
        <v>365222</v>
      </c>
    </row>
    <row r="383" spans="1:31" x14ac:dyDescent="0.25">
      <c r="A383">
        <v>365223</v>
      </c>
      <c r="B383" t="s">
        <v>585</v>
      </c>
      <c r="C383" t="s">
        <v>504</v>
      </c>
      <c r="D383" t="s">
        <v>91</v>
      </c>
      <c r="F383" t="s">
        <v>34</v>
      </c>
      <c r="H383" t="s">
        <v>36</v>
      </c>
      <c r="I383" t="s">
        <v>36</v>
      </c>
      <c r="J383">
        <v>1</v>
      </c>
      <c r="K383" t="s">
        <v>37</v>
      </c>
      <c r="L383">
        <v>24</v>
      </c>
      <c r="N383">
        <v>0</v>
      </c>
      <c r="P383">
        <v>0</v>
      </c>
      <c r="Q383">
        <v>8.3000000000000004E-2</v>
      </c>
      <c r="R383">
        <v>0</v>
      </c>
      <c r="S383" t="s">
        <v>38</v>
      </c>
      <c r="T383">
        <v>7</v>
      </c>
      <c r="U383">
        <v>1.8</v>
      </c>
      <c r="V383">
        <v>1.2</v>
      </c>
      <c r="W383">
        <v>8.4000000000000005E-2</v>
      </c>
      <c r="X383">
        <v>0.105</v>
      </c>
      <c r="Y383">
        <v>0</v>
      </c>
      <c r="Z383" s="19">
        <v>8901063121171</v>
      </c>
      <c r="AA383">
        <v>365</v>
      </c>
      <c r="AB383">
        <v>30</v>
      </c>
      <c r="AC383" t="s">
        <v>88</v>
      </c>
      <c r="AD383">
        <v>24</v>
      </c>
      <c r="AE383">
        <f t="shared" si="6"/>
        <v>365223</v>
      </c>
    </row>
    <row r="384" spans="1:31" x14ac:dyDescent="0.25">
      <c r="A384">
        <v>368845</v>
      </c>
      <c r="B384" t="s">
        <v>586</v>
      </c>
      <c r="C384" t="s">
        <v>509</v>
      </c>
      <c r="D384" t="s">
        <v>91</v>
      </c>
      <c r="F384" t="s">
        <v>34</v>
      </c>
      <c r="H384" t="s">
        <v>36</v>
      </c>
      <c r="I384" t="s">
        <v>145</v>
      </c>
      <c r="J384">
        <v>9</v>
      </c>
      <c r="K384" t="s">
        <v>36</v>
      </c>
      <c r="L384">
        <v>1</v>
      </c>
      <c r="M384" t="s">
        <v>37</v>
      </c>
      <c r="N384">
        <v>54</v>
      </c>
      <c r="P384">
        <v>0</v>
      </c>
      <c r="Q384">
        <v>0.03</v>
      </c>
      <c r="R384">
        <v>0</v>
      </c>
      <c r="S384" t="s">
        <v>38</v>
      </c>
      <c r="T384">
        <v>18</v>
      </c>
      <c r="U384">
        <v>5</v>
      </c>
      <c r="V384">
        <v>2</v>
      </c>
      <c r="W384">
        <v>9.9000000000000005E-2</v>
      </c>
      <c r="X384">
        <v>0.126</v>
      </c>
      <c r="Y384">
        <v>0</v>
      </c>
      <c r="Z384" s="19">
        <v>8901063166653</v>
      </c>
      <c r="AA384">
        <v>365</v>
      </c>
      <c r="AB384">
        <v>30</v>
      </c>
      <c r="AC384" t="s">
        <v>88</v>
      </c>
      <c r="AD384">
        <v>54</v>
      </c>
      <c r="AE384">
        <f t="shared" si="6"/>
        <v>368845</v>
      </c>
    </row>
    <row r="385" spans="1:31" x14ac:dyDescent="0.25">
      <c r="A385">
        <v>370304</v>
      </c>
      <c r="B385" t="s">
        <v>587</v>
      </c>
      <c r="C385" t="s">
        <v>509</v>
      </c>
      <c r="D385" t="s">
        <v>91</v>
      </c>
      <c r="F385" t="s">
        <v>103</v>
      </c>
      <c r="H385" t="s">
        <v>36</v>
      </c>
      <c r="I385" t="s">
        <v>36</v>
      </c>
      <c r="J385">
        <v>1</v>
      </c>
      <c r="K385" t="s">
        <v>37</v>
      </c>
      <c r="L385">
        <v>5</v>
      </c>
      <c r="N385">
        <v>0</v>
      </c>
      <c r="P385">
        <v>0</v>
      </c>
      <c r="Q385">
        <v>0.82</v>
      </c>
      <c r="R385">
        <v>0</v>
      </c>
      <c r="S385" t="s">
        <v>38</v>
      </c>
      <c r="T385">
        <v>25</v>
      </c>
      <c r="U385">
        <v>6</v>
      </c>
      <c r="V385">
        <v>28</v>
      </c>
      <c r="W385">
        <v>1.02</v>
      </c>
      <c r="X385">
        <v>1.2749999999999999</v>
      </c>
      <c r="Y385">
        <v>0</v>
      </c>
      <c r="Z385" s="19">
        <v>1000000985641</v>
      </c>
      <c r="AA385">
        <v>365</v>
      </c>
      <c r="AB385">
        <v>30</v>
      </c>
      <c r="AC385" t="s">
        <v>88</v>
      </c>
      <c r="AD385">
        <v>5</v>
      </c>
      <c r="AE385">
        <f t="shared" si="6"/>
        <v>370304</v>
      </c>
    </row>
    <row r="386" spans="1:31" x14ac:dyDescent="0.25">
      <c r="A386">
        <v>371436</v>
      </c>
      <c r="B386" t="s">
        <v>588</v>
      </c>
      <c r="C386" t="s">
        <v>509</v>
      </c>
      <c r="D386" t="s">
        <v>91</v>
      </c>
      <c r="F386" t="s">
        <v>103</v>
      </c>
      <c r="H386" t="s">
        <v>36</v>
      </c>
      <c r="I386" t="s">
        <v>36</v>
      </c>
      <c r="J386">
        <v>1</v>
      </c>
      <c r="K386" t="s">
        <v>37</v>
      </c>
      <c r="L386">
        <v>8</v>
      </c>
      <c r="N386">
        <v>0</v>
      </c>
      <c r="P386">
        <v>0</v>
      </c>
      <c r="Q386">
        <v>0.44</v>
      </c>
      <c r="R386">
        <v>0</v>
      </c>
      <c r="S386" t="s">
        <v>38</v>
      </c>
      <c r="T386">
        <v>16</v>
      </c>
      <c r="U386">
        <v>5</v>
      </c>
      <c r="V386">
        <v>29</v>
      </c>
      <c r="W386">
        <v>0.71699999999999997</v>
      </c>
      <c r="X386">
        <v>0.89700000000000002</v>
      </c>
      <c r="Y386">
        <v>0</v>
      </c>
      <c r="Z386" s="19">
        <v>6291007910391</v>
      </c>
      <c r="AA386">
        <v>365</v>
      </c>
      <c r="AB386">
        <v>30</v>
      </c>
      <c r="AC386" t="s">
        <v>88</v>
      </c>
      <c r="AD386">
        <v>8</v>
      </c>
      <c r="AE386">
        <f t="shared" si="6"/>
        <v>371436</v>
      </c>
    </row>
    <row r="387" spans="1:31" x14ac:dyDescent="0.25">
      <c r="A387">
        <v>371504</v>
      </c>
      <c r="B387" t="s">
        <v>589</v>
      </c>
      <c r="C387" t="s">
        <v>509</v>
      </c>
      <c r="D387" t="s">
        <v>91</v>
      </c>
      <c r="F387" t="s">
        <v>103</v>
      </c>
      <c r="H387" t="s">
        <v>36</v>
      </c>
      <c r="I387" t="s">
        <v>36</v>
      </c>
      <c r="J387">
        <v>1</v>
      </c>
      <c r="K387" t="s">
        <v>37</v>
      </c>
      <c r="L387">
        <v>6</v>
      </c>
      <c r="N387">
        <v>0</v>
      </c>
      <c r="P387">
        <v>0</v>
      </c>
      <c r="Q387">
        <v>0.84</v>
      </c>
      <c r="R387">
        <v>0</v>
      </c>
      <c r="S387" t="s">
        <v>38</v>
      </c>
      <c r="T387">
        <v>21.5</v>
      </c>
      <c r="U387">
        <v>7</v>
      </c>
      <c r="V387">
        <v>33</v>
      </c>
      <c r="W387">
        <v>0.80800000000000005</v>
      </c>
      <c r="X387">
        <v>1.01</v>
      </c>
      <c r="Y387">
        <v>0</v>
      </c>
      <c r="Z387" s="19">
        <v>6291007914542</v>
      </c>
      <c r="AA387">
        <v>365</v>
      </c>
      <c r="AB387">
        <v>30</v>
      </c>
      <c r="AC387" t="s">
        <v>88</v>
      </c>
      <c r="AD387">
        <v>6</v>
      </c>
      <c r="AE387">
        <f t="shared" ref="AE387:AE439" si="7">A387</f>
        <v>371504</v>
      </c>
    </row>
    <row r="388" spans="1:31" x14ac:dyDescent="0.25">
      <c r="A388">
        <v>373220</v>
      </c>
      <c r="B388" t="s">
        <v>590</v>
      </c>
      <c r="C388" t="s">
        <v>509</v>
      </c>
      <c r="D388" t="s">
        <v>91</v>
      </c>
      <c r="F388" t="s">
        <v>34</v>
      </c>
      <c r="H388" t="s">
        <v>36</v>
      </c>
      <c r="I388" t="s">
        <v>36</v>
      </c>
      <c r="J388">
        <v>1</v>
      </c>
      <c r="K388" t="s">
        <v>37</v>
      </c>
      <c r="L388">
        <v>24</v>
      </c>
      <c r="N388">
        <v>0</v>
      </c>
      <c r="P388">
        <v>0</v>
      </c>
      <c r="Q388">
        <v>0.16</v>
      </c>
      <c r="R388">
        <v>0</v>
      </c>
      <c r="S388" t="s">
        <v>38</v>
      </c>
      <c r="T388">
        <v>20</v>
      </c>
      <c r="U388">
        <v>6.3</v>
      </c>
      <c r="V388">
        <v>6.3</v>
      </c>
      <c r="W388">
        <v>0.186</v>
      </c>
      <c r="X388">
        <v>0.23200000000000001</v>
      </c>
      <c r="Y388">
        <v>0</v>
      </c>
      <c r="Z388" s="19">
        <v>6291007901061</v>
      </c>
      <c r="AA388">
        <v>365</v>
      </c>
      <c r="AB388">
        <v>30</v>
      </c>
      <c r="AC388" t="s">
        <v>88</v>
      </c>
      <c r="AD388">
        <v>24</v>
      </c>
      <c r="AE388">
        <f t="shared" si="7"/>
        <v>373220</v>
      </c>
    </row>
    <row r="389" spans="1:31" x14ac:dyDescent="0.25">
      <c r="A389">
        <v>375701</v>
      </c>
      <c r="B389" t="s">
        <v>591</v>
      </c>
      <c r="C389" t="s">
        <v>509</v>
      </c>
      <c r="D389" t="s">
        <v>91</v>
      </c>
      <c r="F389" t="s">
        <v>34</v>
      </c>
      <c r="H389" t="s">
        <v>36</v>
      </c>
      <c r="I389" t="s">
        <v>36</v>
      </c>
      <c r="J389">
        <v>1</v>
      </c>
      <c r="K389" t="s">
        <v>37</v>
      </c>
      <c r="L389">
        <v>24</v>
      </c>
      <c r="N389">
        <v>0</v>
      </c>
      <c r="P389">
        <v>0</v>
      </c>
      <c r="Q389">
        <v>0.08</v>
      </c>
      <c r="R389">
        <v>0</v>
      </c>
      <c r="S389" t="s">
        <v>38</v>
      </c>
      <c r="T389">
        <v>12</v>
      </c>
      <c r="U389">
        <v>6</v>
      </c>
      <c r="V389">
        <v>6</v>
      </c>
      <c r="W389">
        <v>0.105</v>
      </c>
      <c r="X389">
        <v>0.13100000000000001</v>
      </c>
      <c r="Y389">
        <v>0</v>
      </c>
      <c r="Z389" s="19">
        <v>6291007902211</v>
      </c>
      <c r="AA389">
        <v>365</v>
      </c>
      <c r="AB389">
        <v>30</v>
      </c>
      <c r="AC389" t="s">
        <v>88</v>
      </c>
      <c r="AD389">
        <v>24</v>
      </c>
      <c r="AE389">
        <f t="shared" si="7"/>
        <v>375701</v>
      </c>
    </row>
    <row r="390" spans="1:31" x14ac:dyDescent="0.25">
      <c r="A390">
        <v>375702</v>
      </c>
      <c r="B390" t="s">
        <v>592</v>
      </c>
      <c r="C390" t="s">
        <v>509</v>
      </c>
      <c r="D390" t="s">
        <v>91</v>
      </c>
      <c r="F390" t="s">
        <v>34</v>
      </c>
      <c r="H390" t="s">
        <v>36</v>
      </c>
      <c r="I390" t="s">
        <v>36</v>
      </c>
      <c r="J390">
        <v>1</v>
      </c>
      <c r="K390" t="s">
        <v>37</v>
      </c>
      <c r="L390">
        <v>40</v>
      </c>
      <c r="N390">
        <v>0</v>
      </c>
      <c r="P390">
        <v>0</v>
      </c>
      <c r="Q390">
        <v>6.6000000000000003E-2</v>
      </c>
      <c r="R390">
        <v>0</v>
      </c>
      <c r="S390" t="s">
        <v>38</v>
      </c>
      <c r="T390">
        <v>13</v>
      </c>
      <c r="U390">
        <v>6</v>
      </c>
      <c r="V390">
        <v>6</v>
      </c>
      <c r="W390">
        <v>0.10199999999999999</v>
      </c>
      <c r="X390">
        <v>0.127</v>
      </c>
      <c r="Y390">
        <v>0</v>
      </c>
      <c r="Z390" s="19">
        <v>6291007901078</v>
      </c>
      <c r="AA390">
        <v>365</v>
      </c>
      <c r="AB390">
        <v>30</v>
      </c>
      <c r="AC390" t="s">
        <v>88</v>
      </c>
      <c r="AD390">
        <v>40</v>
      </c>
      <c r="AE390">
        <f t="shared" si="7"/>
        <v>375702</v>
      </c>
    </row>
    <row r="391" spans="1:31" x14ac:dyDescent="0.25">
      <c r="A391">
        <v>375703</v>
      </c>
      <c r="B391" t="s">
        <v>593</v>
      </c>
      <c r="C391" t="s">
        <v>509</v>
      </c>
      <c r="D391" t="s">
        <v>91</v>
      </c>
      <c r="F391" t="s">
        <v>34</v>
      </c>
      <c r="H391" t="s">
        <v>36</v>
      </c>
      <c r="I391" t="s">
        <v>36</v>
      </c>
      <c r="J391">
        <v>1</v>
      </c>
      <c r="K391" t="s">
        <v>37</v>
      </c>
      <c r="L391">
        <v>24</v>
      </c>
      <c r="N391">
        <v>0</v>
      </c>
      <c r="P391">
        <v>0</v>
      </c>
      <c r="Q391">
        <v>0.13</v>
      </c>
      <c r="R391">
        <v>0</v>
      </c>
      <c r="S391" t="s">
        <v>38</v>
      </c>
      <c r="T391">
        <v>20.3</v>
      </c>
      <c r="U391">
        <v>9</v>
      </c>
      <c r="V391">
        <v>7</v>
      </c>
      <c r="W391">
        <v>0.187</v>
      </c>
      <c r="X391">
        <v>0.23400000000000001</v>
      </c>
      <c r="Y391">
        <v>0</v>
      </c>
      <c r="Z391" s="19">
        <v>6291007902204</v>
      </c>
      <c r="AA391">
        <v>365</v>
      </c>
      <c r="AB391">
        <v>30</v>
      </c>
      <c r="AC391" t="s">
        <v>88</v>
      </c>
      <c r="AD391">
        <v>24</v>
      </c>
      <c r="AE391">
        <f t="shared" si="7"/>
        <v>375703</v>
      </c>
    </row>
    <row r="392" spans="1:31" x14ac:dyDescent="0.25">
      <c r="A392">
        <v>375704</v>
      </c>
      <c r="B392" t="s">
        <v>594</v>
      </c>
      <c r="C392" t="s">
        <v>509</v>
      </c>
      <c r="D392" t="s">
        <v>91</v>
      </c>
      <c r="F392" t="s">
        <v>103</v>
      </c>
      <c r="H392" t="s">
        <v>36</v>
      </c>
      <c r="I392" t="s">
        <v>36</v>
      </c>
      <c r="J392">
        <v>1</v>
      </c>
      <c r="K392" t="s">
        <v>37</v>
      </c>
      <c r="L392">
        <v>6</v>
      </c>
      <c r="N392">
        <v>0</v>
      </c>
      <c r="P392">
        <v>0</v>
      </c>
      <c r="Q392">
        <v>0.7</v>
      </c>
      <c r="R392">
        <v>0</v>
      </c>
      <c r="S392" t="s">
        <v>38</v>
      </c>
      <c r="T392">
        <v>20</v>
      </c>
      <c r="U392">
        <v>7</v>
      </c>
      <c r="V392">
        <v>30.6</v>
      </c>
      <c r="W392">
        <v>0.80800000000000005</v>
      </c>
      <c r="X392">
        <v>1.01</v>
      </c>
      <c r="Y392">
        <v>0</v>
      </c>
      <c r="Z392" s="19">
        <v>6291007914559</v>
      </c>
      <c r="AA392">
        <v>365</v>
      </c>
      <c r="AB392">
        <v>30</v>
      </c>
      <c r="AC392" t="s">
        <v>88</v>
      </c>
      <c r="AD392">
        <v>6</v>
      </c>
      <c r="AE392">
        <f t="shared" si="7"/>
        <v>375704</v>
      </c>
    </row>
    <row r="393" spans="1:31" x14ac:dyDescent="0.25">
      <c r="A393">
        <v>375705</v>
      </c>
      <c r="B393" t="s">
        <v>595</v>
      </c>
      <c r="C393" t="s">
        <v>509</v>
      </c>
      <c r="D393" t="s">
        <v>91</v>
      </c>
      <c r="F393" t="s">
        <v>103</v>
      </c>
      <c r="H393" t="s">
        <v>36</v>
      </c>
      <c r="I393" t="s">
        <v>36</v>
      </c>
      <c r="J393">
        <v>1</v>
      </c>
      <c r="K393" t="s">
        <v>37</v>
      </c>
      <c r="L393">
        <v>8</v>
      </c>
      <c r="N393">
        <v>0</v>
      </c>
      <c r="P393">
        <v>0</v>
      </c>
      <c r="Q393">
        <v>0.73</v>
      </c>
      <c r="R393">
        <v>0</v>
      </c>
      <c r="S393" t="s">
        <v>38</v>
      </c>
      <c r="T393">
        <v>29</v>
      </c>
      <c r="U393">
        <v>22</v>
      </c>
      <c r="V393">
        <v>6</v>
      </c>
      <c r="W393">
        <v>0.76200000000000001</v>
      </c>
      <c r="X393">
        <v>0.95199999999999996</v>
      </c>
      <c r="Y393">
        <v>0</v>
      </c>
      <c r="Z393" s="19">
        <v>6291007905694</v>
      </c>
      <c r="AA393">
        <v>365</v>
      </c>
      <c r="AB393">
        <v>30</v>
      </c>
      <c r="AC393" t="s">
        <v>88</v>
      </c>
      <c r="AD393">
        <v>8</v>
      </c>
      <c r="AE393">
        <f t="shared" si="7"/>
        <v>375705</v>
      </c>
    </row>
    <row r="394" spans="1:31" x14ac:dyDescent="0.25">
      <c r="A394">
        <v>375706</v>
      </c>
      <c r="B394" t="s">
        <v>596</v>
      </c>
      <c r="C394" t="s">
        <v>509</v>
      </c>
      <c r="D394" t="s">
        <v>91</v>
      </c>
      <c r="F394" t="s">
        <v>103</v>
      </c>
      <c r="H394" t="s">
        <v>36</v>
      </c>
      <c r="I394" t="s">
        <v>36</v>
      </c>
      <c r="J394">
        <v>1</v>
      </c>
      <c r="K394" t="s">
        <v>37</v>
      </c>
      <c r="L394">
        <v>4</v>
      </c>
      <c r="N394">
        <v>0</v>
      </c>
      <c r="P394">
        <v>0</v>
      </c>
      <c r="Q394">
        <v>0.86</v>
      </c>
      <c r="R394">
        <v>0</v>
      </c>
      <c r="S394" t="s">
        <v>38</v>
      </c>
      <c r="T394">
        <v>30</v>
      </c>
      <c r="U394">
        <v>18</v>
      </c>
      <c r="V394">
        <v>10</v>
      </c>
      <c r="W394">
        <v>0.72499999999999998</v>
      </c>
      <c r="X394">
        <v>0.90700000000000003</v>
      </c>
      <c r="Y394">
        <v>0</v>
      </c>
      <c r="Z394" s="19">
        <v>6291007914900</v>
      </c>
      <c r="AA394">
        <v>365</v>
      </c>
      <c r="AB394">
        <v>30</v>
      </c>
      <c r="AC394" t="s">
        <v>88</v>
      </c>
      <c r="AD394">
        <v>4</v>
      </c>
      <c r="AE394">
        <f t="shared" si="7"/>
        <v>375706</v>
      </c>
    </row>
    <row r="395" spans="1:31" x14ac:dyDescent="0.25">
      <c r="A395">
        <v>375708</v>
      </c>
      <c r="B395" t="s">
        <v>597</v>
      </c>
      <c r="C395" t="s">
        <v>509</v>
      </c>
      <c r="D395" t="s">
        <v>91</v>
      </c>
      <c r="F395" t="s">
        <v>34</v>
      </c>
      <c r="H395" t="s">
        <v>36</v>
      </c>
      <c r="I395" t="s">
        <v>36</v>
      </c>
      <c r="J395">
        <v>1</v>
      </c>
      <c r="K395" t="s">
        <v>37</v>
      </c>
      <c r="L395">
        <v>24</v>
      </c>
      <c r="N395">
        <v>0</v>
      </c>
      <c r="P395">
        <v>0</v>
      </c>
      <c r="Q395">
        <v>7.0000000000000007E-2</v>
      </c>
      <c r="R395">
        <v>0</v>
      </c>
      <c r="S395" t="s">
        <v>38</v>
      </c>
      <c r="T395">
        <v>14</v>
      </c>
      <c r="U395">
        <v>3.5</v>
      </c>
      <c r="V395">
        <v>3.5</v>
      </c>
      <c r="W395">
        <v>0.16600000000000001</v>
      </c>
      <c r="X395">
        <v>0.20799999999999999</v>
      </c>
      <c r="Y395">
        <v>0</v>
      </c>
      <c r="Z395" s="19">
        <v>8901063166783</v>
      </c>
      <c r="AA395">
        <v>365</v>
      </c>
      <c r="AB395">
        <v>30</v>
      </c>
      <c r="AC395" t="s">
        <v>88</v>
      </c>
      <c r="AD395">
        <v>24</v>
      </c>
      <c r="AE395">
        <f t="shared" si="7"/>
        <v>375708</v>
      </c>
    </row>
    <row r="396" spans="1:31" x14ac:dyDescent="0.25">
      <c r="A396">
        <v>377747</v>
      </c>
      <c r="B396" t="s">
        <v>598</v>
      </c>
      <c r="C396" t="s">
        <v>509</v>
      </c>
      <c r="D396" t="s">
        <v>91</v>
      </c>
      <c r="F396" t="s">
        <v>34</v>
      </c>
      <c r="H396" t="s">
        <v>36</v>
      </c>
      <c r="I396" t="s">
        <v>36</v>
      </c>
      <c r="J396">
        <v>1</v>
      </c>
      <c r="K396" t="s">
        <v>37</v>
      </c>
      <c r="L396">
        <v>24</v>
      </c>
      <c r="N396">
        <v>0</v>
      </c>
      <c r="P396">
        <v>0</v>
      </c>
      <c r="Q396">
        <v>1.43</v>
      </c>
      <c r="R396">
        <v>0</v>
      </c>
      <c r="S396" t="s">
        <v>38</v>
      </c>
      <c r="T396">
        <v>20.100000000000001</v>
      </c>
      <c r="U396">
        <v>9</v>
      </c>
      <c r="V396">
        <v>30.1</v>
      </c>
      <c r="W396">
        <v>0.12</v>
      </c>
      <c r="X396">
        <v>0.151</v>
      </c>
      <c r="Y396">
        <v>0</v>
      </c>
      <c r="Z396" s="19">
        <v>6291007901054</v>
      </c>
      <c r="AA396">
        <v>365</v>
      </c>
      <c r="AB396">
        <v>30</v>
      </c>
      <c r="AC396" t="s">
        <v>88</v>
      </c>
      <c r="AD396">
        <v>24</v>
      </c>
      <c r="AE396">
        <f t="shared" si="7"/>
        <v>377747</v>
      </c>
    </row>
    <row r="397" spans="1:31" x14ac:dyDescent="0.25">
      <c r="A397">
        <v>377748</v>
      </c>
      <c r="B397" t="s">
        <v>599</v>
      </c>
      <c r="C397" t="s">
        <v>509</v>
      </c>
      <c r="D397" t="s">
        <v>91</v>
      </c>
      <c r="F397" t="s">
        <v>103</v>
      </c>
      <c r="H397" t="s">
        <v>36</v>
      </c>
      <c r="I397" t="s">
        <v>36</v>
      </c>
      <c r="J397">
        <v>1</v>
      </c>
      <c r="K397" t="s">
        <v>37</v>
      </c>
      <c r="L397">
        <v>6</v>
      </c>
      <c r="N397">
        <v>0</v>
      </c>
      <c r="P397">
        <v>0</v>
      </c>
      <c r="Q397">
        <v>0.9</v>
      </c>
      <c r="R397">
        <v>0</v>
      </c>
      <c r="S397" t="s">
        <v>38</v>
      </c>
      <c r="T397">
        <v>6</v>
      </c>
      <c r="U397">
        <v>4</v>
      </c>
      <c r="V397">
        <v>10.3</v>
      </c>
      <c r="W397">
        <v>1.117</v>
      </c>
      <c r="X397">
        <v>1.4</v>
      </c>
      <c r="Y397">
        <v>0</v>
      </c>
      <c r="Z397" s="19">
        <v>6291007914962</v>
      </c>
      <c r="AA397">
        <v>365</v>
      </c>
      <c r="AB397">
        <v>30</v>
      </c>
      <c r="AC397" t="s">
        <v>88</v>
      </c>
      <c r="AD397">
        <v>6</v>
      </c>
      <c r="AE397">
        <f t="shared" si="7"/>
        <v>377748</v>
      </c>
    </row>
    <row r="398" spans="1:31" x14ac:dyDescent="0.25">
      <c r="A398">
        <v>377749</v>
      </c>
      <c r="B398" t="s">
        <v>600</v>
      </c>
      <c r="C398" t="s">
        <v>509</v>
      </c>
      <c r="D398" t="s">
        <v>91</v>
      </c>
      <c r="F398" t="s">
        <v>103</v>
      </c>
      <c r="H398" t="s">
        <v>36</v>
      </c>
      <c r="I398" t="s">
        <v>36</v>
      </c>
      <c r="J398">
        <v>1</v>
      </c>
      <c r="K398" t="s">
        <v>37</v>
      </c>
      <c r="L398">
        <v>8</v>
      </c>
      <c r="N398">
        <v>0</v>
      </c>
      <c r="P398">
        <v>0</v>
      </c>
      <c r="Q398">
        <v>0.56000000000000005</v>
      </c>
      <c r="R398">
        <v>0</v>
      </c>
      <c r="S398" t="s">
        <v>38</v>
      </c>
      <c r="T398">
        <v>20.3</v>
      </c>
      <c r="U398">
        <v>5.5</v>
      </c>
      <c r="V398">
        <v>10.8</v>
      </c>
      <c r="W398">
        <v>0.65500000000000003</v>
      </c>
      <c r="X398">
        <v>0.82</v>
      </c>
      <c r="Y398">
        <v>0</v>
      </c>
      <c r="Z398" s="19">
        <v>6291007914849</v>
      </c>
      <c r="AA398">
        <v>365</v>
      </c>
      <c r="AB398">
        <v>30</v>
      </c>
      <c r="AC398" t="s">
        <v>88</v>
      </c>
      <c r="AD398">
        <v>8</v>
      </c>
      <c r="AE398">
        <f t="shared" si="7"/>
        <v>377749</v>
      </c>
    </row>
    <row r="399" spans="1:31" x14ac:dyDescent="0.25">
      <c r="A399">
        <v>377750</v>
      </c>
      <c r="B399" t="s">
        <v>601</v>
      </c>
      <c r="C399" t="s">
        <v>509</v>
      </c>
      <c r="D399" t="s">
        <v>91</v>
      </c>
      <c r="F399" t="s">
        <v>103</v>
      </c>
      <c r="H399" t="s">
        <v>36</v>
      </c>
      <c r="I399" t="s">
        <v>36</v>
      </c>
      <c r="J399">
        <v>1</v>
      </c>
      <c r="K399" t="s">
        <v>37</v>
      </c>
      <c r="L399">
        <v>8</v>
      </c>
      <c r="N399">
        <v>0</v>
      </c>
      <c r="P399">
        <v>0</v>
      </c>
      <c r="Q399">
        <v>0.56000000000000005</v>
      </c>
      <c r="R399">
        <v>0</v>
      </c>
      <c r="S399" t="s">
        <v>38</v>
      </c>
      <c r="T399">
        <v>20.3</v>
      </c>
      <c r="U399">
        <v>5.5</v>
      </c>
      <c r="V399">
        <v>10.8</v>
      </c>
      <c r="W399">
        <v>0.65500000000000003</v>
      </c>
      <c r="X399">
        <v>0.82</v>
      </c>
      <c r="Y399">
        <v>0</v>
      </c>
      <c r="Z399" s="19">
        <v>6291007914856</v>
      </c>
      <c r="AA399">
        <v>365</v>
      </c>
      <c r="AB399">
        <v>30</v>
      </c>
      <c r="AC399" t="s">
        <v>88</v>
      </c>
      <c r="AD399">
        <v>8</v>
      </c>
      <c r="AE399">
        <f t="shared" si="7"/>
        <v>377750</v>
      </c>
    </row>
    <row r="400" spans="1:31" x14ac:dyDescent="0.25">
      <c r="A400">
        <v>378938</v>
      </c>
      <c r="B400" t="s">
        <v>602</v>
      </c>
      <c r="C400" t="s">
        <v>509</v>
      </c>
      <c r="D400" t="s">
        <v>91</v>
      </c>
      <c r="F400" t="s">
        <v>34</v>
      </c>
      <c r="H400" t="s">
        <v>36</v>
      </c>
      <c r="I400" t="s">
        <v>36</v>
      </c>
      <c r="J400">
        <v>1</v>
      </c>
      <c r="K400" t="s">
        <v>37</v>
      </c>
      <c r="L400">
        <v>48</v>
      </c>
      <c r="N400">
        <v>0</v>
      </c>
      <c r="P400">
        <v>0</v>
      </c>
      <c r="Q400">
        <v>0.11</v>
      </c>
      <c r="R400">
        <v>0</v>
      </c>
      <c r="S400" t="s">
        <v>38</v>
      </c>
      <c r="T400">
        <v>10.8</v>
      </c>
      <c r="U400">
        <v>6</v>
      </c>
      <c r="V400">
        <v>5</v>
      </c>
      <c r="W400">
        <v>0.13200000000000001</v>
      </c>
      <c r="X400">
        <v>0.16600000000000001</v>
      </c>
      <c r="Y400">
        <v>0</v>
      </c>
      <c r="Z400" s="19">
        <v>8901063151505</v>
      </c>
      <c r="AA400">
        <v>365</v>
      </c>
      <c r="AB400">
        <v>30</v>
      </c>
      <c r="AC400" t="s">
        <v>88</v>
      </c>
      <c r="AD400">
        <v>48</v>
      </c>
      <c r="AE400">
        <f t="shared" si="7"/>
        <v>378938</v>
      </c>
    </row>
    <row r="401" spans="1:31" x14ac:dyDescent="0.25">
      <c r="A401">
        <v>378939</v>
      </c>
      <c r="B401" t="s">
        <v>603</v>
      </c>
      <c r="C401" t="s">
        <v>509</v>
      </c>
      <c r="D401" t="s">
        <v>91</v>
      </c>
      <c r="F401" t="s">
        <v>34</v>
      </c>
      <c r="H401" t="s">
        <v>36</v>
      </c>
      <c r="I401" t="s">
        <v>36</v>
      </c>
      <c r="J401">
        <v>1</v>
      </c>
      <c r="K401" t="s">
        <v>37</v>
      </c>
      <c r="L401">
        <v>12</v>
      </c>
      <c r="N401">
        <v>0</v>
      </c>
      <c r="P401">
        <v>0</v>
      </c>
      <c r="Q401">
        <v>0.35</v>
      </c>
      <c r="R401">
        <v>0</v>
      </c>
      <c r="S401" t="s">
        <v>38</v>
      </c>
      <c r="T401">
        <v>20.399999999999999</v>
      </c>
      <c r="U401">
        <v>10.5</v>
      </c>
      <c r="V401">
        <v>4</v>
      </c>
      <c r="W401">
        <v>0.46</v>
      </c>
      <c r="X401">
        <v>0.57499999999999996</v>
      </c>
      <c r="Y401">
        <v>0</v>
      </c>
      <c r="Z401" s="19">
        <v>8901063151055</v>
      </c>
      <c r="AA401">
        <v>365</v>
      </c>
      <c r="AB401">
        <v>30</v>
      </c>
      <c r="AC401" t="s">
        <v>88</v>
      </c>
      <c r="AD401">
        <v>12</v>
      </c>
      <c r="AE401">
        <f t="shared" si="7"/>
        <v>378939</v>
      </c>
    </row>
    <row r="402" spans="1:31" x14ac:dyDescent="0.25">
      <c r="A402">
        <v>384458</v>
      </c>
      <c r="B402" t="s">
        <v>604</v>
      </c>
      <c r="C402" t="s">
        <v>509</v>
      </c>
      <c r="D402" t="s">
        <v>91</v>
      </c>
      <c r="F402" t="s">
        <v>103</v>
      </c>
      <c r="H402" t="s">
        <v>36</v>
      </c>
      <c r="I402" t="s">
        <v>36</v>
      </c>
      <c r="J402">
        <v>1</v>
      </c>
      <c r="K402" t="s">
        <v>37</v>
      </c>
      <c r="L402">
        <v>6</v>
      </c>
      <c r="N402">
        <v>0</v>
      </c>
      <c r="P402">
        <v>0</v>
      </c>
      <c r="Q402">
        <v>0.72</v>
      </c>
      <c r="R402">
        <v>0</v>
      </c>
      <c r="S402" t="s">
        <v>38</v>
      </c>
      <c r="T402">
        <v>20.100000000000001</v>
      </c>
      <c r="U402">
        <v>5</v>
      </c>
      <c r="V402">
        <v>30.1</v>
      </c>
      <c r="W402">
        <v>0.80200000000000005</v>
      </c>
      <c r="X402">
        <v>1.0029999999999999</v>
      </c>
      <c r="Y402">
        <v>0</v>
      </c>
      <c r="Z402" s="19">
        <v>6291007901559</v>
      </c>
      <c r="AA402">
        <v>365</v>
      </c>
      <c r="AB402">
        <v>30</v>
      </c>
      <c r="AC402" t="s">
        <v>88</v>
      </c>
      <c r="AD402">
        <v>6</v>
      </c>
      <c r="AE402">
        <f t="shared" si="7"/>
        <v>384458</v>
      </c>
    </row>
    <row r="403" spans="1:31" x14ac:dyDescent="0.25">
      <c r="A403">
        <v>384459</v>
      </c>
      <c r="B403" t="s">
        <v>605</v>
      </c>
      <c r="C403" t="s">
        <v>509</v>
      </c>
      <c r="D403" t="s">
        <v>91</v>
      </c>
      <c r="F403" t="s">
        <v>103</v>
      </c>
      <c r="H403" t="s">
        <v>36</v>
      </c>
      <c r="I403" t="s">
        <v>36</v>
      </c>
      <c r="J403">
        <v>1</v>
      </c>
      <c r="K403" t="s">
        <v>37</v>
      </c>
      <c r="L403">
        <v>8</v>
      </c>
      <c r="N403">
        <v>0</v>
      </c>
      <c r="P403">
        <v>0</v>
      </c>
      <c r="Q403">
        <v>0.76</v>
      </c>
      <c r="R403">
        <v>0</v>
      </c>
      <c r="S403" t="s">
        <v>38</v>
      </c>
      <c r="T403">
        <v>10.199999999999999</v>
      </c>
      <c r="U403">
        <v>8</v>
      </c>
      <c r="V403">
        <v>20.3</v>
      </c>
      <c r="W403">
        <v>0.69199999999999995</v>
      </c>
      <c r="X403">
        <v>0.87</v>
      </c>
      <c r="Y403">
        <v>0</v>
      </c>
      <c r="Z403" s="19">
        <v>6291007905304</v>
      </c>
      <c r="AA403">
        <v>365</v>
      </c>
      <c r="AB403">
        <v>30</v>
      </c>
      <c r="AC403" t="s">
        <v>88</v>
      </c>
      <c r="AD403">
        <v>8</v>
      </c>
      <c r="AE403">
        <f t="shared" si="7"/>
        <v>384459</v>
      </c>
    </row>
    <row r="404" spans="1:31" x14ac:dyDescent="0.25">
      <c r="A404">
        <v>384460</v>
      </c>
      <c r="B404" t="s">
        <v>606</v>
      </c>
      <c r="C404" t="s">
        <v>509</v>
      </c>
      <c r="D404" t="s">
        <v>91</v>
      </c>
      <c r="F404" t="s">
        <v>103</v>
      </c>
      <c r="H404" t="s">
        <v>36</v>
      </c>
      <c r="I404" t="s">
        <v>36</v>
      </c>
      <c r="J404">
        <v>1</v>
      </c>
      <c r="K404" t="s">
        <v>37</v>
      </c>
      <c r="L404">
        <v>8</v>
      </c>
      <c r="N404">
        <v>0</v>
      </c>
      <c r="P404">
        <v>0</v>
      </c>
      <c r="Q404">
        <v>0.69</v>
      </c>
      <c r="R404">
        <v>0</v>
      </c>
      <c r="S404" t="s">
        <v>38</v>
      </c>
      <c r="T404">
        <v>10.199999999999999</v>
      </c>
      <c r="U404">
        <v>7</v>
      </c>
      <c r="V404">
        <v>20.2</v>
      </c>
      <c r="W404">
        <v>0.69199999999999995</v>
      </c>
      <c r="X404">
        <v>0.87</v>
      </c>
      <c r="Y404">
        <v>0</v>
      </c>
      <c r="Z404" s="19">
        <v>6291007905298</v>
      </c>
      <c r="AA404">
        <v>365</v>
      </c>
      <c r="AB404">
        <v>30</v>
      </c>
      <c r="AC404" t="s">
        <v>88</v>
      </c>
      <c r="AD404">
        <v>8</v>
      </c>
      <c r="AE404">
        <f t="shared" si="7"/>
        <v>384460</v>
      </c>
    </row>
    <row r="405" spans="1:31" x14ac:dyDescent="0.25">
      <c r="A405">
        <v>387514</v>
      </c>
      <c r="B405" t="s">
        <v>607</v>
      </c>
      <c r="C405" t="s">
        <v>509</v>
      </c>
      <c r="D405" t="s">
        <v>91</v>
      </c>
      <c r="F405" t="s">
        <v>34</v>
      </c>
      <c r="H405" t="s">
        <v>36</v>
      </c>
      <c r="I405" t="s">
        <v>36</v>
      </c>
      <c r="J405">
        <v>1</v>
      </c>
      <c r="K405" t="s">
        <v>37</v>
      </c>
      <c r="L405">
        <v>20</v>
      </c>
      <c r="N405">
        <v>0</v>
      </c>
      <c r="P405">
        <v>0</v>
      </c>
      <c r="Q405">
        <v>0.26</v>
      </c>
      <c r="R405">
        <v>0</v>
      </c>
      <c r="S405" t="s">
        <v>38</v>
      </c>
      <c r="T405">
        <v>10.199999999999999</v>
      </c>
      <c r="U405">
        <v>7</v>
      </c>
      <c r="V405">
        <v>10.6</v>
      </c>
      <c r="W405">
        <v>0.42099999999999999</v>
      </c>
      <c r="X405">
        <v>0.52600000000000002</v>
      </c>
      <c r="Y405">
        <v>0</v>
      </c>
      <c r="Z405" s="19">
        <v>8901063136243</v>
      </c>
      <c r="AA405">
        <v>365</v>
      </c>
      <c r="AB405">
        <v>30</v>
      </c>
      <c r="AC405" t="s">
        <v>88</v>
      </c>
      <c r="AD405">
        <v>20</v>
      </c>
      <c r="AE405">
        <f t="shared" si="7"/>
        <v>387514</v>
      </c>
    </row>
    <row r="406" spans="1:31" x14ac:dyDescent="0.25">
      <c r="A406">
        <v>391820</v>
      </c>
      <c r="B406" t="s">
        <v>608</v>
      </c>
      <c r="C406" t="s">
        <v>509</v>
      </c>
      <c r="D406" t="s">
        <v>91</v>
      </c>
      <c r="F406" t="s">
        <v>103</v>
      </c>
      <c r="H406" t="s">
        <v>36</v>
      </c>
      <c r="I406" t="s">
        <v>36</v>
      </c>
      <c r="J406">
        <v>1</v>
      </c>
      <c r="K406" t="s">
        <v>37</v>
      </c>
      <c r="L406">
        <v>15</v>
      </c>
      <c r="N406">
        <v>0</v>
      </c>
      <c r="P406">
        <v>0</v>
      </c>
      <c r="Q406">
        <v>1.02</v>
      </c>
      <c r="R406">
        <v>0</v>
      </c>
      <c r="S406" t="s">
        <v>38</v>
      </c>
      <c r="T406">
        <v>10.1</v>
      </c>
      <c r="U406">
        <v>10.1</v>
      </c>
      <c r="V406">
        <v>10.3</v>
      </c>
      <c r="W406">
        <v>2.91</v>
      </c>
      <c r="X406">
        <v>3.64</v>
      </c>
      <c r="Y406">
        <v>0</v>
      </c>
      <c r="Z406" s="19">
        <v>8901063405493</v>
      </c>
      <c r="AA406">
        <v>365</v>
      </c>
      <c r="AB406">
        <v>30</v>
      </c>
      <c r="AC406" t="s">
        <v>88</v>
      </c>
      <c r="AD406">
        <v>15</v>
      </c>
      <c r="AE406">
        <f t="shared" si="7"/>
        <v>391820</v>
      </c>
    </row>
    <row r="407" spans="1:31" x14ac:dyDescent="0.25">
      <c r="A407">
        <v>393104</v>
      </c>
      <c r="B407" t="s">
        <v>609</v>
      </c>
      <c r="C407" t="s">
        <v>509</v>
      </c>
      <c r="D407" t="s">
        <v>91</v>
      </c>
      <c r="F407" t="s">
        <v>103</v>
      </c>
      <c r="H407" t="s">
        <v>36</v>
      </c>
      <c r="I407" t="s">
        <v>36</v>
      </c>
      <c r="J407">
        <v>1</v>
      </c>
      <c r="K407" t="s">
        <v>37</v>
      </c>
      <c r="L407">
        <v>8</v>
      </c>
      <c r="N407">
        <v>0</v>
      </c>
      <c r="P407">
        <v>0</v>
      </c>
      <c r="Q407">
        <v>0.59</v>
      </c>
      <c r="R407">
        <v>0</v>
      </c>
      <c r="S407" t="s">
        <v>38</v>
      </c>
      <c r="T407">
        <v>30</v>
      </c>
      <c r="U407">
        <v>6</v>
      </c>
      <c r="V407">
        <v>20.5</v>
      </c>
      <c r="W407">
        <v>0.59799999999999998</v>
      </c>
      <c r="X407">
        <v>0.748</v>
      </c>
      <c r="Y407">
        <v>0</v>
      </c>
      <c r="Z407" s="19">
        <v>6291007901603</v>
      </c>
      <c r="AA407">
        <v>365</v>
      </c>
      <c r="AB407">
        <v>30</v>
      </c>
      <c r="AC407" t="s">
        <v>88</v>
      </c>
      <c r="AD407">
        <v>8</v>
      </c>
      <c r="AE407">
        <f t="shared" si="7"/>
        <v>393104</v>
      </c>
    </row>
    <row r="408" spans="1:31" x14ac:dyDescent="0.25">
      <c r="A408">
        <v>393483</v>
      </c>
      <c r="B408" t="s">
        <v>610</v>
      </c>
      <c r="C408" t="s">
        <v>509</v>
      </c>
      <c r="D408" t="s">
        <v>91</v>
      </c>
      <c r="F408" t="s">
        <v>34</v>
      </c>
      <c r="H408" t="s">
        <v>36</v>
      </c>
      <c r="I408" t="s">
        <v>36</v>
      </c>
      <c r="J408">
        <v>1</v>
      </c>
      <c r="K408" t="s">
        <v>37</v>
      </c>
      <c r="L408">
        <v>24</v>
      </c>
      <c r="N408">
        <v>0</v>
      </c>
      <c r="P408">
        <v>0</v>
      </c>
      <c r="Q408">
        <v>0.13</v>
      </c>
      <c r="R408">
        <v>0</v>
      </c>
      <c r="S408" t="s">
        <v>38</v>
      </c>
      <c r="T408">
        <v>20.9</v>
      </c>
      <c r="U408">
        <v>4</v>
      </c>
      <c r="V408">
        <v>8</v>
      </c>
      <c r="W408">
        <v>0.31</v>
      </c>
      <c r="X408">
        <v>0.38800000000000001</v>
      </c>
      <c r="Y408">
        <v>0</v>
      </c>
      <c r="Z408" s="19">
        <v>6291007905281</v>
      </c>
      <c r="AA408">
        <v>365</v>
      </c>
      <c r="AB408">
        <v>30</v>
      </c>
      <c r="AC408" t="s">
        <v>88</v>
      </c>
      <c r="AD408">
        <v>24</v>
      </c>
      <c r="AE408">
        <f t="shared" si="7"/>
        <v>393483</v>
      </c>
    </row>
    <row r="409" spans="1:31" x14ac:dyDescent="0.25">
      <c r="A409">
        <v>393484</v>
      </c>
      <c r="B409" t="s">
        <v>611</v>
      </c>
      <c r="C409" t="s">
        <v>509</v>
      </c>
      <c r="D409" t="s">
        <v>91</v>
      </c>
      <c r="F409" t="s">
        <v>103</v>
      </c>
      <c r="H409" t="s">
        <v>36</v>
      </c>
      <c r="I409" t="s">
        <v>36</v>
      </c>
      <c r="J409">
        <v>1</v>
      </c>
      <c r="K409" t="s">
        <v>37</v>
      </c>
      <c r="L409">
        <v>4</v>
      </c>
      <c r="N409">
        <v>0</v>
      </c>
      <c r="P409">
        <v>0</v>
      </c>
      <c r="Q409">
        <v>0.5</v>
      </c>
      <c r="R409">
        <v>0</v>
      </c>
      <c r="S409" t="s">
        <v>38</v>
      </c>
      <c r="T409">
        <v>25</v>
      </c>
      <c r="U409">
        <v>16</v>
      </c>
      <c r="V409">
        <v>4.5</v>
      </c>
      <c r="W409">
        <v>0.72</v>
      </c>
      <c r="X409">
        <v>0.9</v>
      </c>
      <c r="Y409">
        <v>0</v>
      </c>
      <c r="Z409" s="19">
        <v>8901063167124</v>
      </c>
      <c r="AA409">
        <v>365</v>
      </c>
      <c r="AB409">
        <v>30</v>
      </c>
      <c r="AC409" t="s">
        <v>88</v>
      </c>
      <c r="AD409">
        <v>4</v>
      </c>
      <c r="AE409">
        <f t="shared" si="7"/>
        <v>393484</v>
      </c>
    </row>
    <row r="410" spans="1:31" x14ac:dyDescent="0.25">
      <c r="A410">
        <v>393485</v>
      </c>
      <c r="B410" t="s">
        <v>612</v>
      </c>
      <c r="C410" t="s">
        <v>509</v>
      </c>
      <c r="D410" t="s">
        <v>91</v>
      </c>
      <c r="F410" t="s">
        <v>103</v>
      </c>
      <c r="H410" t="s">
        <v>36</v>
      </c>
      <c r="I410" t="s">
        <v>36</v>
      </c>
      <c r="J410">
        <v>1</v>
      </c>
      <c r="K410" t="s">
        <v>37</v>
      </c>
      <c r="L410">
        <v>6</v>
      </c>
      <c r="N410">
        <v>0</v>
      </c>
      <c r="P410">
        <v>0</v>
      </c>
      <c r="Q410">
        <v>0.68</v>
      </c>
      <c r="R410">
        <v>0</v>
      </c>
      <c r="S410" t="s">
        <v>38</v>
      </c>
      <c r="T410">
        <v>10.6</v>
      </c>
      <c r="U410">
        <v>9</v>
      </c>
      <c r="V410">
        <v>20.5</v>
      </c>
      <c r="W410">
        <v>0.74</v>
      </c>
      <c r="X410">
        <v>0.92600000000000005</v>
      </c>
      <c r="Y410">
        <v>0</v>
      </c>
      <c r="Z410" s="19">
        <v>8901063166875</v>
      </c>
      <c r="AA410">
        <v>365</v>
      </c>
      <c r="AB410">
        <v>30</v>
      </c>
      <c r="AC410" t="s">
        <v>88</v>
      </c>
      <c r="AD410">
        <v>6</v>
      </c>
      <c r="AE410">
        <f t="shared" si="7"/>
        <v>393485</v>
      </c>
    </row>
    <row r="411" spans="1:31" x14ac:dyDescent="0.25">
      <c r="A411">
        <v>393870</v>
      </c>
      <c r="B411" t="s">
        <v>613</v>
      </c>
      <c r="C411" t="s">
        <v>509</v>
      </c>
      <c r="D411" t="s">
        <v>91</v>
      </c>
      <c r="F411" t="s">
        <v>103</v>
      </c>
      <c r="H411" t="s">
        <v>36</v>
      </c>
      <c r="I411" t="s">
        <v>36</v>
      </c>
      <c r="J411">
        <v>1</v>
      </c>
      <c r="K411" t="s">
        <v>37</v>
      </c>
      <c r="L411">
        <v>12</v>
      </c>
      <c r="N411">
        <v>0</v>
      </c>
      <c r="P411">
        <v>0</v>
      </c>
      <c r="Q411">
        <v>0.66</v>
      </c>
      <c r="R411">
        <v>0</v>
      </c>
      <c r="S411" t="s">
        <v>38</v>
      </c>
      <c r="T411">
        <v>10.6</v>
      </c>
      <c r="U411">
        <v>8</v>
      </c>
      <c r="V411">
        <v>20.5</v>
      </c>
      <c r="W411">
        <v>0.74</v>
      </c>
      <c r="X411">
        <v>0.92600000000000005</v>
      </c>
      <c r="Y411">
        <v>0</v>
      </c>
      <c r="Z411" s="19">
        <v>6291007904208</v>
      </c>
      <c r="AA411">
        <v>365</v>
      </c>
      <c r="AB411">
        <v>30</v>
      </c>
      <c r="AC411" t="s">
        <v>88</v>
      </c>
      <c r="AD411">
        <v>12</v>
      </c>
      <c r="AE411">
        <f t="shared" si="7"/>
        <v>393870</v>
      </c>
    </row>
    <row r="412" spans="1:31" x14ac:dyDescent="0.25">
      <c r="A412">
        <v>396374</v>
      </c>
      <c r="B412" t="s">
        <v>614</v>
      </c>
      <c r="C412" t="s">
        <v>509</v>
      </c>
      <c r="D412" t="s">
        <v>91</v>
      </c>
      <c r="F412" t="s">
        <v>103</v>
      </c>
      <c r="H412" t="s">
        <v>36</v>
      </c>
      <c r="I412" t="s">
        <v>36</v>
      </c>
      <c r="J412">
        <v>1</v>
      </c>
      <c r="K412" t="s">
        <v>37</v>
      </c>
      <c r="L412">
        <v>6</v>
      </c>
      <c r="N412">
        <v>0</v>
      </c>
      <c r="P412">
        <v>0</v>
      </c>
      <c r="Q412">
        <v>0.51</v>
      </c>
      <c r="R412">
        <v>0</v>
      </c>
      <c r="S412" t="s">
        <v>38</v>
      </c>
      <c r="T412">
        <v>30</v>
      </c>
      <c r="U412">
        <v>16</v>
      </c>
      <c r="V412">
        <v>7</v>
      </c>
      <c r="W412">
        <v>0.876</v>
      </c>
      <c r="X412">
        <v>1.095</v>
      </c>
      <c r="Y412">
        <v>0</v>
      </c>
      <c r="Z412" s="19">
        <v>6291007914719</v>
      </c>
      <c r="AA412">
        <v>365</v>
      </c>
      <c r="AB412">
        <v>30</v>
      </c>
      <c r="AC412" t="s">
        <v>88</v>
      </c>
      <c r="AD412">
        <v>6</v>
      </c>
      <c r="AE412">
        <f t="shared" si="7"/>
        <v>396374</v>
      </c>
    </row>
    <row r="413" spans="1:31" x14ac:dyDescent="0.25">
      <c r="A413">
        <v>398534</v>
      </c>
      <c r="B413" t="s">
        <v>615</v>
      </c>
      <c r="C413" t="s">
        <v>509</v>
      </c>
      <c r="F413" t="s">
        <v>34</v>
      </c>
      <c r="H413" t="s">
        <v>36</v>
      </c>
      <c r="I413" t="s">
        <v>36</v>
      </c>
      <c r="J413">
        <v>1</v>
      </c>
      <c r="K413" t="s">
        <v>37</v>
      </c>
      <c r="L413">
        <v>12</v>
      </c>
      <c r="N413">
        <v>0</v>
      </c>
      <c r="P413">
        <v>0</v>
      </c>
      <c r="Q413">
        <v>0.23</v>
      </c>
      <c r="R413">
        <v>0</v>
      </c>
      <c r="S413" t="s">
        <v>38</v>
      </c>
      <c r="T413">
        <v>23</v>
      </c>
      <c r="U413">
        <v>17.3</v>
      </c>
      <c r="V413">
        <v>4</v>
      </c>
      <c r="W413">
        <v>0.48</v>
      </c>
      <c r="X413">
        <v>0.6</v>
      </c>
      <c r="Y413">
        <v>0</v>
      </c>
      <c r="Z413" s="19">
        <v>6291007915334</v>
      </c>
      <c r="AA413">
        <v>364</v>
      </c>
      <c r="AB413">
        <v>30</v>
      </c>
      <c r="AC413" t="s">
        <v>88</v>
      </c>
      <c r="AD413">
        <v>12</v>
      </c>
      <c r="AE413">
        <f t="shared" si="7"/>
        <v>398534</v>
      </c>
    </row>
    <row r="414" spans="1:31" x14ac:dyDescent="0.25">
      <c r="A414">
        <v>399309</v>
      </c>
      <c r="B414" t="s">
        <v>616</v>
      </c>
      <c r="C414" t="s">
        <v>504</v>
      </c>
      <c r="F414" t="s">
        <v>34</v>
      </c>
      <c r="H414" t="s">
        <v>36</v>
      </c>
      <c r="I414" t="s">
        <v>145</v>
      </c>
      <c r="J414">
        <v>12</v>
      </c>
      <c r="K414" t="s">
        <v>36</v>
      </c>
      <c r="L414">
        <v>1</v>
      </c>
      <c r="M414" t="s">
        <v>37</v>
      </c>
      <c r="N414">
        <v>48</v>
      </c>
      <c r="P414">
        <v>0</v>
      </c>
      <c r="Q414">
        <v>0.57999999999999996</v>
      </c>
      <c r="R414">
        <v>0</v>
      </c>
      <c r="S414" t="s">
        <v>38</v>
      </c>
      <c r="T414">
        <v>29</v>
      </c>
      <c r="U414">
        <v>21</v>
      </c>
      <c r="V414">
        <v>4.5</v>
      </c>
      <c r="W414">
        <v>0.05</v>
      </c>
      <c r="X414">
        <v>6.2E-2</v>
      </c>
      <c r="Y414">
        <v>0</v>
      </c>
      <c r="Z414" s="19">
        <v>6291007701050</v>
      </c>
      <c r="AA414">
        <v>364</v>
      </c>
      <c r="AB414">
        <v>30</v>
      </c>
      <c r="AC414" t="s">
        <v>88</v>
      </c>
      <c r="AD414">
        <v>48</v>
      </c>
      <c r="AE414">
        <f t="shared" si="7"/>
        <v>399309</v>
      </c>
    </row>
    <row r="415" spans="1:31" x14ac:dyDescent="0.25">
      <c r="A415">
        <v>399408</v>
      </c>
      <c r="B415" t="s">
        <v>617</v>
      </c>
      <c r="C415" t="s">
        <v>504</v>
      </c>
      <c r="F415" t="s">
        <v>34</v>
      </c>
      <c r="H415" t="s">
        <v>36</v>
      </c>
      <c r="I415" t="s">
        <v>36</v>
      </c>
      <c r="J415">
        <v>1</v>
      </c>
      <c r="K415" t="s">
        <v>37</v>
      </c>
      <c r="L415">
        <v>24</v>
      </c>
      <c r="N415">
        <v>0</v>
      </c>
      <c r="P415">
        <v>0</v>
      </c>
      <c r="Q415">
        <v>0.16</v>
      </c>
      <c r="R415">
        <v>0</v>
      </c>
      <c r="S415" t="s">
        <v>38</v>
      </c>
      <c r="T415">
        <v>23</v>
      </c>
      <c r="U415">
        <v>9.5</v>
      </c>
      <c r="V415">
        <v>2.5</v>
      </c>
      <c r="W415">
        <v>0.308</v>
      </c>
      <c r="X415">
        <v>0.38500000000000001</v>
      </c>
      <c r="Y415">
        <v>0</v>
      </c>
      <c r="Z415" s="19">
        <v>6291007500363</v>
      </c>
      <c r="AA415">
        <v>364</v>
      </c>
      <c r="AB415">
        <v>30</v>
      </c>
      <c r="AC415" t="s">
        <v>88</v>
      </c>
      <c r="AD415">
        <v>24</v>
      </c>
      <c r="AE415">
        <f t="shared" si="7"/>
        <v>399408</v>
      </c>
    </row>
    <row r="416" spans="1:31" x14ac:dyDescent="0.25">
      <c r="A416">
        <v>403744</v>
      </c>
      <c r="B416" t="s">
        <v>618</v>
      </c>
      <c r="C416" t="s">
        <v>504</v>
      </c>
      <c r="F416" t="s">
        <v>34</v>
      </c>
      <c r="H416" t="s">
        <v>36</v>
      </c>
      <c r="I416" t="s">
        <v>145</v>
      </c>
      <c r="J416">
        <v>12</v>
      </c>
      <c r="K416" t="s">
        <v>36</v>
      </c>
      <c r="L416">
        <v>1</v>
      </c>
      <c r="M416" t="s">
        <v>37</v>
      </c>
      <c r="N416">
        <v>48</v>
      </c>
      <c r="O416" t="s">
        <v>177</v>
      </c>
      <c r="P416">
        <v>1</v>
      </c>
      <c r="Q416">
        <v>0.57999999999999996</v>
      </c>
      <c r="R416">
        <v>0</v>
      </c>
      <c r="S416" t="s">
        <v>38</v>
      </c>
      <c r="T416">
        <v>29</v>
      </c>
      <c r="U416">
        <v>21</v>
      </c>
      <c r="V416">
        <v>4.5</v>
      </c>
      <c r="W416">
        <v>0.05</v>
      </c>
      <c r="X416">
        <v>6.2E-2</v>
      </c>
      <c r="Y416">
        <v>0</v>
      </c>
      <c r="Z416" s="20">
        <v>6291007701050</v>
      </c>
      <c r="AA416">
        <v>364</v>
      </c>
      <c r="AB416">
        <v>30</v>
      </c>
      <c r="AC416" t="s">
        <v>88</v>
      </c>
      <c r="AD416">
        <v>48</v>
      </c>
      <c r="AE416">
        <f t="shared" si="7"/>
        <v>403744</v>
      </c>
    </row>
    <row r="417" spans="1:31" x14ac:dyDescent="0.25">
      <c r="A417">
        <v>410063</v>
      </c>
      <c r="B417" t="s">
        <v>619</v>
      </c>
      <c r="C417" t="s">
        <v>435</v>
      </c>
      <c r="D417" t="s">
        <v>91</v>
      </c>
      <c r="F417" t="s">
        <v>86</v>
      </c>
      <c r="H417" t="s">
        <v>36</v>
      </c>
      <c r="I417" t="s">
        <v>36</v>
      </c>
      <c r="J417">
        <v>1</v>
      </c>
      <c r="K417" t="s">
        <v>37</v>
      </c>
      <c r="L417">
        <v>12</v>
      </c>
      <c r="N417">
        <v>0</v>
      </c>
      <c r="P417">
        <v>0</v>
      </c>
      <c r="Q417">
        <v>0</v>
      </c>
      <c r="R417">
        <v>0</v>
      </c>
      <c r="S417" t="s">
        <v>38</v>
      </c>
      <c r="T417">
        <v>0</v>
      </c>
      <c r="U417">
        <v>0</v>
      </c>
      <c r="V417">
        <v>0</v>
      </c>
      <c r="W417">
        <v>3.4</v>
      </c>
      <c r="X417">
        <v>4.25</v>
      </c>
      <c r="Y417">
        <v>0</v>
      </c>
      <c r="Z417" s="19">
        <v>1800000025008</v>
      </c>
      <c r="AA417">
        <v>540</v>
      </c>
      <c r="AB417">
        <v>30</v>
      </c>
      <c r="AC417" t="s">
        <v>436</v>
      </c>
      <c r="AD417">
        <v>12</v>
      </c>
      <c r="AE417">
        <f t="shared" si="7"/>
        <v>410063</v>
      </c>
    </row>
    <row r="418" spans="1:31" x14ac:dyDescent="0.25">
      <c r="A418">
        <v>410064</v>
      </c>
      <c r="B418" t="s">
        <v>620</v>
      </c>
      <c r="C418" t="s">
        <v>435</v>
      </c>
      <c r="D418" t="s">
        <v>91</v>
      </c>
      <c r="F418" t="s">
        <v>86</v>
      </c>
      <c r="H418" t="s">
        <v>36</v>
      </c>
      <c r="I418" t="s">
        <v>36</v>
      </c>
      <c r="J418">
        <v>1</v>
      </c>
      <c r="K418" t="s">
        <v>37</v>
      </c>
      <c r="L418">
        <v>6</v>
      </c>
      <c r="N418">
        <v>0</v>
      </c>
      <c r="P418">
        <v>0</v>
      </c>
      <c r="Q418">
        <v>0</v>
      </c>
      <c r="R418">
        <v>0</v>
      </c>
      <c r="S418" t="s">
        <v>38</v>
      </c>
      <c r="T418">
        <v>0</v>
      </c>
      <c r="U418">
        <v>0</v>
      </c>
      <c r="V418">
        <v>0</v>
      </c>
      <c r="W418">
        <v>3.4</v>
      </c>
      <c r="X418">
        <v>4.25</v>
      </c>
      <c r="Y418">
        <v>0</v>
      </c>
      <c r="Z418" s="19">
        <v>1800000025107</v>
      </c>
      <c r="AA418">
        <v>730</v>
      </c>
      <c r="AB418">
        <v>30</v>
      </c>
      <c r="AC418" t="s">
        <v>436</v>
      </c>
      <c r="AD418">
        <v>6</v>
      </c>
      <c r="AE418">
        <f t="shared" si="7"/>
        <v>410064</v>
      </c>
    </row>
    <row r="419" spans="1:31" x14ac:dyDescent="0.25">
      <c r="A419">
        <v>410215</v>
      </c>
      <c r="B419" t="s">
        <v>621</v>
      </c>
      <c r="C419" t="s">
        <v>232</v>
      </c>
      <c r="D419" t="s">
        <v>91</v>
      </c>
      <c r="F419" t="s">
        <v>34</v>
      </c>
      <c r="H419" t="s">
        <v>36</v>
      </c>
      <c r="I419" t="s">
        <v>145</v>
      </c>
      <c r="J419">
        <v>48</v>
      </c>
      <c r="K419" t="s">
        <v>36</v>
      </c>
      <c r="L419">
        <v>1</v>
      </c>
      <c r="M419" t="s">
        <v>37</v>
      </c>
      <c r="N419">
        <v>768</v>
      </c>
      <c r="P419">
        <v>0</v>
      </c>
      <c r="Q419">
        <v>0</v>
      </c>
      <c r="R419">
        <v>0</v>
      </c>
      <c r="S419" t="s">
        <v>38</v>
      </c>
      <c r="T419">
        <v>0</v>
      </c>
      <c r="U419">
        <v>0</v>
      </c>
      <c r="V419">
        <v>0</v>
      </c>
      <c r="W419">
        <v>0.03</v>
      </c>
      <c r="X419">
        <v>4.1000000000000002E-2</v>
      </c>
      <c r="Y419">
        <v>0</v>
      </c>
      <c r="Z419" s="19">
        <v>8901393027099</v>
      </c>
      <c r="AA419">
        <v>540</v>
      </c>
      <c r="AB419">
        <v>90</v>
      </c>
      <c r="AC419" t="s">
        <v>146</v>
      </c>
      <c r="AD419">
        <v>768</v>
      </c>
      <c r="AE419">
        <f t="shared" si="7"/>
        <v>410215</v>
      </c>
    </row>
    <row r="420" spans="1:31" ht="15.75" x14ac:dyDescent="0.25">
      <c r="A420">
        <v>410295</v>
      </c>
      <c r="B420" t="s">
        <v>622</v>
      </c>
      <c r="C420" t="s">
        <v>105</v>
      </c>
      <c r="D420" t="s">
        <v>91</v>
      </c>
      <c r="F420" t="s">
        <v>103</v>
      </c>
      <c r="G420">
        <v>466341</v>
      </c>
      <c r="H420" t="s">
        <v>36</v>
      </c>
      <c r="I420" t="s">
        <v>36</v>
      </c>
      <c r="J420">
        <v>1</v>
      </c>
      <c r="K420" t="s">
        <v>37</v>
      </c>
      <c r="L420">
        <v>16</v>
      </c>
      <c r="N420">
        <v>0</v>
      </c>
      <c r="P420">
        <v>0</v>
      </c>
      <c r="Q420">
        <v>0</v>
      </c>
      <c r="R420">
        <v>0</v>
      </c>
      <c r="S420" t="s">
        <v>38</v>
      </c>
      <c r="T420">
        <v>0</v>
      </c>
      <c r="U420">
        <v>0</v>
      </c>
      <c r="V420">
        <v>0</v>
      </c>
      <c r="W420">
        <v>1.046</v>
      </c>
      <c r="X420">
        <v>1.2689999999999999</v>
      </c>
      <c r="Y420">
        <v>0</v>
      </c>
      <c r="Z420" s="21">
        <v>3073781219654</v>
      </c>
      <c r="AA420">
        <v>300</v>
      </c>
      <c r="AB420">
        <v>30</v>
      </c>
      <c r="AC420" t="s">
        <v>94</v>
      </c>
      <c r="AD420">
        <v>16</v>
      </c>
      <c r="AE420">
        <f t="shared" si="7"/>
        <v>410295</v>
      </c>
    </row>
    <row r="421" spans="1:31" x14ac:dyDescent="0.25">
      <c r="A421">
        <v>95227</v>
      </c>
      <c r="B421" t="s">
        <v>623</v>
      </c>
      <c r="C421" t="s">
        <v>499</v>
      </c>
      <c r="E421" t="s">
        <v>624</v>
      </c>
      <c r="F421" t="s">
        <v>34</v>
      </c>
      <c r="G421">
        <v>394596</v>
      </c>
      <c r="H421" t="s">
        <v>177</v>
      </c>
      <c r="I421" t="s">
        <v>36</v>
      </c>
      <c r="J421">
        <v>1</v>
      </c>
      <c r="K421" t="s">
        <v>37</v>
      </c>
      <c r="L421">
        <v>12</v>
      </c>
      <c r="M421" t="s">
        <v>177</v>
      </c>
      <c r="N421">
        <v>1</v>
      </c>
      <c r="O421" t="s">
        <v>93</v>
      </c>
      <c r="P421" s="12">
        <v>5000</v>
      </c>
      <c r="Q421">
        <v>0.28000000000000003</v>
      </c>
      <c r="R421">
        <v>0.2</v>
      </c>
      <c r="S421" t="s">
        <v>38</v>
      </c>
      <c r="T421">
        <v>18.5</v>
      </c>
      <c r="U421">
        <v>4</v>
      </c>
      <c r="V421">
        <v>18.5</v>
      </c>
      <c r="W421">
        <v>0</v>
      </c>
      <c r="X421">
        <v>0.56899999999999995</v>
      </c>
      <c r="Y421">
        <v>0</v>
      </c>
      <c r="Z421" s="19">
        <v>9501047211318</v>
      </c>
      <c r="AA421">
        <v>365</v>
      </c>
      <c r="AB421">
        <v>30</v>
      </c>
      <c r="AC421" t="s">
        <v>625</v>
      </c>
      <c r="AD421">
        <v>12</v>
      </c>
      <c r="AE421">
        <f t="shared" si="7"/>
        <v>95227</v>
      </c>
    </row>
    <row r="422" spans="1:31" x14ac:dyDescent="0.25">
      <c r="A422">
        <v>95239</v>
      </c>
      <c r="B422" t="s">
        <v>626</v>
      </c>
      <c r="C422" t="s">
        <v>499</v>
      </c>
      <c r="E422" t="s">
        <v>627</v>
      </c>
      <c r="F422" t="s">
        <v>34</v>
      </c>
      <c r="G422">
        <v>394352</v>
      </c>
      <c r="H422" t="s">
        <v>177</v>
      </c>
      <c r="I422" t="s">
        <v>36</v>
      </c>
      <c r="J422">
        <v>1</v>
      </c>
      <c r="K422" t="s">
        <v>37</v>
      </c>
      <c r="L422">
        <v>12</v>
      </c>
      <c r="M422" t="s">
        <v>177</v>
      </c>
      <c r="N422">
        <v>1</v>
      </c>
      <c r="O422" t="s">
        <v>93</v>
      </c>
      <c r="P422" s="12">
        <v>5000</v>
      </c>
      <c r="Q422">
        <v>0.26</v>
      </c>
      <c r="R422">
        <v>0.2</v>
      </c>
      <c r="S422" t="s">
        <v>38</v>
      </c>
      <c r="T422">
        <v>19</v>
      </c>
      <c r="U422">
        <v>19</v>
      </c>
      <c r="V422">
        <v>4</v>
      </c>
      <c r="W422">
        <v>0.45500000000000002</v>
      </c>
      <c r="X422">
        <v>0.56899999999999995</v>
      </c>
      <c r="Y422">
        <v>0</v>
      </c>
      <c r="Z422" s="19">
        <v>9501047221324</v>
      </c>
      <c r="AA422">
        <v>365</v>
      </c>
      <c r="AB422">
        <v>30</v>
      </c>
      <c r="AC422" t="s">
        <v>625</v>
      </c>
      <c r="AD422">
        <v>12</v>
      </c>
      <c r="AE422">
        <f t="shared" si="7"/>
        <v>95239</v>
      </c>
    </row>
    <row r="423" spans="1:31" x14ac:dyDescent="0.25">
      <c r="A423">
        <v>95808</v>
      </c>
      <c r="B423" t="s">
        <v>628</v>
      </c>
      <c r="C423" t="s">
        <v>504</v>
      </c>
      <c r="D423" t="s">
        <v>91</v>
      </c>
      <c r="E423" t="s">
        <v>629</v>
      </c>
      <c r="F423" t="s">
        <v>34</v>
      </c>
      <c r="G423">
        <v>96988</v>
      </c>
      <c r="H423" t="s">
        <v>177</v>
      </c>
      <c r="I423" t="s">
        <v>145</v>
      </c>
      <c r="J423">
        <v>12</v>
      </c>
      <c r="K423" t="s">
        <v>36</v>
      </c>
      <c r="L423">
        <v>1</v>
      </c>
      <c r="M423" t="s">
        <v>37</v>
      </c>
      <c r="N423">
        <v>48</v>
      </c>
      <c r="O423" t="s">
        <v>177</v>
      </c>
      <c r="P423">
        <v>1</v>
      </c>
      <c r="Q423">
        <v>5.2999999999999999E-2</v>
      </c>
      <c r="R423">
        <v>0.05</v>
      </c>
      <c r="S423" t="s">
        <v>38</v>
      </c>
      <c r="T423">
        <v>9</v>
      </c>
      <c r="U423">
        <v>5</v>
      </c>
      <c r="V423">
        <v>3</v>
      </c>
      <c r="W423">
        <v>4.7E-2</v>
      </c>
      <c r="X423">
        <v>5.8000000000000003E-2</v>
      </c>
      <c r="Y423">
        <v>0</v>
      </c>
      <c r="Z423" s="19">
        <v>6291007700015</v>
      </c>
      <c r="AA423">
        <v>365</v>
      </c>
      <c r="AB423">
        <v>30</v>
      </c>
      <c r="AC423" t="s">
        <v>630</v>
      </c>
      <c r="AD423">
        <v>48</v>
      </c>
      <c r="AE423">
        <f t="shared" si="7"/>
        <v>95808</v>
      </c>
    </row>
    <row r="424" spans="1:31" x14ac:dyDescent="0.25">
      <c r="A424">
        <v>95898</v>
      </c>
      <c r="B424" t="s">
        <v>631</v>
      </c>
      <c r="C424" t="s">
        <v>509</v>
      </c>
      <c r="E424" t="s">
        <v>632</v>
      </c>
      <c r="F424" t="s">
        <v>34</v>
      </c>
      <c r="G424">
        <v>393929</v>
      </c>
      <c r="H424" t="s">
        <v>177</v>
      </c>
      <c r="I424" t="s">
        <v>36</v>
      </c>
      <c r="J424">
        <v>1</v>
      </c>
      <c r="K424" t="s">
        <v>37</v>
      </c>
      <c r="L424">
        <v>24</v>
      </c>
      <c r="M424" t="s">
        <v>177</v>
      </c>
      <c r="N424">
        <v>1</v>
      </c>
      <c r="O424" t="s">
        <v>93</v>
      </c>
      <c r="P424" s="12">
        <v>13889</v>
      </c>
      <c r="Q424">
        <v>0.08</v>
      </c>
      <c r="R424">
        <v>7.0999999999999994E-2</v>
      </c>
      <c r="S424" t="s">
        <v>38</v>
      </c>
      <c r="T424">
        <v>16</v>
      </c>
      <c r="U424">
        <v>4</v>
      </c>
      <c r="V424">
        <v>4</v>
      </c>
      <c r="W424">
        <v>0.128</v>
      </c>
      <c r="X424">
        <v>0.16</v>
      </c>
      <c r="Y424">
        <v>0</v>
      </c>
      <c r="Z424" s="19">
        <v>6291007901085</v>
      </c>
      <c r="AA424">
        <v>365</v>
      </c>
      <c r="AB424">
        <v>30</v>
      </c>
      <c r="AC424" t="s">
        <v>625</v>
      </c>
      <c r="AD424">
        <v>24</v>
      </c>
      <c r="AE424">
        <f t="shared" si="7"/>
        <v>95898</v>
      </c>
    </row>
    <row r="425" spans="1:31" x14ac:dyDescent="0.25">
      <c r="A425">
        <v>164448</v>
      </c>
      <c r="B425" t="s">
        <v>633</v>
      </c>
      <c r="C425" t="s">
        <v>504</v>
      </c>
      <c r="E425">
        <v>95822</v>
      </c>
      <c r="F425" t="s">
        <v>34</v>
      </c>
      <c r="G425">
        <v>392804</v>
      </c>
      <c r="H425" t="s">
        <v>177</v>
      </c>
      <c r="I425" t="s">
        <v>145</v>
      </c>
      <c r="J425">
        <v>12</v>
      </c>
      <c r="K425" t="s">
        <v>36</v>
      </c>
      <c r="L425">
        <v>1</v>
      </c>
      <c r="M425" t="s">
        <v>37</v>
      </c>
      <c r="N425">
        <v>48</v>
      </c>
      <c r="O425" t="s">
        <v>177</v>
      </c>
      <c r="P425">
        <v>1</v>
      </c>
      <c r="Q425">
        <v>0.04</v>
      </c>
      <c r="R425">
        <v>0.05</v>
      </c>
      <c r="S425" t="s">
        <v>38</v>
      </c>
      <c r="T425">
        <v>5</v>
      </c>
      <c r="U425">
        <v>4</v>
      </c>
      <c r="V425">
        <v>9</v>
      </c>
      <c r="W425">
        <v>0.05</v>
      </c>
      <c r="X425">
        <v>6.2E-2</v>
      </c>
      <c r="Y425">
        <v>0</v>
      </c>
      <c r="Z425" s="19">
        <v>6291007701050</v>
      </c>
      <c r="AA425">
        <v>364</v>
      </c>
      <c r="AB425">
        <v>30</v>
      </c>
      <c r="AC425" t="s">
        <v>625</v>
      </c>
      <c r="AD425">
        <v>48</v>
      </c>
      <c r="AE425">
        <f t="shared" si="7"/>
        <v>164448</v>
      </c>
    </row>
    <row r="426" spans="1:31" x14ac:dyDescent="0.25">
      <c r="A426">
        <v>164549</v>
      </c>
      <c r="B426" t="s">
        <v>634</v>
      </c>
      <c r="C426" t="s">
        <v>509</v>
      </c>
      <c r="D426" t="s">
        <v>91</v>
      </c>
      <c r="E426">
        <v>123790</v>
      </c>
      <c r="F426" t="s">
        <v>34</v>
      </c>
      <c r="G426">
        <v>392683</v>
      </c>
      <c r="H426" t="s">
        <v>36</v>
      </c>
      <c r="I426" t="s">
        <v>36</v>
      </c>
      <c r="J426">
        <v>1</v>
      </c>
      <c r="K426" t="s">
        <v>37</v>
      </c>
      <c r="L426">
        <v>24</v>
      </c>
      <c r="N426">
        <v>0</v>
      </c>
      <c r="P426">
        <v>0</v>
      </c>
      <c r="Q426">
        <v>0.1</v>
      </c>
      <c r="R426">
        <v>8.5000000000000006E-2</v>
      </c>
      <c r="S426" t="s">
        <v>38</v>
      </c>
      <c r="T426">
        <v>8</v>
      </c>
      <c r="U426">
        <v>3</v>
      </c>
      <c r="V426">
        <v>15.5</v>
      </c>
      <c r="W426">
        <v>0.29699999999999999</v>
      </c>
      <c r="X426">
        <v>0.371</v>
      </c>
      <c r="Y426">
        <v>0</v>
      </c>
      <c r="Z426" s="19">
        <v>8901063151079</v>
      </c>
      <c r="AA426">
        <v>365</v>
      </c>
      <c r="AB426">
        <v>30</v>
      </c>
      <c r="AC426" t="s">
        <v>635</v>
      </c>
      <c r="AD426">
        <v>24</v>
      </c>
      <c r="AE426">
        <f t="shared" si="7"/>
        <v>164549</v>
      </c>
    </row>
    <row r="427" spans="1:31" x14ac:dyDescent="0.25">
      <c r="A427">
        <v>164550</v>
      </c>
      <c r="B427" t="s">
        <v>636</v>
      </c>
      <c r="C427" t="s">
        <v>509</v>
      </c>
      <c r="E427">
        <v>123791</v>
      </c>
      <c r="F427" t="s">
        <v>34</v>
      </c>
      <c r="G427">
        <v>392686</v>
      </c>
      <c r="H427" t="s">
        <v>36</v>
      </c>
      <c r="I427" t="s">
        <v>36</v>
      </c>
      <c r="J427">
        <v>1</v>
      </c>
      <c r="K427" t="s">
        <v>37</v>
      </c>
      <c r="L427">
        <v>24</v>
      </c>
      <c r="N427">
        <v>0</v>
      </c>
      <c r="P427">
        <v>0</v>
      </c>
      <c r="Q427">
        <v>0.1</v>
      </c>
      <c r="R427">
        <v>8.5000000000000006E-2</v>
      </c>
      <c r="S427" t="s">
        <v>38</v>
      </c>
      <c r="T427">
        <v>15.5</v>
      </c>
      <c r="U427">
        <v>8</v>
      </c>
      <c r="V427">
        <v>3</v>
      </c>
      <c r="W427">
        <v>0.29699999999999999</v>
      </c>
      <c r="X427">
        <v>0.371</v>
      </c>
      <c r="Y427">
        <v>0</v>
      </c>
      <c r="Z427" s="19">
        <v>8901063151062</v>
      </c>
      <c r="AA427">
        <v>365</v>
      </c>
      <c r="AB427">
        <v>30</v>
      </c>
      <c r="AC427" t="s">
        <v>635</v>
      </c>
      <c r="AD427">
        <v>24</v>
      </c>
      <c r="AE427">
        <f t="shared" si="7"/>
        <v>164550</v>
      </c>
    </row>
    <row r="428" spans="1:31" x14ac:dyDescent="0.25">
      <c r="A428">
        <v>164642</v>
      </c>
      <c r="B428" t="s">
        <v>637</v>
      </c>
      <c r="C428" t="s">
        <v>509</v>
      </c>
      <c r="E428">
        <v>138762</v>
      </c>
      <c r="F428" t="s">
        <v>34</v>
      </c>
      <c r="G428">
        <v>990313</v>
      </c>
      <c r="H428" t="s">
        <v>36</v>
      </c>
      <c r="I428" t="s">
        <v>36</v>
      </c>
      <c r="J428">
        <v>1</v>
      </c>
      <c r="K428" t="s">
        <v>37</v>
      </c>
      <c r="L428">
        <v>24</v>
      </c>
      <c r="N428">
        <v>0</v>
      </c>
      <c r="P428">
        <v>0</v>
      </c>
      <c r="Q428">
        <v>0.33</v>
      </c>
      <c r="R428">
        <v>0.19</v>
      </c>
      <c r="S428" t="s">
        <v>38</v>
      </c>
      <c r="T428">
        <v>15</v>
      </c>
      <c r="U428">
        <v>4</v>
      </c>
      <c r="V428">
        <v>25</v>
      </c>
      <c r="W428">
        <v>0.498</v>
      </c>
      <c r="X428">
        <v>0.622</v>
      </c>
      <c r="Y428">
        <v>0</v>
      </c>
      <c r="Z428" s="19">
        <v>8901063136762</v>
      </c>
      <c r="AA428">
        <v>365</v>
      </c>
      <c r="AB428">
        <v>30</v>
      </c>
      <c r="AC428" t="s">
        <v>630</v>
      </c>
      <c r="AD428">
        <v>24</v>
      </c>
      <c r="AE428">
        <f t="shared" si="7"/>
        <v>164642</v>
      </c>
    </row>
    <row r="429" spans="1:31" x14ac:dyDescent="0.25">
      <c r="A429">
        <v>164646</v>
      </c>
      <c r="B429" t="s">
        <v>638</v>
      </c>
      <c r="C429" t="s">
        <v>509</v>
      </c>
      <c r="E429">
        <v>139248</v>
      </c>
      <c r="F429" t="s">
        <v>34</v>
      </c>
      <c r="G429">
        <v>392689</v>
      </c>
      <c r="H429" t="s">
        <v>36</v>
      </c>
      <c r="I429" t="s">
        <v>36</v>
      </c>
      <c r="J429">
        <v>1</v>
      </c>
      <c r="K429" t="s">
        <v>37</v>
      </c>
      <c r="L429">
        <v>24</v>
      </c>
      <c r="N429">
        <v>0</v>
      </c>
      <c r="P429">
        <v>0</v>
      </c>
      <c r="Q429">
        <v>0.1</v>
      </c>
      <c r="R429">
        <v>8.5000000000000006E-2</v>
      </c>
      <c r="S429" t="s">
        <v>38</v>
      </c>
      <c r="T429">
        <v>15.5</v>
      </c>
      <c r="U429">
        <v>8</v>
      </c>
      <c r="V429">
        <v>3</v>
      </c>
      <c r="W429">
        <v>0.29699999999999999</v>
      </c>
      <c r="X429">
        <v>0.371</v>
      </c>
      <c r="Y429">
        <v>0</v>
      </c>
      <c r="Z429" s="19">
        <v>8901063151192</v>
      </c>
      <c r="AA429">
        <v>365</v>
      </c>
      <c r="AB429">
        <v>30</v>
      </c>
      <c r="AC429" t="s">
        <v>635</v>
      </c>
      <c r="AD429">
        <v>24</v>
      </c>
      <c r="AE429">
        <f t="shared" si="7"/>
        <v>164646</v>
      </c>
    </row>
    <row r="430" spans="1:31" x14ac:dyDescent="0.25">
      <c r="A430">
        <v>164720</v>
      </c>
      <c r="B430" t="s">
        <v>639</v>
      </c>
      <c r="C430" t="s">
        <v>504</v>
      </c>
      <c r="D430" t="s">
        <v>91</v>
      </c>
      <c r="E430">
        <v>159650</v>
      </c>
      <c r="F430" t="s">
        <v>103</v>
      </c>
      <c r="G430">
        <v>395041</v>
      </c>
      <c r="H430" t="s">
        <v>36</v>
      </c>
      <c r="I430" t="s">
        <v>36</v>
      </c>
      <c r="J430">
        <v>1</v>
      </c>
      <c r="K430" t="s">
        <v>37</v>
      </c>
      <c r="L430">
        <v>4</v>
      </c>
      <c r="N430">
        <v>0</v>
      </c>
      <c r="P430">
        <v>0</v>
      </c>
      <c r="Q430">
        <v>0.56000000000000005</v>
      </c>
      <c r="R430">
        <v>0</v>
      </c>
      <c r="S430" t="s">
        <v>38</v>
      </c>
      <c r="T430">
        <v>22</v>
      </c>
      <c r="U430">
        <v>17</v>
      </c>
      <c r="V430">
        <v>5.5</v>
      </c>
      <c r="W430">
        <v>0.88</v>
      </c>
      <c r="X430">
        <v>1.101</v>
      </c>
      <c r="Y430">
        <v>0</v>
      </c>
      <c r="Z430" s="19">
        <v>6291007905861</v>
      </c>
      <c r="AA430">
        <v>270</v>
      </c>
      <c r="AB430">
        <v>30</v>
      </c>
      <c r="AC430" t="s">
        <v>635</v>
      </c>
      <c r="AD430">
        <v>4</v>
      </c>
      <c r="AE430">
        <f t="shared" si="7"/>
        <v>164720</v>
      </c>
    </row>
    <row r="431" spans="1:31" x14ac:dyDescent="0.25">
      <c r="A431">
        <v>166538</v>
      </c>
      <c r="B431" t="s">
        <v>640</v>
      </c>
      <c r="C431" t="s">
        <v>509</v>
      </c>
      <c r="D431" t="s">
        <v>91</v>
      </c>
      <c r="F431" t="s">
        <v>103</v>
      </c>
      <c r="G431">
        <v>98354</v>
      </c>
      <c r="H431" t="s">
        <v>36</v>
      </c>
      <c r="I431" t="s">
        <v>36</v>
      </c>
      <c r="J431">
        <v>1</v>
      </c>
      <c r="K431" t="s">
        <v>37</v>
      </c>
      <c r="L431">
        <v>12</v>
      </c>
      <c r="N431">
        <v>0</v>
      </c>
      <c r="P431">
        <v>0</v>
      </c>
      <c r="Q431">
        <v>0.72</v>
      </c>
      <c r="R431">
        <v>0</v>
      </c>
      <c r="S431" t="s">
        <v>38</v>
      </c>
      <c r="T431">
        <v>17</v>
      </c>
      <c r="U431">
        <v>9</v>
      </c>
      <c r="V431">
        <v>25</v>
      </c>
      <c r="W431">
        <v>0.875</v>
      </c>
      <c r="X431">
        <v>1.0940000000000001</v>
      </c>
      <c r="Y431">
        <v>0</v>
      </c>
      <c r="Z431" s="19">
        <v>6291007904840</v>
      </c>
      <c r="AA431">
        <v>365</v>
      </c>
      <c r="AB431">
        <v>30</v>
      </c>
      <c r="AC431" t="s">
        <v>630</v>
      </c>
      <c r="AD431">
        <v>12</v>
      </c>
      <c r="AE431">
        <f t="shared" si="7"/>
        <v>166538</v>
      </c>
    </row>
    <row r="432" spans="1:31" x14ac:dyDescent="0.25">
      <c r="A432">
        <v>181307</v>
      </c>
      <c r="B432" t="s">
        <v>641</v>
      </c>
      <c r="C432" t="s">
        <v>504</v>
      </c>
      <c r="D432" t="s">
        <v>91</v>
      </c>
      <c r="F432" t="s">
        <v>34</v>
      </c>
      <c r="G432">
        <v>393795</v>
      </c>
      <c r="H432" t="s">
        <v>36</v>
      </c>
      <c r="I432" t="s">
        <v>36</v>
      </c>
      <c r="J432">
        <v>1</v>
      </c>
      <c r="K432" t="s">
        <v>37</v>
      </c>
      <c r="L432">
        <v>24</v>
      </c>
      <c r="N432">
        <v>0</v>
      </c>
      <c r="P432">
        <v>0</v>
      </c>
      <c r="Q432">
        <v>0.17</v>
      </c>
      <c r="R432">
        <v>0</v>
      </c>
      <c r="S432" t="s">
        <v>38</v>
      </c>
      <c r="T432">
        <v>9.5</v>
      </c>
      <c r="U432">
        <v>3</v>
      </c>
      <c r="V432">
        <v>23</v>
      </c>
      <c r="W432">
        <v>0.307</v>
      </c>
      <c r="X432">
        <v>0.38500000000000001</v>
      </c>
      <c r="Y432">
        <v>0</v>
      </c>
      <c r="Z432" s="19">
        <v>6291007500349</v>
      </c>
      <c r="AA432">
        <v>365</v>
      </c>
      <c r="AB432">
        <v>30</v>
      </c>
      <c r="AC432" t="s">
        <v>635</v>
      </c>
      <c r="AD432">
        <v>24</v>
      </c>
      <c r="AE432">
        <f t="shared" si="7"/>
        <v>181307</v>
      </c>
    </row>
    <row r="433" spans="1:31" x14ac:dyDescent="0.25">
      <c r="A433">
        <v>181308</v>
      </c>
      <c r="B433" t="s">
        <v>642</v>
      </c>
      <c r="C433" t="s">
        <v>504</v>
      </c>
      <c r="F433" t="s">
        <v>34</v>
      </c>
      <c r="G433">
        <v>394830</v>
      </c>
      <c r="H433" t="s">
        <v>36</v>
      </c>
      <c r="I433" t="s">
        <v>36</v>
      </c>
      <c r="J433">
        <v>1</v>
      </c>
      <c r="K433" t="s">
        <v>37</v>
      </c>
      <c r="L433">
        <v>24</v>
      </c>
      <c r="N433">
        <v>0</v>
      </c>
      <c r="P433">
        <v>0</v>
      </c>
      <c r="Q433">
        <v>0.18</v>
      </c>
      <c r="R433">
        <v>0</v>
      </c>
      <c r="S433" t="s">
        <v>38</v>
      </c>
      <c r="T433">
        <v>23</v>
      </c>
      <c r="U433">
        <v>9.5</v>
      </c>
      <c r="V433">
        <v>2.5</v>
      </c>
      <c r="W433">
        <v>0.307</v>
      </c>
      <c r="X433">
        <v>0.41399999999999998</v>
      </c>
      <c r="Y433">
        <v>0</v>
      </c>
      <c r="Z433" s="19">
        <v>6291007500363</v>
      </c>
      <c r="AA433">
        <v>364</v>
      </c>
      <c r="AB433">
        <v>30</v>
      </c>
      <c r="AC433" t="s">
        <v>635</v>
      </c>
      <c r="AD433">
        <v>24</v>
      </c>
      <c r="AE433">
        <f t="shared" si="7"/>
        <v>181308</v>
      </c>
    </row>
    <row r="434" spans="1:31" x14ac:dyDescent="0.25">
      <c r="A434">
        <v>188242</v>
      </c>
      <c r="B434" t="s">
        <v>643</v>
      </c>
      <c r="C434" t="s">
        <v>509</v>
      </c>
      <c r="D434" t="s">
        <v>91</v>
      </c>
      <c r="F434" t="s">
        <v>103</v>
      </c>
      <c r="G434">
        <v>394543</v>
      </c>
      <c r="H434" t="s">
        <v>36</v>
      </c>
      <c r="I434" t="s">
        <v>36</v>
      </c>
      <c r="J434">
        <v>1</v>
      </c>
      <c r="K434" t="s">
        <v>37</v>
      </c>
      <c r="L434">
        <v>6</v>
      </c>
      <c r="N434">
        <v>0</v>
      </c>
      <c r="P434">
        <v>0</v>
      </c>
      <c r="Q434">
        <v>0.44</v>
      </c>
      <c r="R434">
        <v>0</v>
      </c>
      <c r="S434" t="s">
        <v>38</v>
      </c>
      <c r="T434">
        <v>32</v>
      </c>
      <c r="U434">
        <v>34</v>
      </c>
      <c r="V434">
        <v>5</v>
      </c>
      <c r="W434">
        <v>0.92100000000000004</v>
      </c>
      <c r="X434">
        <v>1.151</v>
      </c>
      <c r="Y434">
        <v>0</v>
      </c>
      <c r="Z434" s="19">
        <v>6291007905946</v>
      </c>
      <c r="AA434">
        <v>365</v>
      </c>
      <c r="AB434">
        <v>30</v>
      </c>
      <c r="AC434" t="s">
        <v>625</v>
      </c>
      <c r="AD434">
        <v>6</v>
      </c>
      <c r="AE434">
        <f t="shared" si="7"/>
        <v>188242</v>
      </c>
    </row>
    <row r="435" spans="1:31" x14ac:dyDescent="0.25">
      <c r="A435">
        <v>295952</v>
      </c>
      <c r="B435" t="s">
        <v>644</v>
      </c>
      <c r="C435" t="s">
        <v>509</v>
      </c>
      <c r="D435" t="s">
        <v>91</v>
      </c>
      <c r="F435" t="s">
        <v>34</v>
      </c>
      <c r="G435">
        <v>394163</v>
      </c>
      <c r="H435" t="s">
        <v>36</v>
      </c>
      <c r="I435" t="s">
        <v>36</v>
      </c>
      <c r="J435">
        <v>1</v>
      </c>
      <c r="K435" t="s">
        <v>37</v>
      </c>
      <c r="L435">
        <v>24</v>
      </c>
      <c r="N435">
        <v>0</v>
      </c>
      <c r="P435">
        <v>0</v>
      </c>
      <c r="Q435">
        <v>0.12</v>
      </c>
      <c r="R435">
        <v>0</v>
      </c>
      <c r="S435" t="s">
        <v>38</v>
      </c>
      <c r="T435">
        <v>7</v>
      </c>
      <c r="U435">
        <v>5.5</v>
      </c>
      <c r="V435">
        <v>12</v>
      </c>
      <c r="W435">
        <v>0.161</v>
      </c>
      <c r="X435">
        <v>0.20100000000000001</v>
      </c>
      <c r="Y435">
        <v>0</v>
      </c>
      <c r="Z435" s="19">
        <v>6291007910261</v>
      </c>
      <c r="AA435">
        <v>270</v>
      </c>
      <c r="AB435">
        <v>30</v>
      </c>
      <c r="AC435" t="s">
        <v>635</v>
      </c>
      <c r="AD435">
        <v>24</v>
      </c>
      <c r="AE435">
        <f t="shared" si="7"/>
        <v>295952</v>
      </c>
    </row>
    <row r="436" spans="1:31" x14ac:dyDescent="0.25">
      <c r="A436">
        <v>296891</v>
      </c>
      <c r="B436" t="s">
        <v>645</v>
      </c>
      <c r="C436" t="s">
        <v>44</v>
      </c>
      <c r="F436" t="s">
        <v>34</v>
      </c>
      <c r="H436" t="s">
        <v>36</v>
      </c>
      <c r="I436" t="s">
        <v>36</v>
      </c>
      <c r="J436">
        <v>1</v>
      </c>
      <c r="K436" t="s">
        <v>37</v>
      </c>
      <c r="L436">
        <v>12</v>
      </c>
      <c r="N436">
        <v>0</v>
      </c>
      <c r="P436">
        <v>0</v>
      </c>
      <c r="Q436">
        <v>0.67500000000000004</v>
      </c>
      <c r="R436">
        <v>0</v>
      </c>
      <c r="S436" t="s">
        <v>38</v>
      </c>
      <c r="T436">
        <v>7</v>
      </c>
      <c r="U436">
        <v>7</v>
      </c>
      <c r="V436">
        <v>16</v>
      </c>
      <c r="W436">
        <v>0.46200000000000002</v>
      </c>
      <c r="X436">
        <v>0.66200000000000003</v>
      </c>
      <c r="Y436">
        <v>0</v>
      </c>
      <c r="Z436" s="19">
        <v>24000106470</v>
      </c>
      <c r="AA436">
        <v>729</v>
      </c>
      <c r="AB436">
        <v>60</v>
      </c>
      <c r="AC436" t="s">
        <v>47</v>
      </c>
      <c r="AD436">
        <v>12</v>
      </c>
      <c r="AE436">
        <f t="shared" si="7"/>
        <v>296891</v>
      </c>
    </row>
    <row r="437" spans="1:31" x14ac:dyDescent="0.25">
      <c r="A437">
        <v>300992</v>
      </c>
      <c r="B437" t="s">
        <v>646</v>
      </c>
      <c r="C437" t="s">
        <v>509</v>
      </c>
      <c r="D437" t="s">
        <v>91</v>
      </c>
      <c r="F437" t="s">
        <v>34</v>
      </c>
      <c r="G437">
        <v>394019</v>
      </c>
      <c r="H437" t="s">
        <v>36</v>
      </c>
      <c r="I437" t="s">
        <v>36</v>
      </c>
      <c r="J437">
        <v>1</v>
      </c>
      <c r="K437" t="s">
        <v>37</v>
      </c>
      <c r="L437">
        <v>96</v>
      </c>
      <c r="M437" t="s">
        <v>647</v>
      </c>
      <c r="N437">
        <v>12</v>
      </c>
      <c r="P437">
        <v>0</v>
      </c>
      <c r="Q437">
        <v>0.04</v>
      </c>
      <c r="R437">
        <v>0</v>
      </c>
      <c r="S437" t="s">
        <v>38</v>
      </c>
      <c r="T437">
        <v>4.5</v>
      </c>
      <c r="U437">
        <v>4.5</v>
      </c>
      <c r="V437">
        <v>11.5</v>
      </c>
      <c r="W437">
        <v>8.4000000000000005E-2</v>
      </c>
      <c r="X437">
        <v>0.105</v>
      </c>
      <c r="Y437">
        <v>0</v>
      </c>
      <c r="Z437" s="19">
        <v>6291007906479</v>
      </c>
      <c r="AA437">
        <v>365</v>
      </c>
      <c r="AB437">
        <v>30</v>
      </c>
      <c r="AC437" t="s">
        <v>625</v>
      </c>
      <c r="AD437">
        <v>96</v>
      </c>
      <c r="AE437">
        <f t="shared" si="7"/>
        <v>300992</v>
      </c>
    </row>
    <row r="438" spans="1:31" x14ac:dyDescent="0.25">
      <c r="A438">
        <v>310026</v>
      </c>
      <c r="B438" t="s">
        <v>648</v>
      </c>
      <c r="C438" t="s">
        <v>509</v>
      </c>
      <c r="D438" t="s">
        <v>91</v>
      </c>
      <c r="F438" t="s">
        <v>103</v>
      </c>
      <c r="G438">
        <v>394476</v>
      </c>
      <c r="H438" t="s">
        <v>36</v>
      </c>
      <c r="I438" t="s">
        <v>36</v>
      </c>
      <c r="J438">
        <v>1</v>
      </c>
      <c r="K438" t="s">
        <v>37</v>
      </c>
      <c r="L438">
        <v>6</v>
      </c>
      <c r="N438">
        <v>0</v>
      </c>
      <c r="P438">
        <v>0</v>
      </c>
      <c r="Q438">
        <v>1.17</v>
      </c>
      <c r="R438">
        <v>0</v>
      </c>
      <c r="S438" t="s">
        <v>38</v>
      </c>
      <c r="T438">
        <v>18</v>
      </c>
      <c r="U438">
        <v>21.5</v>
      </c>
      <c r="V438">
        <v>7.5</v>
      </c>
      <c r="W438">
        <v>1.3220000000000001</v>
      </c>
      <c r="X438">
        <v>1.6519999999999999</v>
      </c>
      <c r="Y438">
        <v>0</v>
      </c>
      <c r="Z438" s="19">
        <v>6291007910773</v>
      </c>
      <c r="AA438">
        <v>270</v>
      </c>
      <c r="AB438">
        <v>30</v>
      </c>
      <c r="AC438" t="s">
        <v>625</v>
      </c>
      <c r="AD438">
        <v>6</v>
      </c>
      <c r="AE438">
        <f t="shared" si="7"/>
        <v>310026</v>
      </c>
    </row>
    <row r="439" spans="1:31" x14ac:dyDescent="0.25">
      <c r="A439">
        <v>312610</v>
      </c>
      <c r="B439" t="s">
        <v>649</v>
      </c>
      <c r="C439" t="s">
        <v>125</v>
      </c>
      <c r="F439" t="s">
        <v>34</v>
      </c>
      <c r="H439" t="s">
        <v>36</v>
      </c>
      <c r="I439" t="s">
        <v>36</v>
      </c>
      <c r="J439">
        <v>1</v>
      </c>
      <c r="K439" t="s">
        <v>37</v>
      </c>
      <c r="L439">
        <v>16</v>
      </c>
      <c r="M439" t="s">
        <v>38</v>
      </c>
      <c r="N439">
        <v>3</v>
      </c>
      <c r="O439" t="s">
        <v>93</v>
      </c>
      <c r="P439" s="12">
        <v>3000</v>
      </c>
      <c r="Q439">
        <v>0.45</v>
      </c>
      <c r="R439">
        <v>0</v>
      </c>
      <c r="S439" t="s">
        <v>38</v>
      </c>
      <c r="T439">
        <v>19</v>
      </c>
      <c r="U439">
        <v>3</v>
      </c>
      <c r="V439">
        <v>12.5</v>
      </c>
      <c r="W439">
        <v>1.794</v>
      </c>
      <c r="X439">
        <v>2.1749999999999998</v>
      </c>
      <c r="Y439">
        <v>0</v>
      </c>
      <c r="Z439" s="19">
        <v>3073781141368</v>
      </c>
      <c r="AA439">
        <v>210</v>
      </c>
      <c r="AB439">
        <v>60</v>
      </c>
      <c r="AC439" t="s">
        <v>94</v>
      </c>
      <c r="AD439">
        <v>16</v>
      </c>
      <c r="AE439">
        <f t="shared" si="7"/>
        <v>312610</v>
      </c>
    </row>
    <row r="440" spans="1:31" x14ac:dyDescent="0.25">
      <c r="A440">
        <v>377748</v>
      </c>
      <c r="B440" t="s">
        <v>650</v>
      </c>
      <c r="C440" t="s">
        <v>509</v>
      </c>
      <c r="D440" t="s">
        <v>91</v>
      </c>
      <c r="F440" t="s">
        <v>103</v>
      </c>
      <c r="G440">
        <v>394511</v>
      </c>
      <c r="H440" t="s">
        <v>36</v>
      </c>
      <c r="I440" t="s">
        <v>36</v>
      </c>
      <c r="J440">
        <v>1</v>
      </c>
      <c r="K440" t="s">
        <v>37</v>
      </c>
      <c r="L440">
        <v>6</v>
      </c>
      <c r="N440">
        <v>0</v>
      </c>
      <c r="P440">
        <v>0</v>
      </c>
      <c r="Q440">
        <v>1.53</v>
      </c>
      <c r="R440">
        <v>0</v>
      </c>
      <c r="S440" t="s">
        <v>38</v>
      </c>
      <c r="T440">
        <v>19</v>
      </c>
      <c r="U440">
        <v>28</v>
      </c>
      <c r="V440">
        <v>9</v>
      </c>
      <c r="W440">
        <v>1.179</v>
      </c>
      <c r="X440">
        <v>1.474</v>
      </c>
      <c r="Y440">
        <v>0</v>
      </c>
      <c r="Z440" s="19">
        <v>6291007905519</v>
      </c>
      <c r="AA440">
        <v>365</v>
      </c>
      <c r="AB440">
        <v>30</v>
      </c>
      <c r="AC440" t="s">
        <v>625</v>
      </c>
      <c r="AD440">
        <v>6</v>
      </c>
      <c r="AE440">
        <f>A440</f>
        <v>377748</v>
      </c>
    </row>
    <row r="441" spans="1:31" x14ac:dyDescent="0.25">
      <c r="A441">
        <v>318416</v>
      </c>
      <c r="B441" t="s">
        <v>651</v>
      </c>
      <c r="C441" t="s">
        <v>509</v>
      </c>
      <c r="D441" t="s">
        <v>91</v>
      </c>
      <c r="F441" t="s">
        <v>34</v>
      </c>
      <c r="G441">
        <v>99576</v>
      </c>
      <c r="H441" t="s">
        <v>36</v>
      </c>
      <c r="I441" t="s">
        <v>145</v>
      </c>
      <c r="J441">
        <v>6</v>
      </c>
      <c r="K441" t="s">
        <v>36</v>
      </c>
      <c r="L441">
        <v>1</v>
      </c>
      <c r="M441" t="s">
        <v>37</v>
      </c>
      <c r="N441">
        <v>24</v>
      </c>
      <c r="P441">
        <v>0</v>
      </c>
      <c r="Q441">
        <v>7.0000000000000007E-2</v>
      </c>
      <c r="R441">
        <v>0</v>
      </c>
      <c r="S441" t="s">
        <v>38</v>
      </c>
      <c r="T441">
        <v>13</v>
      </c>
      <c r="U441">
        <v>5.5</v>
      </c>
      <c r="V441">
        <v>5.5</v>
      </c>
      <c r="W441">
        <v>0.16</v>
      </c>
      <c r="X441">
        <v>0.2</v>
      </c>
      <c r="Y441">
        <v>0</v>
      </c>
      <c r="Z441" s="19">
        <v>8901063165809</v>
      </c>
      <c r="AA441">
        <v>365</v>
      </c>
      <c r="AB441">
        <v>30</v>
      </c>
      <c r="AC441" t="s">
        <v>630</v>
      </c>
      <c r="AD441">
        <v>24</v>
      </c>
      <c r="AE441">
        <f t="shared" ref="AE441:AE504" si="8">A441</f>
        <v>318416</v>
      </c>
    </row>
    <row r="442" spans="1:31" x14ac:dyDescent="0.25">
      <c r="A442">
        <v>320440</v>
      </c>
      <c r="B442" t="s">
        <v>652</v>
      </c>
      <c r="C442" t="s">
        <v>509</v>
      </c>
      <c r="D442" t="s">
        <v>91</v>
      </c>
      <c r="F442" t="s">
        <v>103</v>
      </c>
      <c r="G442">
        <v>9000999</v>
      </c>
      <c r="H442" t="s">
        <v>36</v>
      </c>
      <c r="I442" t="s">
        <v>36</v>
      </c>
      <c r="J442">
        <v>1</v>
      </c>
      <c r="K442" t="s">
        <v>37</v>
      </c>
      <c r="L442">
        <v>5</v>
      </c>
      <c r="N442">
        <v>0</v>
      </c>
      <c r="P442">
        <v>0</v>
      </c>
      <c r="Q442">
        <v>0.79</v>
      </c>
      <c r="R442">
        <v>0</v>
      </c>
      <c r="S442" t="s">
        <v>38</v>
      </c>
      <c r="T442">
        <v>20</v>
      </c>
      <c r="U442">
        <v>5</v>
      </c>
      <c r="V442">
        <v>30</v>
      </c>
      <c r="W442">
        <v>0.76500000000000001</v>
      </c>
      <c r="X442">
        <v>0.95699999999999996</v>
      </c>
      <c r="Y442">
        <v>0</v>
      </c>
      <c r="Z442" s="19">
        <v>8901063166325</v>
      </c>
      <c r="AA442">
        <v>365</v>
      </c>
      <c r="AB442">
        <v>30</v>
      </c>
      <c r="AC442" t="s">
        <v>630</v>
      </c>
      <c r="AD442">
        <v>5</v>
      </c>
      <c r="AE442">
        <f t="shared" si="8"/>
        <v>320440</v>
      </c>
    </row>
    <row r="443" spans="1:31" x14ac:dyDescent="0.25">
      <c r="A443">
        <v>320846</v>
      </c>
      <c r="B443" t="s">
        <v>653</v>
      </c>
      <c r="C443" t="s">
        <v>509</v>
      </c>
      <c r="D443" t="s">
        <v>91</v>
      </c>
      <c r="F443" t="s">
        <v>103</v>
      </c>
      <c r="G443">
        <v>394573</v>
      </c>
      <c r="H443" t="s">
        <v>36</v>
      </c>
      <c r="I443" t="s">
        <v>36</v>
      </c>
      <c r="J443">
        <v>1</v>
      </c>
      <c r="K443" t="s">
        <v>37</v>
      </c>
      <c r="L443">
        <v>8</v>
      </c>
      <c r="N443">
        <v>0</v>
      </c>
      <c r="P443">
        <v>0</v>
      </c>
      <c r="Q443">
        <v>0.56999999999999995</v>
      </c>
      <c r="R443">
        <v>0</v>
      </c>
      <c r="S443" t="s">
        <v>38</v>
      </c>
      <c r="T443">
        <v>25</v>
      </c>
      <c r="U443">
        <v>6</v>
      </c>
      <c r="V443">
        <v>18</v>
      </c>
      <c r="W443">
        <v>0.84299999999999997</v>
      </c>
      <c r="X443">
        <v>1.054</v>
      </c>
      <c r="Y443">
        <v>0</v>
      </c>
      <c r="Z443" s="19">
        <v>6291007910070</v>
      </c>
      <c r="AA443">
        <v>365</v>
      </c>
      <c r="AB443">
        <v>30</v>
      </c>
      <c r="AC443" t="s">
        <v>625</v>
      </c>
      <c r="AD443">
        <v>8</v>
      </c>
      <c r="AE443">
        <f t="shared" si="8"/>
        <v>320846</v>
      </c>
    </row>
    <row r="444" spans="1:31" x14ac:dyDescent="0.25">
      <c r="A444">
        <v>320847</v>
      </c>
      <c r="B444" t="s">
        <v>654</v>
      </c>
      <c r="C444" t="s">
        <v>509</v>
      </c>
      <c r="D444" t="s">
        <v>91</v>
      </c>
      <c r="F444" t="s">
        <v>103</v>
      </c>
      <c r="G444">
        <v>394574</v>
      </c>
      <c r="H444" t="s">
        <v>36</v>
      </c>
      <c r="I444" t="s">
        <v>36</v>
      </c>
      <c r="J444">
        <v>1</v>
      </c>
      <c r="K444" t="s">
        <v>37</v>
      </c>
      <c r="L444">
        <v>8</v>
      </c>
      <c r="N444">
        <v>0</v>
      </c>
      <c r="P444">
        <v>0</v>
      </c>
      <c r="Q444">
        <v>0.56000000000000005</v>
      </c>
      <c r="R444">
        <v>0</v>
      </c>
      <c r="S444" t="s">
        <v>38</v>
      </c>
      <c r="T444">
        <v>25</v>
      </c>
      <c r="U444">
        <v>6</v>
      </c>
      <c r="V444">
        <v>18</v>
      </c>
      <c r="W444">
        <v>0.84299999999999997</v>
      </c>
      <c r="X444">
        <v>1.054</v>
      </c>
      <c r="Y444">
        <v>0</v>
      </c>
      <c r="Z444" s="19">
        <v>6291007910087</v>
      </c>
      <c r="AA444">
        <v>365</v>
      </c>
      <c r="AB444">
        <v>30</v>
      </c>
      <c r="AC444" t="s">
        <v>625</v>
      </c>
      <c r="AD444">
        <v>8</v>
      </c>
      <c r="AE444">
        <f t="shared" si="8"/>
        <v>320847</v>
      </c>
    </row>
    <row r="445" spans="1:31" x14ac:dyDescent="0.25">
      <c r="A445">
        <v>320928</v>
      </c>
      <c r="B445" t="s">
        <v>655</v>
      </c>
      <c r="C445" t="s">
        <v>509</v>
      </c>
      <c r="D445" t="s">
        <v>91</v>
      </c>
      <c r="F445" t="s">
        <v>103</v>
      </c>
      <c r="G445">
        <v>394631</v>
      </c>
      <c r="H445" t="s">
        <v>36</v>
      </c>
      <c r="I445" t="s">
        <v>36</v>
      </c>
      <c r="J445">
        <v>1</v>
      </c>
      <c r="K445" t="s">
        <v>37</v>
      </c>
      <c r="L445">
        <v>8</v>
      </c>
      <c r="N445">
        <v>0</v>
      </c>
      <c r="P445">
        <v>0</v>
      </c>
      <c r="Q445">
        <v>0.56000000000000005</v>
      </c>
      <c r="R445">
        <v>0</v>
      </c>
      <c r="S445" t="s">
        <v>38</v>
      </c>
      <c r="T445">
        <v>25</v>
      </c>
      <c r="U445">
        <v>5.5</v>
      </c>
      <c r="V445">
        <v>17.5</v>
      </c>
      <c r="W445">
        <v>0.84299999999999997</v>
      </c>
      <c r="X445">
        <v>1.054</v>
      </c>
      <c r="Y445">
        <v>0</v>
      </c>
      <c r="Z445" s="19">
        <v>6291007910094</v>
      </c>
      <c r="AA445">
        <v>365</v>
      </c>
      <c r="AB445">
        <v>30</v>
      </c>
      <c r="AC445" t="s">
        <v>625</v>
      </c>
      <c r="AD445">
        <v>8</v>
      </c>
      <c r="AE445">
        <f t="shared" si="8"/>
        <v>320928</v>
      </c>
    </row>
    <row r="446" spans="1:31" x14ac:dyDescent="0.25">
      <c r="A446">
        <v>331773</v>
      </c>
      <c r="B446" t="s">
        <v>656</v>
      </c>
      <c r="C446" t="s">
        <v>509</v>
      </c>
      <c r="D446" t="s">
        <v>91</v>
      </c>
      <c r="F446" t="s">
        <v>103</v>
      </c>
      <c r="G446">
        <v>395485</v>
      </c>
      <c r="H446" t="s">
        <v>36</v>
      </c>
      <c r="I446" t="s">
        <v>36</v>
      </c>
      <c r="J446">
        <v>1</v>
      </c>
      <c r="K446" t="s">
        <v>37</v>
      </c>
      <c r="L446">
        <v>6</v>
      </c>
      <c r="N446">
        <v>0</v>
      </c>
      <c r="P446">
        <v>0</v>
      </c>
      <c r="Q446">
        <v>1.34</v>
      </c>
      <c r="R446">
        <v>0</v>
      </c>
      <c r="S446" t="s">
        <v>38</v>
      </c>
      <c r="T446">
        <v>20</v>
      </c>
      <c r="U446">
        <v>9</v>
      </c>
      <c r="V446">
        <v>18</v>
      </c>
      <c r="W446">
        <v>1.786</v>
      </c>
      <c r="X446">
        <v>2.2330000000000001</v>
      </c>
      <c r="Y446">
        <v>0</v>
      </c>
      <c r="Z446" s="19">
        <v>6291007909098</v>
      </c>
      <c r="AA446">
        <v>365</v>
      </c>
      <c r="AB446">
        <v>30</v>
      </c>
      <c r="AC446" t="s">
        <v>625</v>
      </c>
      <c r="AD446">
        <v>6</v>
      </c>
      <c r="AE446">
        <f t="shared" si="8"/>
        <v>331773</v>
      </c>
    </row>
    <row r="447" spans="1:31" x14ac:dyDescent="0.25">
      <c r="A447">
        <v>331774</v>
      </c>
      <c r="B447" t="s">
        <v>657</v>
      </c>
      <c r="C447" t="s">
        <v>509</v>
      </c>
      <c r="D447" t="s">
        <v>91</v>
      </c>
      <c r="F447" t="s">
        <v>103</v>
      </c>
      <c r="G447">
        <v>395483</v>
      </c>
      <c r="H447" t="s">
        <v>36</v>
      </c>
      <c r="I447" t="s">
        <v>36</v>
      </c>
      <c r="J447">
        <v>1</v>
      </c>
      <c r="K447" t="s">
        <v>37</v>
      </c>
      <c r="L447">
        <v>6</v>
      </c>
      <c r="N447">
        <v>0</v>
      </c>
      <c r="P447">
        <v>0</v>
      </c>
      <c r="Q447">
        <v>1.37</v>
      </c>
      <c r="R447">
        <v>0</v>
      </c>
      <c r="S447" t="s">
        <v>38</v>
      </c>
      <c r="T447">
        <v>20</v>
      </c>
      <c r="U447">
        <v>9</v>
      </c>
      <c r="V447">
        <v>25</v>
      </c>
      <c r="W447">
        <v>1.786</v>
      </c>
      <c r="X447">
        <v>2.2330000000000001</v>
      </c>
      <c r="Y447">
        <v>0</v>
      </c>
      <c r="Z447" s="19">
        <v>6291007909104</v>
      </c>
      <c r="AA447">
        <v>365</v>
      </c>
      <c r="AB447">
        <v>30</v>
      </c>
      <c r="AC447" t="s">
        <v>625</v>
      </c>
      <c r="AD447">
        <v>6</v>
      </c>
      <c r="AE447">
        <f t="shared" si="8"/>
        <v>331774</v>
      </c>
    </row>
    <row r="448" spans="1:31" x14ac:dyDescent="0.25">
      <c r="A448">
        <v>331775</v>
      </c>
      <c r="B448" t="s">
        <v>658</v>
      </c>
      <c r="C448" t="s">
        <v>509</v>
      </c>
      <c r="D448" t="s">
        <v>91</v>
      </c>
      <c r="F448" t="s">
        <v>103</v>
      </c>
      <c r="G448">
        <v>395484</v>
      </c>
      <c r="H448" t="s">
        <v>36</v>
      </c>
      <c r="I448" t="s">
        <v>36</v>
      </c>
      <c r="J448">
        <v>1</v>
      </c>
      <c r="K448" t="s">
        <v>37</v>
      </c>
      <c r="L448">
        <v>6</v>
      </c>
      <c r="N448">
        <v>0</v>
      </c>
      <c r="P448">
        <v>0</v>
      </c>
      <c r="Q448">
        <v>1.34</v>
      </c>
      <c r="R448">
        <v>0</v>
      </c>
      <c r="S448" t="s">
        <v>38</v>
      </c>
      <c r="T448">
        <v>19</v>
      </c>
      <c r="U448">
        <v>10</v>
      </c>
      <c r="V448">
        <v>25</v>
      </c>
      <c r="W448">
        <v>1.786</v>
      </c>
      <c r="X448">
        <v>2.2330000000000001</v>
      </c>
      <c r="Y448">
        <v>0</v>
      </c>
      <c r="Z448" s="19">
        <v>6291007909081</v>
      </c>
      <c r="AA448">
        <v>365</v>
      </c>
      <c r="AB448">
        <v>30</v>
      </c>
      <c r="AC448" t="s">
        <v>625</v>
      </c>
      <c r="AD448">
        <v>6</v>
      </c>
      <c r="AE448">
        <f t="shared" si="8"/>
        <v>331775</v>
      </c>
    </row>
    <row r="449" spans="1:31" x14ac:dyDescent="0.25">
      <c r="A449">
        <v>335499</v>
      </c>
      <c r="B449" t="s">
        <v>659</v>
      </c>
      <c r="C449" t="s">
        <v>509</v>
      </c>
      <c r="D449" t="s">
        <v>91</v>
      </c>
      <c r="F449" t="s">
        <v>34</v>
      </c>
      <c r="G449">
        <v>394203</v>
      </c>
      <c r="H449" t="s">
        <v>36</v>
      </c>
      <c r="I449" t="s">
        <v>36</v>
      </c>
      <c r="J449">
        <v>1</v>
      </c>
      <c r="K449" t="s">
        <v>37</v>
      </c>
      <c r="L449">
        <v>36</v>
      </c>
      <c r="N449">
        <v>0</v>
      </c>
      <c r="P449">
        <v>0</v>
      </c>
      <c r="Q449">
        <v>0.1</v>
      </c>
      <c r="R449">
        <v>0</v>
      </c>
      <c r="S449" t="s">
        <v>38</v>
      </c>
      <c r="T449">
        <v>19</v>
      </c>
      <c r="U449">
        <v>4</v>
      </c>
      <c r="V449">
        <v>6</v>
      </c>
      <c r="W449">
        <v>0.18099999999999999</v>
      </c>
      <c r="X449">
        <v>0.22700000000000001</v>
      </c>
      <c r="Y449">
        <v>0</v>
      </c>
      <c r="Z449" s="19">
        <v>8901063151154</v>
      </c>
      <c r="AA449">
        <v>365</v>
      </c>
      <c r="AB449">
        <v>30</v>
      </c>
      <c r="AC449" t="s">
        <v>625</v>
      </c>
      <c r="AD449">
        <v>36</v>
      </c>
      <c r="AE449">
        <f t="shared" si="8"/>
        <v>335499</v>
      </c>
    </row>
    <row r="450" spans="1:31" x14ac:dyDescent="0.25">
      <c r="A450">
        <v>347939</v>
      </c>
      <c r="B450" t="s">
        <v>660</v>
      </c>
      <c r="C450" t="s">
        <v>509</v>
      </c>
      <c r="D450" t="s">
        <v>91</v>
      </c>
      <c r="F450" t="s">
        <v>103</v>
      </c>
      <c r="G450">
        <v>990364</v>
      </c>
      <c r="H450" t="s">
        <v>36</v>
      </c>
      <c r="I450" t="s">
        <v>36</v>
      </c>
      <c r="J450">
        <v>1</v>
      </c>
      <c r="K450" t="s">
        <v>37</v>
      </c>
      <c r="L450">
        <v>8</v>
      </c>
      <c r="N450">
        <v>0</v>
      </c>
      <c r="P450">
        <v>0</v>
      </c>
      <c r="Q450">
        <v>0.96</v>
      </c>
      <c r="R450">
        <v>0</v>
      </c>
      <c r="S450" t="s">
        <v>38</v>
      </c>
      <c r="T450">
        <v>15</v>
      </c>
      <c r="U450">
        <v>12</v>
      </c>
      <c r="V450">
        <v>24</v>
      </c>
      <c r="W450">
        <v>1.226</v>
      </c>
      <c r="X450">
        <v>1.532</v>
      </c>
      <c r="Y450">
        <v>0</v>
      </c>
      <c r="Z450" s="19">
        <v>6291007907773</v>
      </c>
      <c r="AA450">
        <v>365</v>
      </c>
      <c r="AB450">
        <v>30</v>
      </c>
      <c r="AC450" t="s">
        <v>630</v>
      </c>
      <c r="AD450">
        <v>8</v>
      </c>
      <c r="AE450">
        <f t="shared" si="8"/>
        <v>347939</v>
      </c>
    </row>
    <row r="451" spans="1:31" x14ac:dyDescent="0.25">
      <c r="A451">
        <v>352834</v>
      </c>
      <c r="B451" t="s">
        <v>661</v>
      </c>
      <c r="C451" t="s">
        <v>509</v>
      </c>
      <c r="D451" t="s">
        <v>91</v>
      </c>
      <c r="F451" t="s">
        <v>34</v>
      </c>
      <c r="G451">
        <v>9000661</v>
      </c>
      <c r="H451" t="s">
        <v>36</v>
      </c>
      <c r="I451" t="s">
        <v>36</v>
      </c>
      <c r="J451">
        <v>1</v>
      </c>
      <c r="K451" t="s">
        <v>37</v>
      </c>
      <c r="L451">
        <v>24</v>
      </c>
      <c r="N451">
        <v>0</v>
      </c>
      <c r="P451">
        <v>0</v>
      </c>
      <c r="Q451">
        <v>0.11</v>
      </c>
      <c r="R451">
        <v>0</v>
      </c>
      <c r="S451" t="s">
        <v>38</v>
      </c>
      <c r="T451">
        <v>5</v>
      </c>
      <c r="U451">
        <v>5</v>
      </c>
      <c r="V451">
        <v>15</v>
      </c>
      <c r="W451">
        <v>0.24399999999999999</v>
      </c>
      <c r="X451">
        <v>0.31</v>
      </c>
      <c r="Y451">
        <v>0</v>
      </c>
      <c r="Z451" s="19">
        <v>8901063166486</v>
      </c>
      <c r="AA451">
        <v>365</v>
      </c>
      <c r="AB451">
        <v>30</v>
      </c>
      <c r="AC451" t="s">
        <v>630</v>
      </c>
      <c r="AD451">
        <v>24</v>
      </c>
      <c r="AE451">
        <f t="shared" si="8"/>
        <v>352834</v>
      </c>
    </row>
    <row r="452" spans="1:31" x14ac:dyDescent="0.25">
      <c r="A452">
        <v>365218</v>
      </c>
      <c r="B452" t="s">
        <v>662</v>
      </c>
      <c r="C452" t="s">
        <v>509</v>
      </c>
      <c r="D452" t="s">
        <v>91</v>
      </c>
      <c r="F452" t="s">
        <v>103</v>
      </c>
      <c r="H452" t="s">
        <v>36</v>
      </c>
      <c r="I452" t="s">
        <v>36</v>
      </c>
      <c r="J452">
        <v>1</v>
      </c>
      <c r="K452" t="s">
        <v>37</v>
      </c>
      <c r="L452">
        <v>6</v>
      </c>
      <c r="N452">
        <v>0</v>
      </c>
      <c r="P452">
        <v>0</v>
      </c>
      <c r="Q452">
        <v>1.2</v>
      </c>
      <c r="R452">
        <v>0</v>
      </c>
      <c r="S452" t="s">
        <v>38</v>
      </c>
      <c r="T452">
        <v>10</v>
      </c>
      <c r="U452">
        <v>7.2</v>
      </c>
      <c r="V452">
        <v>3.5</v>
      </c>
      <c r="W452">
        <v>1.5880000000000001</v>
      </c>
      <c r="X452">
        <v>1.9850000000000001</v>
      </c>
      <c r="Y452">
        <v>0</v>
      </c>
      <c r="Z452" s="19">
        <v>6291007913477</v>
      </c>
      <c r="AA452">
        <v>365</v>
      </c>
      <c r="AB452">
        <v>30</v>
      </c>
      <c r="AC452" t="s">
        <v>625</v>
      </c>
      <c r="AD452">
        <v>6</v>
      </c>
      <c r="AE452">
        <f t="shared" si="8"/>
        <v>365218</v>
      </c>
    </row>
    <row r="453" spans="1:31" x14ac:dyDescent="0.25">
      <c r="A453">
        <v>365219</v>
      </c>
      <c r="B453" t="s">
        <v>663</v>
      </c>
      <c r="C453" t="s">
        <v>509</v>
      </c>
      <c r="D453" t="s">
        <v>91</v>
      </c>
      <c r="F453" t="s">
        <v>103</v>
      </c>
      <c r="H453" t="s">
        <v>36</v>
      </c>
      <c r="I453" t="s">
        <v>36</v>
      </c>
      <c r="J453">
        <v>1</v>
      </c>
      <c r="K453" t="s">
        <v>37</v>
      </c>
      <c r="L453">
        <v>6</v>
      </c>
      <c r="N453">
        <v>0</v>
      </c>
      <c r="P453">
        <v>0</v>
      </c>
      <c r="Q453">
        <v>1.2</v>
      </c>
      <c r="R453">
        <v>0</v>
      </c>
      <c r="S453" t="s">
        <v>38</v>
      </c>
      <c r="T453">
        <v>19</v>
      </c>
      <c r="U453">
        <v>24</v>
      </c>
      <c r="V453">
        <v>9</v>
      </c>
      <c r="W453">
        <v>1.5880000000000001</v>
      </c>
      <c r="X453">
        <v>1.9850000000000001</v>
      </c>
      <c r="Y453">
        <v>0</v>
      </c>
      <c r="Z453" s="19">
        <v>6291007913484</v>
      </c>
      <c r="AA453">
        <v>365</v>
      </c>
      <c r="AB453">
        <v>30</v>
      </c>
      <c r="AC453" t="s">
        <v>625</v>
      </c>
      <c r="AD453">
        <v>6</v>
      </c>
      <c r="AE453">
        <f t="shared" si="8"/>
        <v>365219</v>
      </c>
    </row>
    <row r="454" spans="1:31" x14ac:dyDescent="0.25">
      <c r="A454">
        <v>365224</v>
      </c>
      <c r="B454" t="s">
        <v>664</v>
      </c>
      <c r="C454" t="s">
        <v>504</v>
      </c>
      <c r="F454" t="s">
        <v>34</v>
      </c>
      <c r="G454">
        <v>97922</v>
      </c>
      <c r="H454" t="s">
        <v>36</v>
      </c>
      <c r="I454" t="s">
        <v>36</v>
      </c>
      <c r="J454">
        <v>1</v>
      </c>
      <c r="K454" t="s">
        <v>37</v>
      </c>
      <c r="L454">
        <v>24</v>
      </c>
      <c r="N454">
        <v>0</v>
      </c>
      <c r="P454">
        <v>0</v>
      </c>
      <c r="Q454">
        <v>8.3000000000000004E-2</v>
      </c>
      <c r="R454">
        <v>0</v>
      </c>
      <c r="S454" t="s">
        <v>38</v>
      </c>
      <c r="T454">
        <v>7</v>
      </c>
      <c r="U454">
        <v>1.8</v>
      </c>
      <c r="V454">
        <v>1.2</v>
      </c>
      <c r="W454">
        <v>8.4000000000000005E-2</v>
      </c>
      <c r="X454">
        <v>0.105</v>
      </c>
      <c r="Y454">
        <v>0</v>
      </c>
      <c r="Z454" s="19">
        <v>8901063121164</v>
      </c>
      <c r="AA454">
        <v>365</v>
      </c>
      <c r="AB454">
        <v>30</v>
      </c>
      <c r="AC454" t="s">
        <v>630</v>
      </c>
      <c r="AD454">
        <v>24</v>
      </c>
      <c r="AE454">
        <f t="shared" si="8"/>
        <v>365224</v>
      </c>
    </row>
    <row r="455" spans="1:31" x14ac:dyDescent="0.25">
      <c r="A455">
        <v>365225</v>
      </c>
      <c r="B455" t="s">
        <v>665</v>
      </c>
      <c r="C455" t="s">
        <v>504</v>
      </c>
      <c r="D455" t="s">
        <v>91</v>
      </c>
      <c r="F455" t="s">
        <v>34</v>
      </c>
      <c r="G455">
        <v>97923</v>
      </c>
      <c r="H455" t="s">
        <v>36</v>
      </c>
      <c r="I455" t="s">
        <v>36</v>
      </c>
      <c r="J455">
        <v>1</v>
      </c>
      <c r="K455" t="s">
        <v>37</v>
      </c>
      <c r="L455">
        <v>24</v>
      </c>
      <c r="N455">
        <v>0</v>
      </c>
      <c r="P455">
        <v>0</v>
      </c>
      <c r="Q455">
        <v>8.3000000000000004E-2</v>
      </c>
      <c r="R455">
        <v>0</v>
      </c>
      <c r="S455" t="s">
        <v>38</v>
      </c>
      <c r="T455">
        <v>7</v>
      </c>
      <c r="U455">
        <v>1.8</v>
      </c>
      <c r="V455">
        <v>1.2</v>
      </c>
      <c r="W455">
        <v>8.4000000000000005E-2</v>
      </c>
      <c r="X455">
        <v>0.105</v>
      </c>
      <c r="Y455">
        <v>0</v>
      </c>
      <c r="Z455" s="19">
        <v>6291007901917</v>
      </c>
      <c r="AA455">
        <v>365</v>
      </c>
      <c r="AB455">
        <v>30</v>
      </c>
      <c r="AC455" t="s">
        <v>630</v>
      </c>
      <c r="AD455">
        <v>24</v>
      </c>
      <c r="AE455">
        <f t="shared" si="8"/>
        <v>365225</v>
      </c>
    </row>
    <row r="456" spans="1:31" x14ac:dyDescent="0.25">
      <c r="A456">
        <v>365226</v>
      </c>
      <c r="B456" t="s">
        <v>666</v>
      </c>
      <c r="C456" t="s">
        <v>504</v>
      </c>
      <c r="D456" t="s">
        <v>91</v>
      </c>
      <c r="F456" t="s">
        <v>34</v>
      </c>
      <c r="G456">
        <v>97921</v>
      </c>
      <c r="H456" t="s">
        <v>36</v>
      </c>
      <c r="I456" t="s">
        <v>36</v>
      </c>
      <c r="J456">
        <v>1</v>
      </c>
      <c r="K456" t="s">
        <v>37</v>
      </c>
      <c r="L456">
        <v>24</v>
      </c>
      <c r="N456">
        <v>0</v>
      </c>
      <c r="P456">
        <v>0</v>
      </c>
      <c r="Q456">
        <v>8.3000000000000004E-2</v>
      </c>
      <c r="R456">
        <v>0</v>
      </c>
      <c r="S456" t="s">
        <v>38</v>
      </c>
      <c r="T456">
        <v>7</v>
      </c>
      <c r="U456">
        <v>1.8</v>
      </c>
      <c r="V456">
        <v>1.2</v>
      </c>
      <c r="W456">
        <v>8.4000000000000005E-2</v>
      </c>
      <c r="X456">
        <v>0.105</v>
      </c>
      <c r="Y456">
        <v>0</v>
      </c>
      <c r="Z456" s="19">
        <v>6291007901900</v>
      </c>
      <c r="AA456">
        <v>365</v>
      </c>
      <c r="AB456">
        <v>30</v>
      </c>
      <c r="AC456" t="s">
        <v>630</v>
      </c>
      <c r="AD456">
        <v>24</v>
      </c>
      <c r="AE456">
        <f t="shared" si="8"/>
        <v>365226</v>
      </c>
    </row>
    <row r="457" spans="1:31" x14ac:dyDescent="0.25">
      <c r="A457">
        <v>365227</v>
      </c>
      <c r="B457" t="s">
        <v>667</v>
      </c>
      <c r="C457" t="s">
        <v>504</v>
      </c>
      <c r="D457" t="s">
        <v>91</v>
      </c>
      <c r="F457" t="s">
        <v>34</v>
      </c>
      <c r="G457">
        <v>97690</v>
      </c>
      <c r="H457" t="s">
        <v>36</v>
      </c>
      <c r="I457" t="s">
        <v>36</v>
      </c>
      <c r="J457">
        <v>1</v>
      </c>
      <c r="K457" t="s">
        <v>37</v>
      </c>
      <c r="L457">
        <v>24</v>
      </c>
      <c r="N457">
        <v>0</v>
      </c>
      <c r="P457">
        <v>0</v>
      </c>
      <c r="Q457">
        <v>8.3000000000000004E-2</v>
      </c>
      <c r="R457">
        <v>0</v>
      </c>
      <c r="S457" t="s">
        <v>38</v>
      </c>
      <c r="T457">
        <v>7</v>
      </c>
      <c r="U457">
        <v>1.8</v>
      </c>
      <c r="V457">
        <v>1.2</v>
      </c>
      <c r="W457">
        <v>8.4000000000000005E-2</v>
      </c>
      <c r="X457">
        <v>0.105</v>
      </c>
      <c r="Y457">
        <v>0</v>
      </c>
      <c r="Z457" s="19">
        <v>6291007905601</v>
      </c>
      <c r="AA457">
        <v>365</v>
      </c>
      <c r="AB457">
        <v>30</v>
      </c>
      <c r="AC457" t="s">
        <v>630</v>
      </c>
      <c r="AD457">
        <v>24</v>
      </c>
      <c r="AE457">
        <f t="shared" si="8"/>
        <v>365227</v>
      </c>
    </row>
    <row r="458" spans="1:31" x14ac:dyDescent="0.25">
      <c r="A458">
        <v>365228</v>
      </c>
      <c r="B458" t="s">
        <v>584</v>
      </c>
      <c r="C458" t="s">
        <v>504</v>
      </c>
      <c r="D458" t="s">
        <v>91</v>
      </c>
      <c r="F458" t="s">
        <v>34</v>
      </c>
      <c r="G458">
        <v>97688</v>
      </c>
      <c r="H458" t="s">
        <v>36</v>
      </c>
      <c r="I458" t="s">
        <v>36</v>
      </c>
      <c r="J458">
        <v>1</v>
      </c>
      <c r="K458" t="s">
        <v>37</v>
      </c>
      <c r="L458">
        <v>24</v>
      </c>
      <c r="N458">
        <v>0</v>
      </c>
      <c r="P458">
        <v>0</v>
      </c>
      <c r="Q458">
        <v>8.3000000000000004E-2</v>
      </c>
      <c r="R458">
        <v>0</v>
      </c>
      <c r="S458" t="s">
        <v>38</v>
      </c>
      <c r="T458">
        <v>7</v>
      </c>
      <c r="U458">
        <v>1.8</v>
      </c>
      <c r="V458">
        <v>1.2</v>
      </c>
      <c r="W458">
        <v>5.7000000000000002E-2</v>
      </c>
      <c r="X458">
        <v>7.0999999999999994E-2</v>
      </c>
      <c r="Y458">
        <v>0</v>
      </c>
      <c r="Z458" s="19">
        <v>8901063121188</v>
      </c>
      <c r="AA458">
        <v>365</v>
      </c>
      <c r="AB458">
        <v>30</v>
      </c>
      <c r="AC458" t="s">
        <v>630</v>
      </c>
      <c r="AD458">
        <v>24</v>
      </c>
      <c r="AE458">
        <f t="shared" si="8"/>
        <v>365228</v>
      </c>
    </row>
    <row r="459" spans="1:31" x14ac:dyDescent="0.25">
      <c r="A459">
        <v>365230</v>
      </c>
      <c r="B459" t="s">
        <v>668</v>
      </c>
      <c r="C459" t="s">
        <v>504</v>
      </c>
      <c r="D459" t="s">
        <v>91</v>
      </c>
      <c r="F459" t="s">
        <v>34</v>
      </c>
      <c r="G459">
        <v>97922</v>
      </c>
      <c r="H459" t="s">
        <v>36</v>
      </c>
      <c r="I459" t="s">
        <v>36</v>
      </c>
      <c r="J459">
        <v>1</v>
      </c>
      <c r="K459" t="s">
        <v>37</v>
      </c>
      <c r="L459">
        <v>24</v>
      </c>
      <c r="N459">
        <v>0</v>
      </c>
      <c r="P459">
        <v>0</v>
      </c>
      <c r="Q459">
        <v>8.3000000000000004E-2</v>
      </c>
      <c r="R459">
        <v>0</v>
      </c>
      <c r="S459" t="s">
        <v>38</v>
      </c>
      <c r="T459">
        <v>7</v>
      </c>
      <c r="U459">
        <v>1.8</v>
      </c>
      <c r="V459">
        <v>1.2</v>
      </c>
      <c r="W459">
        <v>5.7000000000000002E-2</v>
      </c>
      <c r="X459">
        <v>7.0999999999999994E-2</v>
      </c>
      <c r="Y459">
        <v>0</v>
      </c>
      <c r="Z459" s="19">
        <v>8901063121164</v>
      </c>
      <c r="AA459">
        <v>365</v>
      </c>
      <c r="AB459">
        <v>30</v>
      </c>
      <c r="AC459" t="s">
        <v>630</v>
      </c>
      <c r="AD459">
        <v>24</v>
      </c>
      <c r="AE459">
        <f t="shared" si="8"/>
        <v>365230</v>
      </c>
    </row>
    <row r="460" spans="1:31" x14ac:dyDescent="0.25">
      <c r="A460">
        <v>365231</v>
      </c>
      <c r="B460" t="s">
        <v>669</v>
      </c>
      <c r="C460" t="s">
        <v>504</v>
      </c>
      <c r="D460" t="s">
        <v>91</v>
      </c>
      <c r="F460" t="s">
        <v>34</v>
      </c>
      <c r="G460">
        <v>97923</v>
      </c>
      <c r="H460" t="s">
        <v>36</v>
      </c>
      <c r="I460" t="s">
        <v>36</v>
      </c>
      <c r="J460">
        <v>1</v>
      </c>
      <c r="K460" t="s">
        <v>37</v>
      </c>
      <c r="L460">
        <v>24</v>
      </c>
      <c r="N460">
        <v>0</v>
      </c>
      <c r="P460">
        <v>0</v>
      </c>
      <c r="Q460">
        <v>8.3000000000000004E-2</v>
      </c>
      <c r="R460">
        <v>0</v>
      </c>
      <c r="S460" t="s">
        <v>38</v>
      </c>
      <c r="T460">
        <v>7</v>
      </c>
      <c r="U460">
        <v>1.8</v>
      </c>
      <c r="V460">
        <v>1.2</v>
      </c>
      <c r="W460">
        <v>5.7000000000000002E-2</v>
      </c>
      <c r="X460">
        <v>7.0999999999999994E-2</v>
      </c>
      <c r="Y460">
        <v>0</v>
      </c>
      <c r="Z460" s="19">
        <v>6291007901917</v>
      </c>
      <c r="AA460">
        <v>365</v>
      </c>
      <c r="AB460">
        <v>30</v>
      </c>
      <c r="AC460" t="s">
        <v>630</v>
      </c>
      <c r="AD460">
        <v>24</v>
      </c>
      <c r="AE460">
        <f t="shared" si="8"/>
        <v>365231</v>
      </c>
    </row>
    <row r="461" spans="1:31" x14ac:dyDescent="0.25">
      <c r="A461">
        <v>365232</v>
      </c>
      <c r="B461" t="s">
        <v>670</v>
      </c>
      <c r="C461" t="s">
        <v>504</v>
      </c>
      <c r="D461" t="s">
        <v>91</v>
      </c>
      <c r="F461" t="s">
        <v>34</v>
      </c>
      <c r="G461">
        <v>97921</v>
      </c>
      <c r="H461" t="s">
        <v>36</v>
      </c>
      <c r="I461" t="s">
        <v>36</v>
      </c>
      <c r="J461">
        <v>1</v>
      </c>
      <c r="K461" t="s">
        <v>37</v>
      </c>
      <c r="L461">
        <v>24</v>
      </c>
      <c r="N461">
        <v>0</v>
      </c>
      <c r="P461">
        <v>0</v>
      </c>
      <c r="Q461">
        <v>8.3000000000000004E-2</v>
      </c>
      <c r="R461">
        <v>0</v>
      </c>
      <c r="S461" t="s">
        <v>38</v>
      </c>
      <c r="T461">
        <v>7</v>
      </c>
      <c r="U461">
        <v>1.8</v>
      </c>
      <c r="V461">
        <v>1.2</v>
      </c>
      <c r="W461">
        <v>5.7000000000000002E-2</v>
      </c>
      <c r="X461">
        <v>7.0999999999999994E-2</v>
      </c>
      <c r="Y461">
        <v>0</v>
      </c>
      <c r="Z461" s="19">
        <v>6291007901900</v>
      </c>
      <c r="AA461">
        <v>365</v>
      </c>
      <c r="AB461">
        <v>30</v>
      </c>
      <c r="AC461" t="s">
        <v>630</v>
      </c>
      <c r="AD461">
        <v>24</v>
      </c>
      <c r="AE461">
        <f t="shared" si="8"/>
        <v>365232</v>
      </c>
    </row>
    <row r="462" spans="1:31" x14ac:dyDescent="0.25">
      <c r="A462">
        <v>365233</v>
      </c>
      <c r="B462" t="s">
        <v>671</v>
      </c>
      <c r="C462" t="s">
        <v>504</v>
      </c>
      <c r="D462" t="s">
        <v>91</v>
      </c>
      <c r="F462" t="s">
        <v>34</v>
      </c>
      <c r="G462">
        <v>394542</v>
      </c>
      <c r="H462" t="s">
        <v>36</v>
      </c>
      <c r="I462" t="s">
        <v>36</v>
      </c>
      <c r="J462">
        <v>1</v>
      </c>
      <c r="K462" t="s">
        <v>37</v>
      </c>
      <c r="L462">
        <v>24</v>
      </c>
      <c r="N462">
        <v>0</v>
      </c>
      <c r="P462">
        <v>0</v>
      </c>
      <c r="Q462">
        <v>8.3000000000000004E-2</v>
      </c>
      <c r="R462">
        <v>0</v>
      </c>
      <c r="S462" t="s">
        <v>38</v>
      </c>
      <c r="T462">
        <v>7</v>
      </c>
      <c r="U462">
        <v>1.8</v>
      </c>
      <c r="V462">
        <v>1.2</v>
      </c>
      <c r="W462">
        <v>5.6000000000000001E-2</v>
      </c>
      <c r="X462">
        <v>7.0999999999999994E-2</v>
      </c>
      <c r="Y462">
        <v>0</v>
      </c>
      <c r="Z462" s="19">
        <v>6291007905601</v>
      </c>
      <c r="AA462">
        <v>365</v>
      </c>
      <c r="AB462">
        <v>30</v>
      </c>
      <c r="AC462" t="s">
        <v>630</v>
      </c>
      <c r="AD462">
        <v>24</v>
      </c>
      <c r="AE462">
        <f t="shared" si="8"/>
        <v>365233</v>
      </c>
    </row>
    <row r="463" spans="1:31" x14ac:dyDescent="0.25">
      <c r="A463">
        <v>378940</v>
      </c>
      <c r="B463" t="s">
        <v>672</v>
      </c>
      <c r="C463" t="s">
        <v>509</v>
      </c>
      <c r="D463" t="s">
        <v>91</v>
      </c>
      <c r="F463" t="s">
        <v>103</v>
      </c>
      <c r="G463">
        <v>9001840</v>
      </c>
      <c r="H463" t="s">
        <v>36</v>
      </c>
      <c r="I463" t="s">
        <v>36</v>
      </c>
      <c r="J463">
        <v>1</v>
      </c>
      <c r="K463" t="s">
        <v>37</v>
      </c>
      <c r="L463">
        <v>4</v>
      </c>
      <c r="N463">
        <v>0</v>
      </c>
      <c r="P463">
        <v>0</v>
      </c>
      <c r="Q463">
        <v>1.02</v>
      </c>
      <c r="R463">
        <v>0</v>
      </c>
      <c r="S463" t="s">
        <v>38</v>
      </c>
      <c r="T463">
        <v>20.399999999999999</v>
      </c>
      <c r="U463">
        <v>10.5</v>
      </c>
      <c r="V463">
        <v>10.199999999999999</v>
      </c>
      <c r="W463">
        <v>1.117</v>
      </c>
      <c r="X463">
        <v>1.3959999999999999</v>
      </c>
      <c r="Y463">
        <v>0</v>
      </c>
      <c r="Z463" s="19">
        <v>8901063166882</v>
      </c>
      <c r="AA463">
        <v>365</v>
      </c>
      <c r="AB463">
        <v>30</v>
      </c>
      <c r="AC463" t="s">
        <v>630</v>
      </c>
      <c r="AD463">
        <v>4</v>
      </c>
      <c r="AE463">
        <f t="shared" si="8"/>
        <v>378940</v>
      </c>
    </row>
    <row r="464" spans="1:31" x14ac:dyDescent="0.25">
      <c r="A464">
        <v>386178</v>
      </c>
      <c r="B464" t="s">
        <v>673</v>
      </c>
      <c r="C464" t="s">
        <v>509</v>
      </c>
      <c r="D464" t="s">
        <v>91</v>
      </c>
      <c r="F464" t="s">
        <v>34</v>
      </c>
      <c r="H464" t="s">
        <v>36</v>
      </c>
      <c r="I464" t="s">
        <v>36</v>
      </c>
      <c r="J464">
        <v>1</v>
      </c>
      <c r="K464" t="s">
        <v>37</v>
      </c>
      <c r="L464">
        <v>18</v>
      </c>
      <c r="N464">
        <v>0</v>
      </c>
      <c r="P464">
        <v>0</v>
      </c>
      <c r="Q464">
        <v>0.22</v>
      </c>
      <c r="R464">
        <v>0</v>
      </c>
      <c r="S464" t="s">
        <v>38</v>
      </c>
      <c r="T464">
        <v>10</v>
      </c>
      <c r="U464">
        <v>7</v>
      </c>
      <c r="V464">
        <v>10.6</v>
      </c>
      <c r="W464">
        <v>0.43099999999999999</v>
      </c>
      <c r="X464">
        <v>0.54</v>
      </c>
      <c r="Y464">
        <v>0</v>
      </c>
      <c r="Z464" s="19">
        <v>6291007912692</v>
      </c>
      <c r="AA464">
        <v>270</v>
      </c>
      <c r="AB464">
        <v>30</v>
      </c>
      <c r="AC464" t="s">
        <v>625</v>
      </c>
      <c r="AD464">
        <v>18</v>
      </c>
      <c r="AE464">
        <f t="shared" si="8"/>
        <v>386178</v>
      </c>
    </row>
    <row r="465" spans="1:31" x14ac:dyDescent="0.25">
      <c r="A465">
        <v>386179</v>
      </c>
      <c r="B465" t="s">
        <v>674</v>
      </c>
      <c r="C465" t="s">
        <v>509</v>
      </c>
      <c r="D465" t="s">
        <v>91</v>
      </c>
      <c r="F465" t="s">
        <v>34</v>
      </c>
      <c r="H465" t="s">
        <v>36</v>
      </c>
      <c r="I465" t="s">
        <v>36</v>
      </c>
      <c r="J465">
        <v>1</v>
      </c>
      <c r="K465" t="s">
        <v>37</v>
      </c>
      <c r="L465">
        <v>18</v>
      </c>
      <c r="N465">
        <v>0</v>
      </c>
      <c r="P465">
        <v>0</v>
      </c>
      <c r="Q465">
        <v>0.22</v>
      </c>
      <c r="R465">
        <v>0</v>
      </c>
      <c r="S465" t="s">
        <v>38</v>
      </c>
      <c r="T465">
        <v>10</v>
      </c>
      <c r="U465">
        <v>7</v>
      </c>
      <c r="V465">
        <v>10.6</v>
      </c>
      <c r="W465">
        <v>0.43099999999999999</v>
      </c>
      <c r="X465">
        <v>0.54</v>
      </c>
      <c r="Y465">
        <v>0</v>
      </c>
      <c r="Z465" s="19">
        <v>6291007912685</v>
      </c>
      <c r="AA465">
        <v>365</v>
      </c>
      <c r="AB465">
        <v>30</v>
      </c>
      <c r="AC465" t="s">
        <v>625</v>
      </c>
      <c r="AD465">
        <v>18</v>
      </c>
      <c r="AE465">
        <f t="shared" si="8"/>
        <v>386179</v>
      </c>
    </row>
    <row r="466" spans="1:31" x14ac:dyDescent="0.25">
      <c r="A466">
        <v>387513</v>
      </c>
      <c r="B466" t="s">
        <v>675</v>
      </c>
      <c r="C466" t="s">
        <v>509</v>
      </c>
      <c r="D466" t="s">
        <v>91</v>
      </c>
      <c r="F466" t="s">
        <v>34</v>
      </c>
      <c r="H466" t="s">
        <v>36</v>
      </c>
      <c r="I466" t="s">
        <v>36</v>
      </c>
      <c r="J466">
        <v>1</v>
      </c>
      <c r="K466" t="s">
        <v>37</v>
      </c>
      <c r="L466">
        <v>24</v>
      </c>
      <c r="N466">
        <v>0</v>
      </c>
      <c r="P466">
        <v>0</v>
      </c>
      <c r="Q466">
        <v>0.12</v>
      </c>
      <c r="R466">
        <v>0</v>
      </c>
      <c r="S466" t="s">
        <v>38</v>
      </c>
      <c r="T466">
        <v>6</v>
      </c>
      <c r="U466">
        <v>5</v>
      </c>
      <c r="V466">
        <v>10.8</v>
      </c>
      <c r="W466">
        <v>0.215</v>
      </c>
      <c r="X466">
        <v>0.26900000000000002</v>
      </c>
      <c r="Y466">
        <v>0</v>
      </c>
      <c r="Z466" s="19">
        <v>8901063166714</v>
      </c>
      <c r="AA466">
        <v>365</v>
      </c>
      <c r="AB466">
        <v>30</v>
      </c>
      <c r="AC466" t="s">
        <v>625</v>
      </c>
      <c r="AD466">
        <v>24</v>
      </c>
      <c r="AE466">
        <f t="shared" si="8"/>
        <v>387513</v>
      </c>
    </row>
    <row r="467" spans="1:31" x14ac:dyDescent="0.25">
      <c r="A467">
        <v>391819</v>
      </c>
      <c r="B467" t="s">
        <v>676</v>
      </c>
      <c r="C467" t="s">
        <v>509</v>
      </c>
      <c r="D467" t="s">
        <v>91</v>
      </c>
      <c r="F467" t="s">
        <v>103</v>
      </c>
      <c r="G467">
        <v>9002112</v>
      </c>
      <c r="H467" t="s">
        <v>36</v>
      </c>
      <c r="I467" t="s">
        <v>36</v>
      </c>
      <c r="J467">
        <v>1</v>
      </c>
      <c r="K467" t="s">
        <v>37</v>
      </c>
      <c r="L467">
        <v>6</v>
      </c>
      <c r="N467">
        <v>0</v>
      </c>
      <c r="P467">
        <v>0</v>
      </c>
      <c r="Q467">
        <v>0.53</v>
      </c>
      <c r="R467">
        <v>0</v>
      </c>
      <c r="S467" t="s">
        <v>38</v>
      </c>
      <c r="T467">
        <v>20.9</v>
      </c>
      <c r="U467">
        <v>6</v>
      </c>
      <c r="V467">
        <v>10.5</v>
      </c>
      <c r="W467">
        <v>0.83499999999999996</v>
      </c>
      <c r="X467">
        <v>1.0449999999999999</v>
      </c>
      <c r="Y467">
        <v>0</v>
      </c>
      <c r="Z467" s="19">
        <v>6291007915198</v>
      </c>
      <c r="AA467">
        <v>365</v>
      </c>
      <c r="AB467">
        <v>30</v>
      </c>
      <c r="AC467" t="s">
        <v>630</v>
      </c>
      <c r="AD467">
        <v>6</v>
      </c>
      <c r="AE467">
        <f t="shared" si="8"/>
        <v>391819</v>
      </c>
    </row>
    <row r="468" spans="1:31" x14ac:dyDescent="0.25">
      <c r="A468">
        <v>393871</v>
      </c>
      <c r="B468" t="s">
        <v>677</v>
      </c>
      <c r="C468" t="s">
        <v>509</v>
      </c>
      <c r="D468" t="s">
        <v>91</v>
      </c>
      <c r="F468" t="s">
        <v>103</v>
      </c>
      <c r="H468" t="s">
        <v>36</v>
      </c>
      <c r="I468" t="s">
        <v>36</v>
      </c>
      <c r="J468">
        <v>1</v>
      </c>
      <c r="K468" t="s">
        <v>37</v>
      </c>
      <c r="L468">
        <v>4</v>
      </c>
      <c r="N468">
        <v>0</v>
      </c>
      <c r="P468">
        <v>0</v>
      </c>
      <c r="Q468">
        <v>2.2000000000000002</v>
      </c>
      <c r="R468">
        <v>0</v>
      </c>
      <c r="S468" t="s">
        <v>38</v>
      </c>
      <c r="T468">
        <v>20.100000000000001</v>
      </c>
      <c r="U468">
        <v>10.3</v>
      </c>
      <c r="V468">
        <v>20.9</v>
      </c>
      <c r="W468">
        <v>1.6379999999999999</v>
      </c>
      <c r="X468">
        <v>2.0499999999999998</v>
      </c>
      <c r="Y468">
        <v>0</v>
      </c>
      <c r="Z468" s="19">
        <v>6291007915877</v>
      </c>
      <c r="AA468">
        <v>375</v>
      </c>
      <c r="AB468">
        <v>45</v>
      </c>
      <c r="AC468" t="s">
        <v>625</v>
      </c>
      <c r="AD468">
        <v>4</v>
      </c>
      <c r="AE468">
        <f t="shared" si="8"/>
        <v>393871</v>
      </c>
    </row>
    <row r="469" spans="1:31" x14ac:dyDescent="0.25">
      <c r="A469">
        <v>398535</v>
      </c>
      <c r="B469" t="s">
        <v>678</v>
      </c>
      <c r="C469" t="s">
        <v>509</v>
      </c>
      <c r="F469" t="s">
        <v>34</v>
      </c>
      <c r="G469">
        <v>396352</v>
      </c>
      <c r="H469" t="s">
        <v>36</v>
      </c>
      <c r="I469" t="s">
        <v>36</v>
      </c>
      <c r="J469">
        <v>1</v>
      </c>
      <c r="K469" t="s">
        <v>37</v>
      </c>
      <c r="L469">
        <v>12</v>
      </c>
      <c r="N469">
        <v>0</v>
      </c>
      <c r="P469">
        <v>0</v>
      </c>
      <c r="Q469">
        <v>0.23</v>
      </c>
      <c r="R469">
        <v>0</v>
      </c>
      <c r="S469" t="s">
        <v>38</v>
      </c>
      <c r="T469">
        <v>23</v>
      </c>
      <c r="U469">
        <v>17.3</v>
      </c>
      <c r="V469">
        <v>4</v>
      </c>
      <c r="W469">
        <v>0.52100000000000002</v>
      </c>
      <c r="X469">
        <v>0.65</v>
      </c>
      <c r="Y469">
        <v>0</v>
      </c>
      <c r="Z469" s="19">
        <v>6291007915341</v>
      </c>
      <c r="AA469">
        <v>364</v>
      </c>
      <c r="AB469">
        <v>30</v>
      </c>
      <c r="AC469" t="s">
        <v>625</v>
      </c>
      <c r="AD469">
        <v>12</v>
      </c>
      <c r="AE469">
        <f t="shared" si="8"/>
        <v>398535</v>
      </c>
    </row>
    <row r="470" spans="1:31" x14ac:dyDescent="0.25">
      <c r="A470">
        <v>400371</v>
      </c>
      <c r="B470" t="s">
        <v>679</v>
      </c>
      <c r="C470" t="s">
        <v>509</v>
      </c>
      <c r="F470" t="s">
        <v>34</v>
      </c>
      <c r="G470">
        <v>9000282</v>
      </c>
      <c r="H470" t="s">
        <v>36</v>
      </c>
      <c r="I470" t="s">
        <v>36</v>
      </c>
      <c r="J470">
        <v>1</v>
      </c>
      <c r="K470" t="s">
        <v>37</v>
      </c>
      <c r="L470">
        <v>15</v>
      </c>
      <c r="N470">
        <v>0</v>
      </c>
      <c r="P470">
        <v>0</v>
      </c>
      <c r="Q470">
        <v>1.04</v>
      </c>
      <c r="R470">
        <v>0</v>
      </c>
      <c r="S470" t="s">
        <v>38</v>
      </c>
      <c r="T470">
        <v>11</v>
      </c>
      <c r="U470">
        <v>11</v>
      </c>
      <c r="V470">
        <v>13.5</v>
      </c>
      <c r="W470">
        <v>2.9089999999999998</v>
      </c>
      <c r="X470">
        <v>3.6360000000000001</v>
      </c>
      <c r="Y470">
        <v>0</v>
      </c>
      <c r="Z470" s="19">
        <v>6291007912197</v>
      </c>
      <c r="AA470">
        <v>364</v>
      </c>
      <c r="AB470">
        <v>30</v>
      </c>
      <c r="AC470" t="s">
        <v>630</v>
      </c>
      <c r="AD470">
        <v>15</v>
      </c>
      <c r="AE470">
        <f t="shared" si="8"/>
        <v>400371</v>
      </c>
    </row>
    <row r="471" spans="1:31" x14ac:dyDescent="0.25">
      <c r="A471">
        <v>401104</v>
      </c>
      <c r="B471" t="s">
        <v>680</v>
      </c>
      <c r="C471" t="s">
        <v>504</v>
      </c>
      <c r="F471" t="s">
        <v>34</v>
      </c>
      <c r="G471">
        <v>9002294</v>
      </c>
      <c r="H471" t="s">
        <v>36</v>
      </c>
      <c r="I471" t="s">
        <v>145</v>
      </c>
      <c r="J471">
        <v>12</v>
      </c>
      <c r="K471" t="s">
        <v>36</v>
      </c>
      <c r="L471">
        <v>1</v>
      </c>
      <c r="M471" t="s">
        <v>37</v>
      </c>
      <c r="N471">
        <v>48</v>
      </c>
      <c r="P471">
        <v>0</v>
      </c>
      <c r="Q471">
        <v>0.49</v>
      </c>
      <c r="R471">
        <v>0</v>
      </c>
      <c r="S471" t="s">
        <v>38</v>
      </c>
      <c r="T471">
        <v>28</v>
      </c>
      <c r="U471">
        <v>20</v>
      </c>
      <c r="V471">
        <v>4.5</v>
      </c>
      <c r="W471">
        <v>3.2000000000000001E-2</v>
      </c>
      <c r="X471">
        <v>0.04</v>
      </c>
      <c r="Y471">
        <v>0</v>
      </c>
      <c r="Z471" s="19">
        <v>6291007700084</v>
      </c>
      <c r="AA471">
        <v>364</v>
      </c>
      <c r="AB471">
        <v>30</v>
      </c>
      <c r="AC471" t="s">
        <v>630</v>
      </c>
      <c r="AD471">
        <v>48</v>
      </c>
      <c r="AE471">
        <f t="shared" si="8"/>
        <v>401104</v>
      </c>
    </row>
    <row r="472" spans="1:31" x14ac:dyDescent="0.25">
      <c r="A472">
        <v>401105</v>
      </c>
      <c r="B472" t="s">
        <v>681</v>
      </c>
      <c r="C472" t="s">
        <v>504</v>
      </c>
      <c r="F472" t="s">
        <v>34</v>
      </c>
      <c r="G472">
        <v>9002294</v>
      </c>
      <c r="H472" t="s">
        <v>36</v>
      </c>
      <c r="I472" t="s">
        <v>145</v>
      </c>
      <c r="J472">
        <v>12</v>
      </c>
      <c r="K472" t="s">
        <v>36</v>
      </c>
      <c r="L472">
        <v>1</v>
      </c>
      <c r="M472" t="s">
        <v>37</v>
      </c>
      <c r="N472">
        <v>48</v>
      </c>
      <c r="P472">
        <v>0</v>
      </c>
      <c r="Q472">
        <v>0.49</v>
      </c>
      <c r="R472">
        <v>0</v>
      </c>
      <c r="S472" t="s">
        <v>38</v>
      </c>
      <c r="T472">
        <v>28</v>
      </c>
      <c r="U472">
        <v>20</v>
      </c>
      <c r="V472">
        <v>4.5</v>
      </c>
      <c r="W472">
        <v>4.7E-2</v>
      </c>
      <c r="X472">
        <v>5.8000000000000003E-2</v>
      </c>
      <c r="Y472">
        <v>0</v>
      </c>
      <c r="Z472" s="19">
        <v>6291007700084</v>
      </c>
      <c r="AA472">
        <v>364</v>
      </c>
      <c r="AB472">
        <v>30</v>
      </c>
      <c r="AC472" t="s">
        <v>630</v>
      </c>
      <c r="AD472">
        <v>48</v>
      </c>
      <c r="AE472">
        <f t="shared" si="8"/>
        <v>401105</v>
      </c>
    </row>
    <row r="473" spans="1:31" x14ac:dyDescent="0.25">
      <c r="A473">
        <v>95819</v>
      </c>
      <c r="B473" t="s">
        <v>682</v>
      </c>
      <c r="C473" t="s">
        <v>504</v>
      </c>
      <c r="D473" t="s">
        <v>683</v>
      </c>
      <c r="E473" t="s">
        <v>684</v>
      </c>
      <c r="F473" t="s">
        <v>34</v>
      </c>
      <c r="G473">
        <v>393617</v>
      </c>
      <c r="H473" t="s">
        <v>177</v>
      </c>
      <c r="I473" t="s">
        <v>145</v>
      </c>
      <c r="J473">
        <v>12</v>
      </c>
      <c r="K473" t="s">
        <v>36</v>
      </c>
      <c r="L473">
        <v>1</v>
      </c>
      <c r="M473" t="s">
        <v>37</v>
      </c>
      <c r="N473">
        <v>48</v>
      </c>
      <c r="O473" t="s">
        <v>177</v>
      </c>
      <c r="P473">
        <v>1</v>
      </c>
      <c r="Q473">
        <v>0.05</v>
      </c>
      <c r="R473">
        <v>4.2000000000000003E-2</v>
      </c>
      <c r="S473" t="s">
        <v>38</v>
      </c>
      <c r="T473">
        <v>5</v>
      </c>
      <c r="U473">
        <v>5</v>
      </c>
      <c r="V473">
        <v>10.5</v>
      </c>
      <c r="W473">
        <v>3.2000000000000001E-2</v>
      </c>
      <c r="X473">
        <v>6.2E-2</v>
      </c>
      <c r="Y473">
        <v>0</v>
      </c>
      <c r="Z473" s="19">
        <v>6291007700084</v>
      </c>
      <c r="AA473">
        <v>365</v>
      </c>
      <c r="AB473">
        <v>30</v>
      </c>
      <c r="AC473" t="s">
        <v>625</v>
      </c>
      <c r="AD473">
        <v>48</v>
      </c>
      <c r="AE473">
        <f t="shared" si="8"/>
        <v>95819</v>
      </c>
    </row>
    <row r="474" spans="1:31" x14ac:dyDescent="0.25">
      <c r="A474">
        <v>164520</v>
      </c>
      <c r="B474" t="s">
        <v>685</v>
      </c>
      <c r="C474" t="s">
        <v>499</v>
      </c>
      <c r="D474" t="s">
        <v>91</v>
      </c>
      <c r="E474">
        <v>119751</v>
      </c>
      <c r="F474" t="s">
        <v>34</v>
      </c>
      <c r="G474">
        <v>394078</v>
      </c>
      <c r="H474" t="s">
        <v>87</v>
      </c>
      <c r="I474" t="s">
        <v>36</v>
      </c>
      <c r="J474">
        <v>1</v>
      </c>
      <c r="K474" t="s">
        <v>37</v>
      </c>
      <c r="L474">
        <v>6</v>
      </c>
      <c r="M474" t="s">
        <v>87</v>
      </c>
      <c r="N474">
        <v>1</v>
      </c>
      <c r="P474">
        <v>0</v>
      </c>
      <c r="Q474">
        <v>1.22</v>
      </c>
      <c r="R474">
        <v>0.8</v>
      </c>
      <c r="S474" t="s">
        <v>38</v>
      </c>
      <c r="T474">
        <v>38</v>
      </c>
      <c r="U474">
        <v>19.5</v>
      </c>
      <c r="V474">
        <v>7.5</v>
      </c>
      <c r="W474">
        <v>2.105</v>
      </c>
      <c r="X474">
        <v>2.6320000000000001</v>
      </c>
      <c r="Y474">
        <v>0</v>
      </c>
      <c r="Z474" s="19">
        <v>9501047242213</v>
      </c>
      <c r="AA474">
        <v>365</v>
      </c>
      <c r="AB474">
        <v>30</v>
      </c>
      <c r="AC474" t="s">
        <v>625</v>
      </c>
      <c r="AD474">
        <v>6</v>
      </c>
      <c r="AE474">
        <f t="shared" si="8"/>
        <v>164520</v>
      </c>
    </row>
    <row r="475" spans="1:31" x14ac:dyDescent="0.25">
      <c r="A475">
        <v>410905</v>
      </c>
      <c r="B475" t="s">
        <v>686</v>
      </c>
      <c r="C475" t="s">
        <v>509</v>
      </c>
      <c r="D475" t="s">
        <v>91</v>
      </c>
      <c r="F475" t="s">
        <v>316</v>
      </c>
      <c r="H475" t="s">
        <v>36</v>
      </c>
      <c r="I475" t="s">
        <v>36</v>
      </c>
      <c r="J475">
        <v>1</v>
      </c>
      <c r="K475" t="s">
        <v>37</v>
      </c>
      <c r="L475">
        <v>72</v>
      </c>
      <c r="N475">
        <v>0</v>
      </c>
      <c r="P475">
        <v>0</v>
      </c>
      <c r="Q475">
        <v>0</v>
      </c>
      <c r="R475">
        <v>0</v>
      </c>
      <c r="S475" t="s">
        <v>38</v>
      </c>
      <c r="T475">
        <v>0</v>
      </c>
      <c r="U475">
        <v>0</v>
      </c>
      <c r="V475">
        <v>0</v>
      </c>
      <c r="W475">
        <v>1E-3</v>
      </c>
      <c r="X475">
        <v>1E-3</v>
      </c>
      <c r="Y475">
        <v>0</v>
      </c>
      <c r="Z475" s="19">
        <v>8901063203198</v>
      </c>
      <c r="AA475">
        <v>366</v>
      </c>
      <c r="AB475">
        <v>60</v>
      </c>
      <c r="AC475" t="s">
        <v>630</v>
      </c>
      <c r="AD475">
        <v>72</v>
      </c>
      <c r="AE475">
        <f t="shared" si="8"/>
        <v>410905</v>
      </c>
    </row>
    <row r="476" spans="1:31" x14ac:dyDescent="0.25">
      <c r="A476">
        <v>411273</v>
      </c>
      <c r="B476" t="s">
        <v>687</v>
      </c>
      <c r="C476" t="s">
        <v>44</v>
      </c>
      <c r="D476" t="s">
        <v>91</v>
      </c>
      <c r="F476" t="s">
        <v>34</v>
      </c>
      <c r="H476" t="s">
        <v>36</v>
      </c>
      <c r="I476" t="s">
        <v>36</v>
      </c>
      <c r="J476">
        <v>1</v>
      </c>
      <c r="K476" t="s">
        <v>37</v>
      </c>
      <c r="L476">
        <v>24</v>
      </c>
      <c r="N476">
        <v>0</v>
      </c>
      <c r="P476">
        <v>0</v>
      </c>
      <c r="Q476">
        <v>0.47</v>
      </c>
      <c r="R476">
        <v>0</v>
      </c>
      <c r="S476" t="s">
        <v>38</v>
      </c>
      <c r="T476">
        <v>7</v>
      </c>
      <c r="U476">
        <v>7</v>
      </c>
      <c r="V476">
        <v>11</v>
      </c>
      <c r="W476">
        <v>0.45400000000000001</v>
      </c>
      <c r="X476">
        <v>0.628</v>
      </c>
      <c r="Y476">
        <v>0</v>
      </c>
      <c r="Z476" s="19">
        <v>24000145059</v>
      </c>
      <c r="AA476">
        <v>730</v>
      </c>
      <c r="AB476">
        <v>90</v>
      </c>
      <c r="AC476" t="s">
        <v>47</v>
      </c>
      <c r="AD476">
        <v>24</v>
      </c>
      <c r="AE476">
        <f t="shared" si="8"/>
        <v>411273</v>
      </c>
    </row>
    <row r="477" spans="1:31" x14ac:dyDescent="0.25">
      <c r="A477">
        <v>411274</v>
      </c>
      <c r="B477" t="s">
        <v>688</v>
      </c>
      <c r="C477" t="s">
        <v>44</v>
      </c>
      <c r="D477" t="s">
        <v>91</v>
      </c>
      <c r="F477" t="s">
        <v>34</v>
      </c>
      <c r="H477" t="s">
        <v>36</v>
      </c>
      <c r="I477" t="s">
        <v>36</v>
      </c>
      <c r="J477">
        <v>1</v>
      </c>
      <c r="K477" t="s">
        <v>37</v>
      </c>
      <c r="L477">
        <v>24</v>
      </c>
      <c r="N477">
        <v>0</v>
      </c>
      <c r="P477">
        <v>0</v>
      </c>
      <c r="Q477">
        <v>0.47</v>
      </c>
      <c r="R477">
        <v>0</v>
      </c>
      <c r="S477" t="s">
        <v>38</v>
      </c>
      <c r="T477">
        <v>7</v>
      </c>
      <c r="U477">
        <v>7</v>
      </c>
      <c r="V477">
        <v>11</v>
      </c>
      <c r="W477">
        <v>0.38400000000000001</v>
      </c>
      <c r="X477">
        <v>0.53500000000000003</v>
      </c>
      <c r="Y477">
        <v>0</v>
      </c>
      <c r="Z477" s="19">
        <v>24000145066</v>
      </c>
      <c r="AA477">
        <v>730</v>
      </c>
      <c r="AB477">
        <v>90</v>
      </c>
      <c r="AC477" t="s">
        <v>47</v>
      </c>
      <c r="AD477">
        <v>24</v>
      </c>
      <c r="AE477">
        <f t="shared" si="8"/>
        <v>411274</v>
      </c>
    </row>
    <row r="478" spans="1:31" x14ac:dyDescent="0.25">
      <c r="A478">
        <v>411275</v>
      </c>
      <c r="B478" t="s">
        <v>689</v>
      </c>
      <c r="C478" t="s">
        <v>44</v>
      </c>
      <c r="D478" t="s">
        <v>91</v>
      </c>
      <c r="F478" t="s">
        <v>34</v>
      </c>
      <c r="H478" t="s">
        <v>36</v>
      </c>
      <c r="I478" t="s">
        <v>36</v>
      </c>
      <c r="J478">
        <v>1</v>
      </c>
      <c r="K478" t="s">
        <v>37</v>
      </c>
      <c r="L478">
        <v>24</v>
      </c>
      <c r="N478">
        <v>0</v>
      </c>
      <c r="P478">
        <v>0</v>
      </c>
      <c r="Q478">
        <v>0.24</v>
      </c>
      <c r="R478">
        <v>0</v>
      </c>
      <c r="S478" t="s">
        <v>38</v>
      </c>
      <c r="T478">
        <v>6</v>
      </c>
      <c r="U478">
        <v>6</v>
      </c>
      <c r="V478">
        <v>7</v>
      </c>
      <c r="W478">
        <v>0.25600000000000001</v>
      </c>
      <c r="X478">
        <v>0.36</v>
      </c>
      <c r="Y478">
        <v>0</v>
      </c>
      <c r="Z478" s="19">
        <v>24000145073</v>
      </c>
      <c r="AA478">
        <v>730</v>
      </c>
      <c r="AB478">
        <v>90</v>
      </c>
      <c r="AC478" t="s">
        <v>47</v>
      </c>
      <c r="AD478">
        <v>24</v>
      </c>
      <c r="AE478">
        <f t="shared" si="8"/>
        <v>411275</v>
      </c>
    </row>
    <row r="479" spans="1:31" x14ac:dyDescent="0.25">
      <c r="A479">
        <v>411276</v>
      </c>
      <c r="B479" t="s">
        <v>690</v>
      </c>
      <c r="C479" t="s">
        <v>44</v>
      </c>
      <c r="D479" t="s">
        <v>91</v>
      </c>
      <c r="F479" t="s">
        <v>34</v>
      </c>
      <c r="H479" t="s">
        <v>36</v>
      </c>
      <c r="I479" t="s">
        <v>36</v>
      </c>
      <c r="J479">
        <v>1</v>
      </c>
      <c r="K479" t="s">
        <v>37</v>
      </c>
      <c r="L479">
        <v>24</v>
      </c>
      <c r="N479">
        <v>0</v>
      </c>
      <c r="P479">
        <v>0</v>
      </c>
      <c r="Q479">
        <v>0.24</v>
      </c>
      <c r="R479">
        <v>0</v>
      </c>
      <c r="S479" t="s">
        <v>38</v>
      </c>
      <c r="T479">
        <v>6</v>
      </c>
      <c r="U479">
        <v>6</v>
      </c>
      <c r="V479">
        <v>7</v>
      </c>
      <c r="W479">
        <v>0.224</v>
      </c>
      <c r="X479">
        <v>0.315</v>
      </c>
      <c r="Y479">
        <v>0</v>
      </c>
      <c r="Z479" s="19">
        <v>24000145080</v>
      </c>
      <c r="AA479">
        <v>730</v>
      </c>
      <c r="AB479">
        <v>90</v>
      </c>
      <c r="AC479" t="s">
        <v>47</v>
      </c>
      <c r="AD479">
        <v>24</v>
      </c>
      <c r="AE479">
        <f t="shared" si="8"/>
        <v>411276</v>
      </c>
    </row>
    <row r="480" spans="1:31" x14ac:dyDescent="0.25">
      <c r="A480">
        <v>237113</v>
      </c>
      <c r="B480" t="s">
        <v>691</v>
      </c>
      <c r="C480" t="s">
        <v>509</v>
      </c>
      <c r="D480" t="s">
        <v>91</v>
      </c>
      <c r="F480" t="s">
        <v>103</v>
      </c>
      <c r="H480" t="s">
        <v>36</v>
      </c>
      <c r="I480" t="s">
        <v>36</v>
      </c>
      <c r="J480">
        <v>1</v>
      </c>
      <c r="K480" t="s">
        <v>37</v>
      </c>
      <c r="L480">
        <v>6</v>
      </c>
      <c r="N480">
        <v>0</v>
      </c>
      <c r="P480">
        <v>0</v>
      </c>
      <c r="Q480">
        <v>0.91</v>
      </c>
      <c r="R480">
        <v>0</v>
      </c>
      <c r="S480" t="s">
        <v>38</v>
      </c>
      <c r="T480">
        <v>21.5</v>
      </c>
      <c r="U480">
        <v>14.5</v>
      </c>
      <c r="V480">
        <v>7.5</v>
      </c>
      <c r="W480">
        <v>0.88100000000000001</v>
      </c>
      <c r="X480">
        <v>1.101</v>
      </c>
      <c r="Y480">
        <v>0</v>
      </c>
      <c r="Z480" s="19">
        <v>6291007908039</v>
      </c>
      <c r="AA480">
        <v>365</v>
      </c>
      <c r="AB480">
        <v>30</v>
      </c>
      <c r="AC480" t="s">
        <v>625</v>
      </c>
      <c r="AD480">
        <v>6</v>
      </c>
      <c r="AE480">
        <f t="shared" si="8"/>
        <v>237113</v>
      </c>
    </row>
    <row r="481" spans="1:31" x14ac:dyDescent="0.25">
      <c r="A481">
        <v>302615</v>
      </c>
      <c r="B481" t="s">
        <v>692</v>
      </c>
      <c r="C481" t="s">
        <v>509</v>
      </c>
      <c r="D481" t="s">
        <v>91</v>
      </c>
      <c r="F481" t="s">
        <v>34</v>
      </c>
      <c r="G481">
        <v>395366</v>
      </c>
      <c r="H481" t="s">
        <v>36</v>
      </c>
      <c r="I481" t="s">
        <v>36</v>
      </c>
      <c r="J481">
        <v>1</v>
      </c>
      <c r="K481" t="s">
        <v>37</v>
      </c>
      <c r="L481">
        <v>24</v>
      </c>
      <c r="N481">
        <v>0</v>
      </c>
      <c r="P481">
        <v>0</v>
      </c>
      <c r="Q481">
        <v>0.08</v>
      </c>
      <c r="R481">
        <v>0</v>
      </c>
      <c r="S481" t="s">
        <v>38</v>
      </c>
      <c r="T481">
        <v>10.5</v>
      </c>
      <c r="U481">
        <v>5</v>
      </c>
      <c r="V481">
        <v>5</v>
      </c>
      <c r="W481">
        <v>0.17299999999999999</v>
      </c>
      <c r="X481">
        <v>0.217</v>
      </c>
      <c r="Y481">
        <v>0</v>
      </c>
      <c r="Z481" s="19">
        <v>6291007901016</v>
      </c>
      <c r="AA481">
        <v>365</v>
      </c>
      <c r="AB481">
        <v>30</v>
      </c>
      <c r="AC481" t="s">
        <v>625</v>
      </c>
      <c r="AD481">
        <v>24</v>
      </c>
      <c r="AE481">
        <f t="shared" si="8"/>
        <v>302615</v>
      </c>
    </row>
    <row r="482" spans="1:31" x14ac:dyDescent="0.25">
      <c r="A482">
        <v>302616</v>
      </c>
      <c r="B482" t="s">
        <v>693</v>
      </c>
      <c r="C482" t="s">
        <v>509</v>
      </c>
      <c r="D482" t="s">
        <v>91</v>
      </c>
      <c r="F482" t="s">
        <v>34</v>
      </c>
      <c r="G482">
        <v>395367</v>
      </c>
      <c r="H482" t="s">
        <v>36</v>
      </c>
      <c r="I482" t="s">
        <v>36</v>
      </c>
      <c r="J482">
        <v>1</v>
      </c>
      <c r="K482" t="s">
        <v>37</v>
      </c>
      <c r="L482">
        <v>24</v>
      </c>
      <c r="N482">
        <v>0</v>
      </c>
      <c r="P482">
        <v>0</v>
      </c>
      <c r="Q482">
        <v>0.08</v>
      </c>
      <c r="R482">
        <v>0</v>
      </c>
      <c r="S482" t="s">
        <v>38</v>
      </c>
      <c r="T482">
        <v>5</v>
      </c>
      <c r="U482">
        <v>5</v>
      </c>
      <c r="V482">
        <v>12</v>
      </c>
      <c r="W482">
        <v>0.17299999999999999</v>
      </c>
      <c r="X482">
        <v>0.217</v>
      </c>
      <c r="Y482">
        <v>0</v>
      </c>
      <c r="Z482" s="19">
        <v>6291007901047</v>
      </c>
      <c r="AA482">
        <v>365</v>
      </c>
      <c r="AB482">
        <v>30</v>
      </c>
      <c r="AC482" t="s">
        <v>625</v>
      </c>
      <c r="AD482">
        <v>24</v>
      </c>
      <c r="AE482">
        <f t="shared" si="8"/>
        <v>302616</v>
      </c>
    </row>
    <row r="483" spans="1:31" x14ac:dyDescent="0.25">
      <c r="A483">
        <v>411613</v>
      </c>
      <c r="B483" t="s">
        <v>694</v>
      </c>
      <c r="C483" t="s">
        <v>232</v>
      </c>
      <c r="D483" t="s">
        <v>91</v>
      </c>
      <c r="F483" t="s">
        <v>34</v>
      </c>
      <c r="H483" t="s">
        <v>36</v>
      </c>
      <c r="I483" t="s">
        <v>145</v>
      </c>
      <c r="J483">
        <v>12</v>
      </c>
      <c r="K483" t="s">
        <v>36</v>
      </c>
      <c r="L483">
        <v>1</v>
      </c>
      <c r="M483" t="s">
        <v>37</v>
      </c>
      <c r="N483">
        <v>96</v>
      </c>
      <c r="P483">
        <v>0</v>
      </c>
      <c r="Q483">
        <v>0</v>
      </c>
      <c r="R483">
        <v>0</v>
      </c>
      <c r="S483" t="s">
        <v>38</v>
      </c>
      <c r="T483">
        <v>0</v>
      </c>
      <c r="U483">
        <v>0</v>
      </c>
      <c r="V483">
        <v>0</v>
      </c>
      <c r="W483">
        <v>0.16600000000000001</v>
      </c>
      <c r="X483">
        <v>0.22900000000000001</v>
      </c>
      <c r="Y483">
        <v>0</v>
      </c>
      <c r="Z483" s="19">
        <v>8901393027129</v>
      </c>
      <c r="AA483">
        <v>540</v>
      </c>
      <c r="AB483">
        <v>90</v>
      </c>
      <c r="AC483" t="s">
        <v>146</v>
      </c>
      <c r="AD483">
        <v>96</v>
      </c>
      <c r="AE483">
        <f t="shared" si="8"/>
        <v>411613</v>
      </c>
    </row>
    <row r="484" spans="1:31" x14ac:dyDescent="0.25">
      <c r="A484">
        <v>375707</v>
      </c>
      <c r="B484" t="s">
        <v>695</v>
      </c>
      <c r="C484" t="s">
        <v>509</v>
      </c>
      <c r="D484" t="s">
        <v>91</v>
      </c>
      <c r="F484" t="s">
        <v>34</v>
      </c>
      <c r="G484">
        <v>9001654</v>
      </c>
      <c r="H484" t="s">
        <v>36</v>
      </c>
      <c r="I484" t="s">
        <v>36</v>
      </c>
      <c r="J484">
        <v>1</v>
      </c>
      <c r="K484" t="s">
        <v>37</v>
      </c>
      <c r="L484">
        <v>36</v>
      </c>
      <c r="N484">
        <v>0</v>
      </c>
      <c r="P484">
        <v>0</v>
      </c>
      <c r="Q484">
        <v>0.12</v>
      </c>
      <c r="R484">
        <v>0</v>
      </c>
      <c r="S484" t="s">
        <v>38</v>
      </c>
      <c r="T484">
        <v>14.05</v>
      </c>
      <c r="U484">
        <v>4.05</v>
      </c>
      <c r="V484">
        <v>6</v>
      </c>
      <c r="W484">
        <v>0.215</v>
      </c>
      <c r="X484">
        <v>0.26900000000000002</v>
      </c>
      <c r="Y484">
        <v>0</v>
      </c>
      <c r="Z484" s="19">
        <v>8901063166714</v>
      </c>
      <c r="AA484">
        <v>365</v>
      </c>
      <c r="AB484">
        <v>30</v>
      </c>
      <c r="AC484" t="s">
        <v>630</v>
      </c>
      <c r="AD484">
        <v>36</v>
      </c>
      <c r="AE484">
        <f t="shared" si="8"/>
        <v>375707</v>
      </c>
    </row>
    <row r="485" spans="1:31" x14ac:dyDescent="0.25">
      <c r="A485">
        <v>386804</v>
      </c>
      <c r="B485" t="s">
        <v>696</v>
      </c>
      <c r="C485" t="s">
        <v>232</v>
      </c>
      <c r="D485" t="s">
        <v>91</v>
      </c>
      <c r="F485" t="s">
        <v>34</v>
      </c>
      <c r="H485" t="s">
        <v>36</v>
      </c>
      <c r="I485" t="s">
        <v>36</v>
      </c>
      <c r="J485">
        <v>1</v>
      </c>
      <c r="K485" t="s">
        <v>37</v>
      </c>
      <c r="L485">
        <v>24</v>
      </c>
      <c r="N485">
        <v>0</v>
      </c>
      <c r="P485">
        <v>0</v>
      </c>
      <c r="Q485">
        <v>0.13</v>
      </c>
      <c r="R485">
        <v>0</v>
      </c>
      <c r="S485" t="s">
        <v>38</v>
      </c>
      <c r="T485">
        <v>10.9</v>
      </c>
      <c r="U485">
        <v>6</v>
      </c>
      <c r="V485">
        <v>20.3</v>
      </c>
      <c r="W485">
        <v>0.434</v>
      </c>
      <c r="X485">
        <v>0.59</v>
      </c>
      <c r="Y485">
        <v>0</v>
      </c>
      <c r="Z485" s="19">
        <v>6291109790303</v>
      </c>
      <c r="AA485">
        <v>365</v>
      </c>
      <c r="AB485">
        <v>25</v>
      </c>
      <c r="AC485" t="s">
        <v>146</v>
      </c>
      <c r="AD485">
        <v>24</v>
      </c>
      <c r="AE485">
        <f t="shared" si="8"/>
        <v>386804</v>
      </c>
    </row>
    <row r="486" spans="1:31" x14ac:dyDescent="0.25">
      <c r="A486">
        <v>411514</v>
      </c>
      <c r="B486" t="s">
        <v>697</v>
      </c>
      <c r="C486" t="s">
        <v>31</v>
      </c>
      <c r="D486" t="s">
        <v>91</v>
      </c>
      <c r="F486" t="s">
        <v>86</v>
      </c>
      <c r="H486" t="s">
        <v>36</v>
      </c>
      <c r="I486" t="s">
        <v>36</v>
      </c>
      <c r="J486">
        <v>1</v>
      </c>
      <c r="K486" t="s">
        <v>37</v>
      </c>
      <c r="L486">
        <v>6</v>
      </c>
      <c r="N486">
        <v>0</v>
      </c>
      <c r="P486">
        <v>0</v>
      </c>
      <c r="Q486">
        <v>0</v>
      </c>
      <c r="R486">
        <v>0</v>
      </c>
      <c r="S486" t="s">
        <v>38</v>
      </c>
      <c r="T486">
        <v>0</v>
      </c>
      <c r="U486">
        <v>0</v>
      </c>
      <c r="V486">
        <v>0</v>
      </c>
      <c r="W486">
        <v>2.782</v>
      </c>
      <c r="X486">
        <v>4</v>
      </c>
      <c r="Y486">
        <v>0</v>
      </c>
      <c r="Z486" s="19">
        <v>1800000025206</v>
      </c>
      <c r="AA486">
        <v>730</v>
      </c>
      <c r="AB486">
        <v>90</v>
      </c>
      <c r="AC486" t="s">
        <v>698</v>
      </c>
      <c r="AD486">
        <v>6</v>
      </c>
      <c r="AE486">
        <f t="shared" si="8"/>
        <v>411514</v>
      </c>
    </row>
    <row r="487" spans="1:31" x14ac:dyDescent="0.25">
      <c r="A487">
        <v>412003</v>
      </c>
      <c r="B487" t="s">
        <v>699</v>
      </c>
      <c r="C487" t="s">
        <v>143</v>
      </c>
      <c r="D487" t="s">
        <v>91</v>
      </c>
      <c r="F487" t="s">
        <v>34</v>
      </c>
      <c r="H487" t="s">
        <v>36</v>
      </c>
      <c r="I487" t="s">
        <v>145</v>
      </c>
      <c r="J487">
        <v>6</v>
      </c>
      <c r="K487" t="s">
        <v>36</v>
      </c>
      <c r="L487">
        <v>1</v>
      </c>
      <c r="M487" t="s">
        <v>37</v>
      </c>
      <c r="N487">
        <v>36</v>
      </c>
      <c r="P487">
        <v>0</v>
      </c>
      <c r="Q487">
        <v>0</v>
      </c>
      <c r="R487">
        <v>0</v>
      </c>
      <c r="S487" t="s">
        <v>38</v>
      </c>
      <c r="T487">
        <v>0</v>
      </c>
      <c r="U487">
        <v>0</v>
      </c>
      <c r="V487">
        <v>0</v>
      </c>
      <c r="W487">
        <v>0.89200000000000002</v>
      </c>
      <c r="X487">
        <v>1.24</v>
      </c>
      <c r="Y487">
        <v>0</v>
      </c>
      <c r="Z487" s="19">
        <v>8682790000440</v>
      </c>
      <c r="AA487">
        <v>457</v>
      </c>
      <c r="AB487">
        <v>90</v>
      </c>
      <c r="AC487" t="s">
        <v>146</v>
      </c>
      <c r="AD487">
        <v>36</v>
      </c>
      <c r="AE487">
        <f t="shared" si="8"/>
        <v>412003</v>
      </c>
    </row>
    <row r="488" spans="1:31" x14ac:dyDescent="0.25">
      <c r="A488">
        <v>412004</v>
      </c>
      <c r="B488" t="s">
        <v>700</v>
      </c>
      <c r="C488" t="s">
        <v>143</v>
      </c>
      <c r="D488" t="s">
        <v>91</v>
      </c>
      <c r="F488" t="s">
        <v>34</v>
      </c>
      <c r="H488" t="s">
        <v>36</v>
      </c>
      <c r="I488" t="s">
        <v>145</v>
      </c>
      <c r="J488">
        <v>6</v>
      </c>
      <c r="K488" t="s">
        <v>36</v>
      </c>
      <c r="L488">
        <v>1</v>
      </c>
      <c r="M488" t="s">
        <v>37</v>
      </c>
      <c r="N488">
        <v>36</v>
      </c>
      <c r="P488">
        <v>0</v>
      </c>
      <c r="Q488">
        <v>0</v>
      </c>
      <c r="R488">
        <v>0</v>
      </c>
      <c r="S488" t="s">
        <v>38</v>
      </c>
      <c r="T488">
        <v>0</v>
      </c>
      <c r="U488">
        <v>0</v>
      </c>
      <c r="V488">
        <v>0</v>
      </c>
      <c r="W488">
        <v>0.89200000000000002</v>
      </c>
      <c r="X488">
        <v>1.24</v>
      </c>
      <c r="Y488">
        <v>0</v>
      </c>
      <c r="Z488" s="19">
        <v>8682790000419</v>
      </c>
      <c r="AA488">
        <v>457</v>
      </c>
      <c r="AB488">
        <v>90</v>
      </c>
      <c r="AC488" t="s">
        <v>146</v>
      </c>
      <c r="AD488">
        <v>36</v>
      </c>
      <c r="AE488">
        <f t="shared" si="8"/>
        <v>412004</v>
      </c>
    </row>
    <row r="489" spans="1:31" x14ac:dyDescent="0.25">
      <c r="A489">
        <v>91568</v>
      </c>
      <c r="B489" t="s">
        <v>701</v>
      </c>
      <c r="C489" t="s">
        <v>44</v>
      </c>
      <c r="E489" t="s">
        <v>702</v>
      </c>
      <c r="F489" t="s">
        <v>34</v>
      </c>
      <c r="H489" t="s">
        <v>46</v>
      </c>
      <c r="I489" t="s">
        <v>36</v>
      </c>
      <c r="J489">
        <v>1</v>
      </c>
      <c r="K489" t="s">
        <v>46</v>
      </c>
      <c r="L489">
        <v>1</v>
      </c>
      <c r="M489" t="s">
        <v>37</v>
      </c>
      <c r="N489">
        <v>24</v>
      </c>
      <c r="P489">
        <v>0</v>
      </c>
      <c r="Q489">
        <v>1</v>
      </c>
      <c r="R489">
        <v>0.83599999999999997</v>
      </c>
      <c r="S489" t="s">
        <v>38</v>
      </c>
      <c r="T489">
        <v>10</v>
      </c>
      <c r="U489">
        <v>10</v>
      </c>
      <c r="V489">
        <v>12</v>
      </c>
      <c r="W489">
        <v>0.63200000000000001</v>
      </c>
      <c r="X489">
        <v>0.71499999999999997</v>
      </c>
      <c r="Y489">
        <v>0</v>
      </c>
      <c r="Z489" s="19">
        <v>24000012306</v>
      </c>
      <c r="AA489">
        <v>729</v>
      </c>
      <c r="AB489">
        <v>90</v>
      </c>
      <c r="AC489" t="s">
        <v>47</v>
      </c>
      <c r="AD489">
        <v>24</v>
      </c>
      <c r="AE489">
        <f t="shared" si="8"/>
        <v>91568</v>
      </c>
    </row>
    <row r="490" spans="1:31" x14ac:dyDescent="0.25">
      <c r="A490">
        <v>192042</v>
      </c>
      <c r="B490" t="s">
        <v>703</v>
      </c>
      <c r="C490" t="s">
        <v>509</v>
      </c>
      <c r="D490" t="s">
        <v>91</v>
      </c>
      <c r="F490" t="s">
        <v>103</v>
      </c>
      <c r="G490">
        <v>393192</v>
      </c>
      <c r="H490" t="s">
        <v>36</v>
      </c>
      <c r="I490" t="s">
        <v>36</v>
      </c>
      <c r="J490">
        <v>1</v>
      </c>
      <c r="K490" t="s">
        <v>37</v>
      </c>
      <c r="L490">
        <v>8</v>
      </c>
      <c r="N490">
        <v>0</v>
      </c>
      <c r="P490">
        <v>0</v>
      </c>
      <c r="Q490">
        <v>0.79</v>
      </c>
      <c r="R490">
        <v>0</v>
      </c>
      <c r="S490" t="s">
        <v>38</v>
      </c>
      <c r="T490">
        <v>28</v>
      </c>
      <c r="U490">
        <v>20</v>
      </c>
      <c r="V490">
        <v>7</v>
      </c>
      <c r="W490">
        <v>0.85699999999999998</v>
      </c>
      <c r="X490">
        <v>1.071</v>
      </c>
      <c r="Y490">
        <v>0</v>
      </c>
      <c r="Z490" s="19">
        <v>6291007905694</v>
      </c>
      <c r="AA490">
        <v>365</v>
      </c>
      <c r="AB490">
        <v>30</v>
      </c>
      <c r="AC490" t="s">
        <v>625</v>
      </c>
      <c r="AD490">
        <v>8</v>
      </c>
      <c r="AE490">
        <f t="shared" si="8"/>
        <v>192042</v>
      </c>
    </row>
    <row r="491" spans="1:31" x14ac:dyDescent="0.25">
      <c r="A491">
        <v>412009</v>
      </c>
      <c r="B491" t="s">
        <v>704</v>
      </c>
      <c r="C491" t="s">
        <v>143</v>
      </c>
      <c r="D491" t="s">
        <v>91</v>
      </c>
      <c r="F491" t="s">
        <v>34</v>
      </c>
      <c r="H491" t="s">
        <v>36</v>
      </c>
      <c r="I491" t="s">
        <v>145</v>
      </c>
      <c r="J491">
        <v>20</v>
      </c>
      <c r="K491" t="s">
        <v>36</v>
      </c>
      <c r="L491">
        <v>1</v>
      </c>
      <c r="M491" t="s">
        <v>37</v>
      </c>
      <c r="N491">
        <v>240</v>
      </c>
      <c r="P491">
        <v>0</v>
      </c>
      <c r="Q491">
        <v>0</v>
      </c>
      <c r="R491">
        <v>0</v>
      </c>
      <c r="S491" t="s">
        <v>38</v>
      </c>
      <c r="T491">
        <v>0</v>
      </c>
      <c r="U491">
        <v>0</v>
      </c>
      <c r="V491">
        <v>0</v>
      </c>
      <c r="W491">
        <v>0.16</v>
      </c>
      <c r="X491">
        <v>0.217</v>
      </c>
      <c r="Y491">
        <v>0</v>
      </c>
      <c r="Z491" s="19">
        <v>8935001729068</v>
      </c>
      <c r="AA491">
        <v>457</v>
      </c>
      <c r="AB491">
        <v>90</v>
      </c>
      <c r="AC491" t="s">
        <v>146</v>
      </c>
      <c r="AD491">
        <v>240</v>
      </c>
      <c r="AE491">
        <f t="shared" si="8"/>
        <v>412009</v>
      </c>
    </row>
    <row r="492" spans="1:31" x14ac:dyDescent="0.25">
      <c r="A492">
        <v>412010</v>
      </c>
      <c r="B492" t="s">
        <v>705</v>
      </c>
      <c r="C492" t="s">
        <v>143</v>
      </c>
      <c r="D492" t="s">
        <v>91</v>
      </c>
      <c r="F492" t="s">
        <v>34</v>
      </c>
      <c r="H492" t="s">
        <v>36</v>
      </c>
      <c r="I492" t="s">
        <v>145</v>
      </c>
      <c r="J492">
        <v>6</v>
      </c>
      <c r="K492" t="s">
        <v>36</v>
      </c>
      <c r="L492">
        <v>1</v>
      </c>
      <c r="M492" t="s">
        <v>37</v>
      </c>
      <c r="N492">
        <v>36</v>
      </c>
      <c r="P492">
        <v>0</v>
      </c>
      <c r="Q492">
        <v>0</v>
      </c>
      <c r="R492">
        <v>0</v>
      </c>
      <c r="S492" t="s">
        <v>38</v>
      </c>
      <c r="T492">
        <v>0</v>
      </c>
      <c r="U492">
        <v>0</v>
      </c>
      <c r="V492">
        <v>0</v>
      </c>
      <c r="W492">
        <v>0.88</v>
      </c>
      <c r="X492">
        <v>1.19</v>
      </c>
      <c r="Y492">
        <v>0</v>
      </c>
      <c r="Z492" s="19">
        <v>8935001729570</v>
      </c>
      <c r="AA492">
        <v>457</v>
      </c>
      <c r="AB492">
        <v>90</v>
      </c>
      <c r="AC492" t="s">
        <v>146</v>
      </c>
      <c r="AD492">
        <v>36</v>
      </c>
      <c r="AE492">
        <f t="shared" si="8"/>
        <v>412010</v>
      </c>
    </row>
    <row r="493" spans="1:31" x14ac:dyDescent="0.25">
      <c r="A493">
        <v>164503</v>
      </c>
      <c r="B493" t="s">
        <v>706</v>
      </c>
      <c r="C493" t="s">
        <v>509</v>
      </c>
      <c r="E493">
        <v>115417</v>
      </c>
      <c r="F493" t="s">
        <v>34</v>
      </c>
      <c r="G493">
        <v>990304</v>
      </c>
      <c r="H493" t="s">
        <v>145</v>
      </c>
      <c r="I493" t="s">
        <v>145</v>
      </c>
      <c r="J493">
        <v>1</v>
      </c>
      <c r="K493" t="s">
        <v>36</v>
      </c>
      <c r="L493">
        <v>1</v>
      </c>
      <c r="M493" t="s">
        <v>37</v>
      </c>
      <c r="N493">
        <v>12</v>
      </c>
      <c r="P493">
        <v>0</v>
      </c>
      <c r="Q493">
        <v>0.36</v>
      </c>
      <c r="R493">
        <v>0.33500000000000002</v>
      </c>
      <c r="S493" t="s">
        <v>38</v>
      </c>
      <c r="T493">
        <v>16.5</v>
      </c>
      <c r="U493">
        <v>4</v>
      </c>
      <c r="V493">
        <v>24.5</v>
      </c>
      <c r="W493">
        <v>0.50600000000000001</v>
      </c>
      <c r="X493">
        <v>0.63200000000000001</v>
      </c>
      <c r="Y493">
        <v>0</v>
      </c>
      <c r="Z493" s="19">
        <v>8901063151055</v>
      </c>
      <c r="AA493">
        <v>365</v>
      </c>
      <c r="AB493">
        <v>30</v>
      </c>
      <c r="AC493" t="s">
        <v>630</v>
      </c>
      <c r="AD493">
        <v>12</v>
      </c>
      <c r="AE493">
        <f t="shared" si="8"/>
        <v>164503</v>
      </c>
    </row>
    <row r="494" spans="1:31" x14ac:dyDescent="0.25">
      <c r="A494">
        <v>413184</v>
      </c>
      <c r="B494" t="s">
        <v>707</v>
      </c>
      <c r="C494" t="s">
        <v>232</v>
      </c>
      <c r="D494" t="s">
        <v>91</v>
      </c>
      <c r="F494" t="s">
        <v>34</v>
      </c>
      <c r="H494" t="s">
        <v>36</v>
      </c>
      <c r="I494" t="s">
        <v>145</v>
      </c>
      <c r="J494">
        <v>25</v>
      </c>
      <c r="K494" t="s">
        <v>36</v>
      </c>
      <c r="L494">
        <v>1</v>
      </c>
      <c r="M494" t="s">
        <v>37</v>
      </c>
      <c r="N494">
        <v>200</v>
      </c>
      <c r="P494">
        <v>0</v>
      </c>
      <c r="Q494">
        <v>0</v>
      </c>
      <c r="R494">
        <v>0</v>
      </c>
      <c r="S494" t="s">
        <v>38</v>
      </c>
      <c r="T494">
        <v>0</v>
      </c>
      <c r="U494">
        <v>0</v>
      </c>
      <c r="V494">
        <v>0</v>
      </c>
      <c r="W494">
        <v>0.11</v>
      </c>
      <c r="X494">
        <v>0.152</v>
      </c>
      <c r="Y494">
        <v>0</v>
      </c>
      <c r="Z494" s="19">
        <v>84460554</v>
      </c>
      <c r="AA494">
        <v>540</v>
      </c>
      <c r="AB494">
        <v>60</v>
      </c>
      <c r="AC494" t="s">
        <v>146</v>
      </c>
      <c r="AD494">
        <v>200</v>
      </c>
      <c r="AE494">
        <f t="shared" si="8"/>
        <v>413184</v>
      </c>
    </row>
    <row r="495" spans="1:31" x14ac:dyDescent="0.25">
      <c r="A495">
        <v>252463</v>
      </c>
      <c r="B495" t="s">
        <v>708</v>
      </c>
      <c r="C495" t="s">
        <v>256</v>
      </c>
      <c r="F495" t="s">
        <v>34</v>
      </c>
      <c r="H495" t="s">
        <v>36</v>
      </c>
      <c r="I495" t="s">
        <v>36</v>
      </c>
      <c r="J495">
        <v>1</v>
      </c>
      <c r="K495" t="s">
        <v>37</v>
      </c>
      <c r="L495">
        <v>216</v>
      </c>
      <c r="N495">
        <v>0</v>
      </c>
      <c r="P495">
        <v>0</v>
      </c>
      <c r="Q495">
        <v>0.09</v>
      </c>
      <c r="R495">
        <v>0</v>
      </c>
      <c r="S495" t="s">
        <v>38</v>
      </c>
      <c r="T495">
        <v>6</v>
      </c>
      <c r="U495">
        <v>3</v>
      </c>
      <c r="V495">
        <v>9</v>
      </c>
      <c r="W495">
        <v>0.09</v>
      </c>
      <c r="X495">
        <v>0.13</v>
      </c>
      <c r="Y495">
        <v>0</v>
      </c>
      <c r="Z495" s="19">
        <v>8906009372211</v>
      </c>
      <c r="AA495" s="12">
        <v>1095</v>
      </c>
      <c r="AB495">
        <v>45</v>
      </c>
      <c r="AC495" t="s">
        <v>709</v>
      </c>
      <c r="AD495">
        <v>216</v>
      </c>
      <c r="AE495">
        <f t="shared" si="8"/>
        <v>252463</v>
      </c>
    </row>
    <row r="496" spans="1:31" x14ac:dyDescent="0.25">
      <c r="A496">
        <v>367291</v>
      </c>
      <c r="B496" t="s">
        <v>710</v>
      </c>
      <c r="C496" t="s">
        <v>504</v>
      </c>
      <c r="D496" t="s">
        <v>91</v>
      </c>
      <c r="F496" t="s">
        <v>86</v>
      </c>
      <c r="H496" t="s">
        <v>36</v>
      </c>
      <c r="I496" t="s">
        <v>36</v>
      </c>
      <c r="J496">
        <v>1</v>
      </c>
      <c r="K496" t="s">
        <v>37</v>
      </c>
      <c r="L496">
        <v>4</v>
      </c>
      <c r="N496">
        <v>0</v>
      </c>
      <c r="P496">
        <v>0</v>
      </c>
      <c r="Q496">
        <v>0.52</v>
      </c>
      <c r="R496">
        <v>0</v>
      </c>
      <c r="S496" t="s">
        <v>38</v>
      </c>
      <c r="T496">
        <v>16.5</v>
      </c>
      <c r="U496">
        <v>7.5</v>
      </c>
      <c r="V496">
        <v>14</v>
      </c>
      <c r="W496">
        <v>0.33900000000000002</v>
      </c>
      <c r="X496">
        <v>0.42499999999999999</v>
      </c>
      <c r="Y496">
        <v>0</v>
      </c>
      <c r="Z496" s="19">
        <v>1800000017409</v>
      </c>
      <c r="AA496">
        <v>365</v>
      </c>
      <c r="AB496">
        <v>30</v>
      </c>
      <c r="AC496" t="s">
        <v>88</v>
      </c>
      <c r="AD496">
        <v>4</v>
      </c>
      <c r="AE496">
        <f t="shared" si="8"/>
        <v>367291</v>
      </c>
    </row>
    <row r="497" spans="1:31" x14ac:dyDescent="0.25">
      <c r="A497">
        <v>367292</v>
      </c>
      <c r="B497" t="s">
        <v>711</v>
      </c>
      <c r="C497" t="s">
        <v>504</v>
      </c>
      <c r="D497" t="s">
        <v>91</v>
      </c>
      <c r="F497" t="s">
        <v>86</v>
      </c>
      <c r="H497" t="s">
        <v>36</v>
      </c>
      <c r="I497" t="s">
        <v>36</v>
      </c>
      <c r="J497">
        <v>1</v>
      </c>
      <c r="K497" t="s">
        <v>37</v>
      </c>
      <c r="L497">
        <v>2</v>
      </c>
      <c r="N497">
        <v>0</v>
      </c>
      <c r="P497">
        <v>0</v>
      </c>
      <c r="Q497">
        <v>1.01</v>
      </c>
      <c r="R497">
        <v>0</v>
      </c>
      <c r="S497" t="s">
        <v>38</v>
      </c>
      <c r="T497">
        <v>10.8</v>
      </c>
      <c r="U497">
        <v>6</v>
      </c>
      <c r="V497">
        <v>3</v>
      </c>
      <c r="W497">
        <v>0.67700000000000005</v>
      </c>
      <c r="X497">
        <v>0.85</v>
      </c>
      <c r="Y497">
        <v>0</v>
      </c>
      <c r="Z497" s="19">
        <v>1800000017508</v>
      </c>
      <c r="AA497">
        <v>375</v>
      </c>
      <c r="AB497">
        <v>45</v>
      </c>
      <c r="AC497" t="s">
        <v>88</v>
      </c>
      <c r="AD497">
        <v>2</v>
      </c>
      <c r="AE497">
        <f t="shared" si="8"/>
        <v>367292</v>
      </c>
    </row>
    <row r="498" spans="1:31" x14ac:dyDescent="0.25">
      <c r="A498">
        <v>410209</v>
      </c>
      <c r="B498" t="s">
        <v>712</v>
      </c>
      <c r="C498" t="s">
        <v>509</v>
      </c>
      <c r="F498" t="s">
        <v>103</v>
      </c>
      <c r="G498">
        <v>9001839</v>
      </c>
      <c r="H498" t="s">
        <v>36</v>
      </c>
      <c r="I498" t="s">
        <v>36</v>
      </c>
      <c r="J498">
        <v>1</v>
      </c>
      <c r="K498" t="s">
        <v>37</v>
      </c>
      <c r="L498">
        <v>12</v>
      </c>
      <c r="N498">
        <v>0</v>
      </c>
      <c r="P498">
        <v>0</v>
      </c>
      <c r="Q498">
        <v>0.68</v>
      </c>
      <c r="R498">
        <v>0</v>
      </c>
      <c r="S498" t="s">
        <v>38</v>
      </c>
      <c r="T498">
        <v>10.6</v>
      </c>
      <c r="U498">
        <v>9</v>
      </c>
      <c r="V498">
        <v>20.5</v>
      </c>
      <c r="W498">
        <v>0.81</v>
      </c>
      <c r="X498">
        <v>1.012</v>
      </c>
      <c r="Y498">
        <v>0</v>
      </c>
      <c r="Z498" s="19">
        <v>8901063166899</v>
      </c>
      <c r="AA498">
        <v>365</v>
      </c>
      <c r="AB498">
        <v>25</v>
      </c>
      <c r="AC498" t="s">
        <v>630</v>
      </c>
      <c r="AD498">
        <v>12</v>
      </c>
      <c r="AE498">
        <f t="shared" si="8"/>
        <v>410209</v>
      </c>
    </row>
    <row r="499" spans="1:31" x14ac:dyDescent="0.25">
      <c r="A499">
        <v>413396</v>
      </c>
      <c r="B499" t="s">
        <v>713</v>
      </c>
      <c r="C499" t="s">
        <v>509</v>
      </c>
      <c r="D499" t="s">
        <v>91</v>
      </c>
      <c r="F499" t="s">
        <v>34</v>
      </c>
      <c r="G499">
        <v>9002931</v>
      </c>
      <c r="H499" t="s">
        <v>36</v>
      </c>
      <c r="I499" t="s">
        <v>36</v>
      </c>
      <c r="J499">
        <v>1</v>
      </c>
      <c r="K499" t="s">
        <v>37</v>
      </c>
      <c r="L499">
        <v>24</v>
      </c>
      <c r="N499">
        <v>0</v>
      </c>
      <c r="P499">
        <v>0</v>
      </c>
      <c r="Q499">
        <v>0.09</v>
      </c>
      <c r="R499">
        <v>0</v>
      </c>
      <c r="S499" t="s">
        <v>38</v>
      </c>
      <c r="T499">
        <v>15.5</v>
      </c>
      <c r="U499">
        <v>6</v>
      </c>
      <c r="V499">
        <v>5</v>
      </c>
      <c r="W499">
        <v>0.26100000000000001</v>
      </c>
      <c r="X499">
        <v>0.32600000000000001</v>
      </c>
      <c r="Y499">
        <v>0</v>
      </c>
      <c r="Z499" s="19">
        <v>8901063151543</v>
      </c>
      <c r="AA499">
        <v>365</v>
      </c>
      <c r="AB499">
        <v>30</v>
      </c>
      <c r="AC499" t="s">
        <v>630</v>
      </c>
      <c r="AD499">
        <v>24</v>
      </c>
      <c r="AE499">
        <f t="shared" si="8"/>
        <v>413396</v>
      </c>
    </row>
    <row r="500" spans="1:31" x14ac:dyDescent="0.25">
      <c r="A500">
        <v>413696</v>
      </c>
      <c r="B500" t="s">
        <v>714</v>
      </c>
      <c r="C500" t="s">
        <v>509</v>
      </c>
      <c r="D500" t="s">
        <v>91</v>
      </c>
      <c r="F500" t="s">
        <v>86</v>
      </c>
      <c r="H500" t="s">
        <v>36</v>
      </c>
      <c r="I500" t="s">
        <v>36</v>
      </c>
      <c r="J500">
        <v>1</v>
      </c>
      <c r="K500" t="s">
        <v>37</v>
      </c>
      <c r="L500">
        <v>8</v>
      </c>
      <c r="N500">
        <v>0</v>
      </c>
      <c r="P500">
        <v>0</v>
      </c>
      <c r="Q500">
        <v>0</v>
      </c>
      <c r="R500">
        <v>0</v>
      </c>
      <c r="S500" t="s">
        <v>38</v>
      </c>
      <c r="T500">
        <v>0</v>
      </c>
      <c r="U500">
        <v>0</v>
      </c>
      <c r="V500">
        <v>0</v>
      </c>
      <c r="W500">
        <v>1.0640000000000001</v>
      </c>
      <c r="X500">
        <v>1.33</v>
      </c>
      <c r="Y500">
        <v>0</v>
      </c>
      <c r="Z500" s="19">
        <v>1800000025305</v>
      </c>
      <c r="AA500">
        <v>365</v>
      </c>
      <c r="AB500">
        <v>30</v>
      </c>
      <c r="AC500" t="s">
        <v>635</v>
      </c>
      <c r="AD500">
        <v>8</v>
      </c>
      <c r="AE500">
        <f t="shared" si="8"/>
        <v>413696</v>
      </c>
    </row>
    <row r="501" spans="1:31" x14ac:dyDescent="0.25">
      <c r="A501">
        <v>413697</v>
      </c>
      <c r="B501" t="s">
        <v>715</v>
      </c>
      <c r="C501" t="s">
        <v>504</v>
      </c>
      <c r="D501" t="s">
        <v>91</v>
      </c>
      <c r="F501" t="s">
        <v>86</v>
      </c>
      <c r="H501" t="s">
        <v>36</v>
      </c>
      <c r="I501" t="s">
        <v>36</v>
      </c>
      <c r="J501">
        <v>1</v>
      </c>
      <c r="K501" t="s">
        <v>37</v>
      </c>
      <c r="L501">
        <v>6</v>
      </c>
      <c r="N501">
        <v>0</v>
      </c>
      <c r="P501">
        <v>0</v>
      </c>
      <c r="Q501">
        <v>0</v>
      </c>
      <c r="R501">
        <v>0</v>
      </c>
      <c r="S501" t="s">
        <v>38</v>
      </c>
      <c r="T501">
        <v>0</v>
      </c>
      <c r="U501">
        <v>0</v>
      </c>
      <c r="V501">
        <v>0</v>
      </c>
      <c r="W501">
        <v>0.66</v>
      </c>
      <c r="X501">
        <v>0.82599999999999996</v>
      </c>
      <c r="Y501">
        <v>0</v>
      </c>
      <c r="Z501" s="19">
        <v>1800000025404</v>
      </c>
      <c r="AA501">
        <v>365</v>
      </c>
      <c r="AB501">
        <v>30</v>
      </c>
      <c r="AC501" t="s">
        <v>635</v>
      </c>
      <c r="AD501">
        <v>6</v>
      </c>
      <c r="AE501">
        <f t="shared" si="8"/>
        <v>413697</v>
      </c>
    </row>
    <row r="502" spans="1:31" x14ac:dyDescent="0.25">
      <c r="A502">
        <v>94947</v>
      </c>
      <c r="B502" t="s">
        <v>716</v>
      </c>
      <c r="C502" t="s">
        <v>509</v>
      </c>
      <c r="E502" t="s">
        <v>717</v>
      </c>
      <c r="F502" t="s">
        <v>34</v>
      </c>
      <c r="H502" t="s">
        <v>177</v>
      </c>
      <c r="I502" t="s">
        <v>36</v>
      </c>
      <c r="J502">
        <v>1</v>
      </c>
      <c r="K502" t="s">
        <v>37</v>
      </c>
      <c r="L502">
        <v>60</v>
      </c>
      <c r="M502" t="s">
        <v>177</v>
      </c>
      <c r="N502">
        <v>1</v>
      </c>
      <c r="O502" t="s">
        <v>93</v>
      </c>
      <c r="P502" s="12">
        <v>10000</v>
      </c>
      <c r="Q502">
        <v>0.105</v>
      </c>
      <c r="R502">
        <v>0.1</v>
      </c>
      <c r="S502" t="s">
        <v>38</v>
      </c>
      <c r="T502">
        <v>0</v>
      </c>
      <c r="U502">
        <v>0</v>
      </c>
      <c r="V502">
        <v>0</v>
      </c>
      <c r="W502">
        <v>0.13300000000000001</v>
      </c>
      <c r="X502">
        <v>0.2</v>
      </c>
      <c r="Y502">
        <v>0</v>
      </c>
      <c r="Z502" s="19">
        <v>8901063030022</v>
      </c>
      <c r="AA502">
        <v>365</v>
      </c>
      <c r="AB502">
        <v>93</v>
      </c>
      <c r="AC502" t="s">
        <v>88</v>
      </c>
      <c r="AD502">
        <v>60</v>
      </c>
      <c r="AE502">
        <f t="shared" si="8"/>
        <v>94947</v>
      </c>
    </row>
    <row r="503" spans="1:31" x14ac:dyDescent="0.25">
      <c r="A503">
        <v>164457</v>
      </c>
      <c r="B503" t="s">
        <v>718</v>
      </c>
      <c r="C503" t="s">
        <v>509</v>
      </c>
      <c r="E503">
        <v>95893</v>
      </c>
      <c r="F503" t="s">
        <v>34</v>
      </c>
      <c r="G503">
        <v>393907</v>
      </c>
      <c r="H503" t="s">
        <v>87</v>
      </c>
      <c r="I503" t="s">
        <v>36</v>
      </c>
      <c r="J503">
        <v>1</v>
      </c>
      <c r="K503" t="s">
        <v>37</v>
      </c>
      <c r="L503">
        <v>6</v>
      </c>
      <c r="M503" t="s">
        <v>87</v>
      </c>
      <c r="N503">
        <v>1</v>
      </c>
      <c r="O503" t="s">
        <v>93</v>
      </c>
      <c r="P503" s="12">
        <v>1250</v>
      </c>
      <c r="Q503">
        <v>0.75</v>
      </c>
      <c r="R503">
        <v>0.8</v>
      </c>
      <c r="S503" t="s">
        <v>38</v>
      </c>
      <c r="T503">
        <v>20</v>
      </c>
      <c r="U503">
        <v>4</v>
      </c>
      <c r="V503">
        <v>28</v>
      </c>
      <c r="W503">
        <v>0.84899999999999998</v>
      </c>
      <c r="X503">
        <v>1.0620000000000001</v>
      </c>
      <c r="Y503">
        <v>0</v>
      </c>
      <c r="Z503" s="19">
        <v>6291007901559</v>
      </c>
      <c r="AA503">
        <v>365</v>
      </c>
      <c r="AB503">
        <v>30</v>
      </c>
      <c r="AC503" t="s">
        <v>625</v>
      </c>
      <c r="AD503">
        <v>6</v>
      </c>
      <c r="AE503">
        <f t="shared" si="8"/>
        <v>164457</v>
      </c>
    </row>
    <row r="504" spans="1:31" x14ac:dyDescent="0.25">
      <c r="A504">
        <v>198523</v>
      </c>
      <c r="B504" t="s">
        <v>719</v>
      </c>
      <c r="C504" t="s">
        <v>232</v>
      </c>
      <c r="D504" t="s">
        <v>91</v>
      </c>
      <c r="F504" t="s">
        <v>86</v>
      </c>
      <c r="H504" t="s">
        <v>87</v>
      </c>
      <c r="I504" t="s">
        <v>36</v>
      </c>
      <c r="J504">
        <v>1</v>
      </c>
      <c r="K504" t="s">
        <v>37</v>
      </c>
      <c r="L504">
        <v>4</v>
      </c>
      <c r="M504" t="s">
        <v>87</v>
      </c>
      <c r="N504">
        <v>1</v>
      </c>
      <c r="P504">
        <v>0</v>
      </c>
      <c r="Q504">
        <v>0.3</v>
      </c>
      <c r="R504">
        <v>0</v>
      </c>
      <c r="S504" t="s">
        <v>38</v>
      </c>
      <c r="T504">
        <v>11.5</v>
      </c>
      <c r="U504">
        <v>7.5</v>
      </c>
      <c r="V504">
        <v>9</v>
      </c>
      <c r="W504">
        <v>0.63</v>
      </c>
      <c r="X504">
        <v>0.9</v>
      </c>
      <c r="Y504">
        <v>0</v>
      </c>
      <c r="Z504" s="19">
        <v>1800000007417</v>
      </c>
      <c r="AA504">
        <v>450</v>
      </c>
      <c r="AB504">
        <v>60</v>
      </c>
      <c r="AC504" t="s">
        <v>146</v>
      </c>
      <c r="AD504">
        <v>4</v>
      </c>
      <c r="AE504">
        <f t="shared" si="8"/>
        <v>198523</v>
      </c>
    </row>
    <row r="505" spans="1:31" x14ac:dyDescent="0.25">
      <c r="A505">
        <v>351376</v>
      </c>
      <c r="B505" t="s">
        <v>720</v>
      </c>
      <c r="C505" t="s">
        <v>143</v>
      </c>
      <c r="D505" t="s">
        <v>91</v>
      </c>
      <c r="F505" t="s">
        <v>34</v>
      </c>
      <c r="G505">
        <v>639290</v>
      </c>
      <c r="H505" t="s">
        <v>36</v>
      </c>
      <c r="I505" t="s">
        <v>36</v>
      </c>
      <c r="J505">
        <v>1</v>
      </c>
      <c r="K505" t="s">
        <v>37</v>
      </c>
      <c r="L505">
        <v>40</v>
      </c>
      <c r="N505">
        <v>0</v>
      </c>
      <c r="P505">
        <v>0</v>
      </c>
      <c r="Q505">
        <v>0.08</v>
      </c>
      <c r="R505">
        <v>0</v>
      </c>
      <c r="S505" t="s">
        <v>38</v>
      </c>
      <c r="T505">
        <v>15</v>
      </c>
      <c r="U505">
        <v>1</v>
      </c>
      <c r="V505">
        <v>17</v>
      </c>
      <c r="W505">
        <v>0.24</v>
      </c>
      <c r="X505">
        <v>0.41499999999999998</v>
      </c>
      <c r="Y505">
        <v>0</v>
      </c>
      <c r="Z505" s="19">
        <v>6921211117094</v>
      </c>
      <c r="AA505">
        <v>540</v>
      </c>
      <c r="AB505">
        <v>90</v>
      </c>
      <c r="AC505" t="s">
        <v>146</v>
      </c>
      <c r="AD505">
        <v>40</v>
      </c>
      <c r="AE505">
        <f t="shared" ref="AE505:AE513" si="9">A505</f>
        <v>351376</v>
      </c>
    </row>
    <row r="506" spans="1:31" x14ac:dyDescent="0.25">
      <c r="A506">
        <v>351377</v>
      </c>
      <c r="B506" t="s">
        <v>721</v>
      </c>
      <c r="C506" t="s">
        <v>143</v>
      </c>
      <c r="D506" t="s">
        <v>91</v>
      </c>
      <c r="F506" t="s">
        <v>34</v>
      </c>
      <c r="G506">
        <v>639289</v>
      </c>
      <c r="H506" t="s">
        <v>36</v>
      </c>
      <c r="I506" t="s">
        <v>36</v>
      </c>
      <c r="J506">
        <v>1</v>
      </c>
      <c r="K506" t="s">
        <v>37</v>
      </c>
      <c r="L506">
        <v>40</v>
      </c>
      <c r="N506">
        <v>0</v>
      </c>
      <c r="P506">
        <v>0</v>
      </c>
      <c r="Q506">
        <v>0.08</v>
      </c>
      <c r="R506">
        <v>0</v>
      </c>
      <c r="S506" t="s">
        <v>38</v>
      </c>
      <c r="T506">
        <v>15</v>
      </c>
      <c r="U506">
        <v>1</v>
      </c>
      <c r="V506">
        <v>17</v>
      </c>
      <c r="W506">
        <v>0.24</v>
      </c>
      <c r="X506">
        <v>0.41499999999999998</v>
      </c>
      <c r="Y506">
        <v>0</v>
      </c>
      <c r="Z506" s="19">
        <v>6921211118121</v>
      </c>
      <c r="AA506">
        <v>540</v>
      </c>
      <c r="AB506">
        <v>90</v>
      </c>
      <c r="AC506" t="s">
        <v>146</v>
      </c>
      <c r="AD506">
        <v>40</v>
      </c>
      <c r="AE506">
        <f t="shared" si="9"/>
        <v>351377</v>
      </c>
    </row>
    <row r="507" spans="1:31" x14ac:dyDescent="0.25">
      <c r="A507">
        <v>362953</v>
      </c>
      <c r="B507" t="s">
        <v>722</v>
      </c>
      <c r="C507" t="s">
        <v>398</v>
      </c>
      <c r="F507" t="s">
        <v>34</v>
      </c>
      <c r="H507" t="s">
        <v>36</v>
      </c>
      <c r="I507" t="s">
        <v>36</v>
      </c>
      <c r="J507">
        <v>1</v>
      </c>
      <c r="K507" t="s">
        <v>37</v>
      </c>
      <c r="L507">
        <v>120</v>
      </c>
      <c r="N507">
        <v>0</v>
      </c>
      <c r="P507">
        <v>0</v>
      </c>
      <c r="Q507">
        <v>0.12</v>
      </c>
      <c r="R507">
        <v>0</v>
      </c>
      <c r="S507" t="s">
        <v>38</v>
      </c>
      <c r="T507">
        <v>1.8</v>
      </c>
      <c r="U507">
        <v>1.4</v>
      </c>
      <c r="V507">
        <v>6.8</v>
      </c>
      <c r="W507">
        <v>0.41599999999999998</v>
      </c>
      <c r="X507">
        <v>0.52</v>
      </c>
      <c r="Y507">
        <v>0</v>
      </c>
      <c r="Z507" s="19">
        <v>8906038782043</v>
      </c>
      <c r="AA507">
        <v>730</v>
      </c>
      <c r="AB507">
        <v>60</v>
      </c>
      <c r="AC507" t="s">
        <v>399</v>
      </c>
      <c r="AD507">
        <v>120</v>
      </c>
      <c r="AE507">
        <f t="shared" si="9"/>
        <v>362953</v>
      </c>
    </row>
    <row r="508" spans="1:31" x14ac:dyDescent="0.25">
      <c r="A508">
        <v>415024</v>
      </c>
      <c r="B508" t="s">
        <v>723</v>
      </c>
      <c r="C508" t="s">
        <v>509</v>
      </c>
      <c r="D508" t="s">
        <v>91</v>
      </c>
      <c r="F508" t="s">
        <v>103</v>
      </c>
      <c r="G508">
        <v>9003050</v>
      </c>
      <c r="H508" t="s">
        <v>87</v>
      </c>
      <c r="I508" t="s">
        <v>37</v>
      </c>
      <c r="J508">
        <v>8</v>
      </c>
      <c r="K508" t="s">
        <v>87</v>
      </c>
      <c r="L508">
        <v>1</v>
      </c>
      <c r="N508">
        <v>0</v>
      </c>
      <c r="P508">
        <v>0</v>
      </c>
      <c r="Q508">
        <v>0</v>
      </c>
      <c r="R508">
        <v>0</v>
      </c>
      <c r="S508" t="s">
        <v>38</v>
      </c>
      <c r="T508">
        <v>0</v>
      </c>
      <c r="U508">
        <v>0</v>
      </c>
      <c r="V508">
        <v>0</v>
      </c>
      <c r="W508">
        <v>0.72599999999999998</v>
      </c>
      <c r="X508">
        <v>0.90700000000000003</v>
      </c>
      <c r="Y508">
        <v>0</v>
      </c>
      <c r="AA508">
        <v>365</v>
      </c>
      <c r="AB508">
        <v>30</v>
      </c>
      <c r="AC508" t="s">
        <v>630</v>
      </c>
      <c r="AD508">
        <v>8</v>
      </c>
      <c r="AE508">
        <f t="shared" si="9"/>
        <v>415024</v>
      </c>
    </row>
    <row r="509" spans="1:31" x14ac:dyDescent="0.25">
      <c r="A509">
        <v>164456</v>
      </c>
      <c r="B509" t="s">
        <v>724</v>
      </c>
      <c r="C509" t="s">
        <v>509</v>
      </c>
      <c r="E509">
        <v>95889</v>
      </c>
      <c r="F509" t="s">
        <v>34</v>
      </c>
      <c r="G509">
        <v>393940</v>
      </c>
      <c r="H509" t="s">
        <v>87</v>
      </c>
      <c r="I509" t="s">
        <v>36</v>
      </c>
      <c r="J509">
        <v>1</v>
      </c>
      <c r="K509" t="s">
        <v>37</v>
      </c>
      <c r="L509">
        <v>8</v>
      </c>
      <c r="M509" t="s">
        <v>87</v>
      </c>
      <c r="N509">
        <v>1</v>
      </c>
      <c r="O509" t="s">
        <v>93</v>
      </c>
      <c r="P509" s="12">
        <v>16667</v>
      </c>
      <c r="Q509">
        <v>0.66</v>
      </c>
      <c r="R509">
        <v>0.6</v>
      </c>
      <c r="S509" t="s">
        <v>38</v>
      </c>
      <c r="T509">
        <v>20</v>
      </c>
      <c r="U509">
        <v>6</v>
      </c>
      <c r="V509">
        <v>26</v>
      </c>
      <c r="W509">
        <v>0.68</v>
      </c>
      <c r="X509">
        <v>0.85</v>
      </c>
      <c r="Y509">
        <v>0</v>
      </c>
      <c r="Z509" s="19">
        <v>6291007901603</v>
      </c>
      <c r="AA509">
        <v>365</v>
      </c>
      <c r="AB509">
        <v>29</v>
      </c>
      <c r="AC509" t="s">
        <v>625</v>
      </c>
      <c r="AD509">
        <v>8</v>
      </c>
      <c r="AE509">
        <f t="shared" si="9"/>
        <v>164456</v>
      </c>
    </row>
    <row r="510" spans="1:31" x14ac:dyDescent="0.25">
      <c r="A510">
        <v>347940</v>
      </c>
      <c r="B510" t="s">
        <v>725</v>
      </c>
      <c r="C510" t="s">
        <v>509</v>
      </c>
      <c r="D510" t="s">
        <v>91</v>
      </c>
      <c r="F510" t="s">
        <v>103</v>
      </c>
      <c r="G510">
        <v>990361</v>
      </c>
      <c r="H510" t="s">
        <v>36</v>
      </c>
      <c r="I510" t="s">
        <v>36</v>
      </c>
      <c r="J510">
        <v>1</v>
      </c>
      <c r="K510" t="s">
        <v>37</v>
      </c>
      <c r="L510">
        <v>4</v>
      </c>
      <c r="N510">
        <v>0</v>
      </c>
      <c r="P510">
        <v>0</v>
      </c>
      <c r="Q510">
        <v>1.04</v>
      </c>
      <c r="R510">
        <v>0</v>
      </c>
      <c r="S510" t="s">
        <v>38</v>
      </c>
      <c r="T510">
        <v>16.5</v>
      </c>
      <c r="U510">
        <v>12.5</v>
      </c>
      <c r="V510">
        <v>23.5</v>
      </c>
      <c r="W510">
        <v>1.226</v>
      </c>
      <c r="X510">
        <v>1.532</v>
      </c>
      <c r="Y510">
        <v>0</v>
      </c>
      <c r="Z510" s="19">
        <v>6291007905403</v>
      </c>
      <c r="AA510">
        <v>365</v>
      </c>
      <c r="AB510">
        <v>30</v>
      </c>
      <c r="AC510" t="s">
        <v>630</v>
      </c>
      <c r="AD510">
        <v>4</v>
      </c>
      <c r="AE510">
        <f t="shared" si="9"/>
        <v>347940</v>
      </c>
    </row>
    <row r="511" spans="1:31" x14ac:dyDescent="0.25">
      <c r="A511">
        <v>415580</v>
      </c>
      <c r="B511" t="s">
        <v>726</v>
      </c>
      <c r="C511" t="s">
        <v>509</v>
      </c>
      <c r="D511" t="s">
        <v>91</v>
      </c>
      <c r="F511" t="s">
        <v>34</v>
      </c>
      <c r="G511">
        <v>9003031</v>
      </c>
      <c r="H511" t="s">
        <v>36</v>
      </c>
      <c r="I511" t="s">
        <v>36</v>
      </c>
      <c r="J511">
        <v>1</v>
      </c>
      <c r="K511" t="s">
        <v>37</v>
      </c>
      <c r="L511">
        <v>24</v>
      </c>
      <c r="N511">
        <v>0</v>
      </c>
      <c r="P511">
        <v>0</v>
      </c>
      <c r="Q511">
        <v>0.25</v>
      </c>
      <c r="R511">
        <v>0</v>
      </c>
      <c r="S511" t="s">
        <v>38</v>
      </c>
      <c r="T511">
        <v>17</v>
      </c>
      <c r="U511">
        <v>15</v>
      </c>
      <c r="V511">
        <v>4</v>
      </c>
      <c r="W511">
        <v>0.32300000000000001</v>
      </c>
      <c r="X511">
        <v>0.40400000000000003</v>
      </c>
      <c r="Y511">
        <v>0</v>
      </c>
      <c r="Z511" s="19">
        <v>8901063152427</v>
      </c>
      <c r="AA511">
        <v>365</v>
      </c>
      <c r="AB511">
        <v>30</v>
      </c>
      <c r="AC511" t="s">
        <v>630</v>
      </c>
      <c r="AD511">
        <v>24</v>
      </c>
      <c r="AE511">
        <f t="shared" si="9"/>
        <v>415580</v>
      </c>
    </row>
    <row r="512" spans="1:31" x14ac:dyDescent="0.25">
      <c r="A512">
        <v>384460</v>
      </c>
      <c r="B512" t="s">
        <v>606</v>
      </c>
      <c r="C512" t="s">
        <v>509</v>
      </c>
      <c r="D512" t="s">
        <v>91</v>
      </c>
      <c r="F512" t="s">
        <v>103</v>
      </c>
      <c r="H512" t="s">
        <v>36</v>
      </c>
      <c r="I512" t="s">
        <v>36</v>
      </c>
      <c r="J512">
        <v>1</v>
      </c>
      <c r="K512" t="s">
        <v>37</v>
      </c>
      <c r="L512">
        <v>8</v>
      </c>
      <c r="N512">
        <v>0</v>
      </c>
      <c r="P512">
        <v>0</v>
      </c>
      <c r="Q512">
        <v>0.69</v>
      </c>
      <c r="R512">
        <v>0</v>
      </c>
      <c r="S512" t="s">
        <v>38</v>
      </c>
      <c r="T512">
        <v>10.199999999999999</v>
      </c>
      <c r="U512">
        <v>7</v>
      </c>
      <c r="V512">
        <v>20.2</v>
      </c>
      <c r="W512">
        <v>0.69199999999999995</v>
      </c>
      <c r="X512">
        <v>0.87</v>
      </c>
      <c r="Y512">
        <v>0</v>
      </c>
      <c r="Z512" s="19">
        <v>6291007903140</v>
      </c>
      <c r="AE512">
        <f t="shared" si="9"/>
        <v>384460</v>
      </c>
    </row>
    <row r="513" spans="1:31" ht="15.75" x14ac:dyDescent="0.25">
      <c r="A513" s="26">
        <v>229186</v>
      </c>
      <c r="B513" s="26">
        <v>229186</v>
      </c>
      <c r="Z513" s="24">
        <v>80723394</v>
      </c>
      <c r="AE513">
        <f t="shared" si="9"/>
        <v>229186</v>
      </c>
    </row>
    <row r="514" spans="1:31" x14ac:dyDescent="0.25">
      <c r="A514" s="28">
        <v>324335</v>
      </c>
      <c r="B514" s="24">
        <v>8901393020564</v>
      </c>
      <c r="C514" s="27" t="s">
        <v>32</v>
      </c>
      <c r="D514" s="28">
        <v>324335</v>
      </c>
      <c r="Z514" s="24">
        <v>8901393020564</v>
      </c>
      <c r="AE514">
        <f t="shared" ref="AE514:AE552" si="10">A514</f>
        <v>324335</v>
      </c>
    </row>
    <row r="515" spans="1:31" x14ac:dyDescent="0.25">
      <c r="A515">
        <v>324336</v>
      </c>
      <c r="Z515" s="24">
        <v>8901393020557</v>
      </c>
      <c r="AE515">
        <f t="shared" si="10"/>
        <v>324336</v>
      </c>
    </row>
    <row r="516" spans="1:31" x14ac:dyDescent="0.25">
      <c r="A516" s="7">
        <v>164423</v>
      </c>
      <c r="Z516" s="24">
        <v>8410175061034</v>
      </c>
      <c r="AE516">
        <f t="shared" si="10"/>
        <v>164423</v>
      </c>
    </row>
    <row r="517" spans="1:31" x14ac:dyDescent="0.25">
      <c r="A517" s="28">
        <v>138937</v>
      </c>
      <c r="Z517" s="24">
        <v>8935001706588</v>
      </c>
      <c r="AE517">
        <f t="shared" si="10"/>
        <v>138937</v>
      </c>
    </row>
    <row r="518" spans="1:31" ht="15.75" x14ac:dyDescent="0.25">
      <c r="A518" s="26">
        <v>138940</v>
      </c>
      <c r="B518" s="24">
        <v>80756590</v>
      </c>
      <c r="C518" s="7" t="str">
        <f>IFERROR(VLOOKUP(B518,'ZDET-PRICE'!AA:AF,6,0),"")</f>
        <v/>
      </c>
      <c r="D518" s="26">
        <v>138940</v>
      </c>
      <c r="Z518" s="24">
        <v>80756590</v>
      </c>
      <c r="AE518">
        <f t="shared" si="10"/>
        <v>138940</v>
      </c>
    </row>
    <row r="519" spans="1:31" x14ac:dyDescent="0.25">
      <c r="A519" s="7">
        <v>229187</v>
      </c>
      <c r="B519" s="7" t="s">
        <v>273</v>
      </c>
      <c r="C519" s="7" t="s">
        <v>272</v>
      </c>
      <c r="D519" s="7" t="s">
        <v>91</v>
      </c>
      <c r="E519" s="7" t="s">
        <v>32</v>
      </c>
      <c r="F519" s="7" t="s">
        <v>34</v>
      </c>
      <c r="G519" s="7" t="s">
        <v>32</v>
      </c>
      <c r="H519" s="7" t="s">
        <v>36</v>
      </c>
      <c r="I519" s="7" t="s">
        <v>145</v>
      </c>
      <c r="J519" s="8">
        <v>12</v>
      </c>
      <c r="K519" s="7" t="s">
        <v>36</v>
      </c>
      <c r="L519" s="8">
        <v>1</v>
      </c>
      <c r="M519" s="7" t="s">
        <v>37</v>
      </c>
      <c r="N519" s="8">
        <v>144</v>
      </c>
      <c r="O519" s="7" t="s">
        <v>32</v>
      </c>
      <c r="P519" s="8">
        <v>0</v>
      </c>
      <c r="Q519" s="9">
        <v>0.27</v>
      </c>
      <c r="R519" s="8">
        <v>0</v>
      </c>
      <c r="S519" s="7" t="s">
        <v>38</v>
      </c>
      <c r="T519" s="9">
        <v>10.9</v>
      </c>
      <c r="U519" s="8">
        <v>9</v>
      </c>
      <c r="V519" s="9">
        <v>10.7</v>
      </c>
      <c r="W519" s="9">
        <v>0.13900000000000001</v>
      </c>
      <c r="X519" s="9">
        <v>0.188</v>
      </c>
      <c r="Y519" s="9">
        <v>0</v>
      </c>
      <c r="Z519" s="24">
        <v>3418451</v>
      </c>
      <c r="AA519" s="8">
        <v>730</v>
      </c>
      <c r="AB519" s="8">
        <v>60</v>
      </c>
      <c r="AC519" s="7" t="s">
        <v>146</v>
      </c>
      <c r="AD519" s="11">
        <v>144</v>
      </c>
      <c r="AE519">
        <f t="shared" si="10"/>
        <v>229187</v>
      </c>
    </row>
    <row r="520" spans="1:31" x14ac:dyDescent="0.25">
      <c r="A520">
        <v>164622</v>
      </c>
      <c r="B520" t="s">
        <v>526</v>
      </c>
      <c r="C520" t="s">
        <v>509</v>
      </c>
      <c r="E520">
        <v>138071</v>
      </c>
      <c r="F520" t="s">
        <v>34</v>
      </c>
      <c r="H520" t="s">
        <v>36</v>
      </c>
      <c r="I520" t="s">
        <v>36</v>
      </c>
      <c r="J520">
        <v>1</v>
      </c>
      <c r="K520" t="s">
        <v>37</v>
      </c>
      <c r="L520">
        <v>72</v>
      </c>
      <c r="N520">
        <v>0</v>
      </c>
      <c r="P520">
        <v>0</v>
      </c>
      <c r="Q520">
        <v>0.06</v>
      </c>
      <c r="R520">
        <v>0.05</v>
      </c>
      <c r="S520" t="s">
        <v>38</v>
      </c>
      <c r="T520">
        <v>12</v>
      </c>
      <c r="U520">
        <v>3</v>
      </c>
      <c r="V520">
        <v>14</v>
      </c>
      <c r="W520">
        <v>9.6000000000000002E-2</v>
      </c>
      <c r="X520">
        <v>0.12</v>
      </c>
      <c r="Y520">
        <v>0</v>
      </c>
      <c r="Z520" s="24">
        <v>311083</v>
      </c>
      <c r="AA520">
        <v>365</v>
      </c>
      <c r="AB520">
        <v>30</v>
      </c>
      <c r="AC520" t="s">
        <v>88</v>
      </c>
      <c r="AD520">
        <v>72</v>
      </c>
      <c r="AE520">
        <f t="shared" si="10"/>
        <v>164622</v>
      </c>
    </row>
    <row r="521" spans="1:31" x14ac:dyDescent="0.25">
      <c r="A521" s="7">
        <v>229186</v>
      </c>
      <c r="B521" s="7" t="s">
        <v>271</v>
      </c>
      <c r="C521" s="7" t="s">
        <v>272</v>
      </c>
      <c r="D521" s="7" t="s">
        <v>91</v>
      </c>
      <c r="E521" s="7" t="s">
        <v>32</v>
      </c>
      <c r="F521" s="7" t="s">
        <v>34</v>
      </c>
      <c r="G521" s="7" t="s">
        <v>32</v>
      </c>
      <c r="H521" s="7" t="s">
        <v>36</v>
      </c>
      <c r="I521" s="7" t="s">
        <v>145</v>
      </c>
      <c r="J521" s="8">
        <v>12</v>
      </c>
      <c r="K521" s="7" t="s">
        <v>36</v>
      </c>
      <c r="L521" s="8">
        <v>1</v>
      </c>
      <c r="M521" s="7" t="s">
        <v>37</v>
      </c>
      <c r="N521" s="8">
        <v>144</v>
      </c>
      <c r="O521" s="7" t="s">
        <v>32</v>
      </c>
      <c r="P521" s="8">
        <v>0</v>
      </c>
      <c r="Q521" s="9">
        <v>0.27</v>
      </c>
      <c r="R521" s="8">
        <v>0</v>
      </c>
      <c r="S521" s="7" t="s">
        <v>38</v>
      </c>
      <c r="T521" s="9">
        <v>10.9</v>
      </c>
      <c r="U521" s="8">
        <v>9</v>
      </c>
      <c r="V521" s="9">
        <v>10.7</v>
      </c>
      <c r="W521" s="9">
        <v>0.13900000000000001</v>
      </c>
      <c r="X521" s="9">
        <v>0.188</v>
      </c>
      <c r="Y521" s="9">
        <v>0</v>
      </c>
      <c r="Z521" s="25" t="s">
        <v>729</v>
      </c>
      <c r="AA521" s="8">
        <v>730</v>
      </c>
      <c r="AB521" s="8">
        <v>60</v>
      </c>
      <c r="AC521" s="7" t="s">
        <v>146</v>
      </c>
      <c r="AD521" s="11">
        <v>144</v>
      </c>
      <c r="AE521">
        <f t="shared" si="10"/>
        <v>229186</v>
      </c>
    </row>
    <row r="522" spans="1:31" ht="15.75" x14ac:dyDescent="0.25">
      <c r="A522" s="26">
        <v>269086</v>
      </c>
      <c r="B522" s="29" t="s">
        <v>730</v>
      </c>
      <c r="Z522" s="30">
        <v>6921211114994</v>
      </c>
      <c r="AE522">
        <f t="shared" si="10"/>
        <v>269086</v>
      </c>
    </row>
    <row r="523" spans="1:31" ht="15.75" x14ac:dyDescent="0.25">
      <c r="A523" s="26">
        <v>293098</v>
      </c>
      <c r="B523" s="29" t="s">
        <v>731</v>
      </c>
      <c r="Z523" s="30">
        <v>8003440993873</v>
      </c>
      <c r="AE523">
        <f t="shared" si="10"/>
        <v>293098</v>
      </c>
    </row>
    <row r="524" spans="1:31" ht="15.75" x14ac:dyDescent="0.25">
      <c r="A524" s="26">
        <v>293099</v>
      </c>
      <c r="Z524" s="24">
        <v>8003440993897</v>
      </c>
      <c r="AE524">
        <f t="shared" si="10"/>
        <v>293099</v>
      </c>
    </row>
    <row r="525" spans="1:31" x14ac:dyDescent="0.25">
      <c r="A525" s="24">
        <v>293097</v>
      </c>
      <c r="B525" s="24">
        <v>8003440993859</v>
      </c>
      <c r="Z525" s="24">
        <v>8003440993859</v>
      </c>
      <c r="AE525">
        <f t="shared" si="10"/>
        <v>293097</v>
      </c>
    </row>
    <row r="526" spans="1:31" ht="15.75" x14ac:dyDescent="0.25">
      <c r="A526" s="26">
        <v>138950</v>
      </c>
      <c r="Z526" s="30">
        <v>80792598</v>
      </c>
      <c r="AE526">
        <f t="shared" si="10"/>
        <v>138950</v>
      </c>
    </row>
    <row r="527" spans="1:31" ht="15.75" x14ac:dyDescent="0.25">
      <c r="A527" s="26">
        <v>138939</v>
      </c>
      <c r="Z527" s="24">
        <v>80756606</v>
      </c>
      <c r="AE527">
        <f t="shared" si="10"/>
        <v>138939</v>
      </c>
    </row>
    <row r="528" spans="1:31" ht="15.75" x14ac:dyDescent="0.25">
      <c r="A528" s="26">
        <v>309771</v>
      </c>
      <c r="B528" s="30"/>
      <c r="C528" s="26"/>
      <c r="Z528" s="30">
        <v>8935001724520</v>
      </c>
      <c r="AE528">
        <f t="shared" si="10"/>
        <v>309771</v>
      </c>
    </row>
    <row r="529" spans="1:31" ht="15.75" x14ac:dyDescent="0.25">
      <c r="A529" s="26">
        <v>138938</v>
      </c>
      <c r="B529" s="30"/>
      <c r="C529" s="26"/>
      <c r="Z529" s="30">
        <v>8935001706724</v>
      </c>
      <c r="AE529">
        <f t="shared" si="10"/>
        <v>138938</v>
      </c>
    </row>
    <row r="530" spans="1:31" x14ac:dyDescent="0.25">
      <c r="A530" s="7">
        <v>176207</v>
      </c>
      <c r="B530" s="7" t="s">
        <v>239</v>
      </c>
      <c r="C530" s="7" t="s">
        <v>232</v>
      </c>
      <c r="D530" s="7" t="s">
        <v>91</v>
      </c>
      <c r="E530" s="7" t="s">
        <v>32</v>
      </c>
      <c r="F530" s="7" t="s">
        <v>34</v>
      </c>
      <c r="G530" s="7" t="s">
        <v>32</v>
      </c>
      <c r="H530" s="7" t="s">
        <v>36</v>
      </c>
      <c r="I530" s="7" t="s">
        <v>145</v>
      </c>
      <c r="J530" s="8">
        <v>25</v>
      </c>
      <c r="K530" s="7" t="s">
        <v>36</v>
      </c>
      <c r="L530" s="8">
        <v>1</v>
      </c>
      <c r="M530" s="7" t="s">
        <v>37</v>
      </c>
      <c r="N530" s="8">
        <v>300</v>
      </c>
      <c r="O530" s="7" t="s">
        <v>32</v>
      </c>
      <c r="P530" s="8">
        <v>0</v>
      </c>
      <c r="Q530" s="9">
        <v>0.03</v>
      </c>
      <c r="R530" s="8">
        <v>0</v>
      </c>
      <c r="S530" s="7" t="s">
        <v>38</v>
      </c>
      <c r="T530" s="9">
        <v>3.5</v>
      </c>
      <c r="U530" s="9">
        <v>3.5</v>
      </c>
      <c r="V530" s="8">
        <v>10</v>
      </c>
      <c r="W530" s="9">
        <v>0.111</v>
      </c>
      <c r="X530" s="9">
        <v>0.151</v>
      </c>
      <c r="Y530" s="9">
        <v>0</v>
      </c>
      <c r="Z530" s="24">
        <v>698689</v>
      </c>
      <c r="AA530" s="8">
        <v>540</v>
      </c>
      <c r="AB530" s="8">
        <v>60</v>
      </c>
      <c r="AC530" s="7" t="s">
        <v>146</v>
      </c>
      <c r="AD530" s="11">
        <v>300</v>
      </c>
      <c r="AE530">
        <f t="shared" si="10"/>
        <v>176207</v>
      </c>
    </row>
    <row r="531" spans="1:31" x14ac:dyDescent="0.25">
      <c r="A531" s="7">
        <v>182808</v>
      </c>
      <c r="B531" s="7" t="s">
        <v>250</v>
      </c>
      <c r="C531" s="7" t="s">
        <v>125</v>
      </c>
      <c r="D531" s="7" t="s">
        <v>91</v>
      </c>
      <c r="E531" s="7" t="s">
        <v>32</v>
      </c>
      <c r="F531" s="7" t="s">
        <v>34</v>
      </c>
      <c r="G531" s="7" t="s">
        <v>32</v>
      </c>
      <c r="H531" s="7" t="s">
        <v>36</v>
      </c>
      <c r="I531" s="7" t="s">
        <v>36</v>
      </c>
      <c r="J531" s="8">
        <v>1</v>
      </c>
      <c r="K531" s="7" t="s">
        <v>37</v>
      </c>
      <c r="L531" s="8">
        <v>60</v>
      </c>
      <c r="M531" s="7" t="s">
        <v>38</v>
      </c>
      <c r="N531" s="8">
        <v>9259</v>
      </c>
      <c r="O531" s="7" t="s">
        <v>93</v>
      </c>
      <c r="P531" s="8">
        <v>9259</v>
      </c>
      <c r="Q531" s="9">
        <v>0.12</v>
      </c>
      <c r="R531" s="8">
        <v>0</v>
      </c>
      <c r="S531" s="7" t="s">
        <v>38</v>
      </c>
      <c r="T531" s="9">
        <v>8.5</v>
      </c>
      <c r="U531" s="8">
        <v>2</v>
      </c>
      <c r="V531" s="8">
        <v>14</v>
      </c>
      <c r="W531" s="9">
        <v>0.49099999999999999</v>
      </c>
      <c r="X531" s="9">
        <v>0.59399999999999997</v>
      </c>
      <c r="Y531" s="9">
        <v>0</v>
      </c>
      <c r="Z531" s="24">
        <v>3073786863111</v>
      </c>
      <c r="AA531" s="8">
        <v>301</v>
      </c>
      <c r="AB531" s="8">
        <v>30</v>
      </c>
      <c r="AC531" s="7" t="s">
        <v>94</v>
      </c>
      <c r="AD531" s="11">
        <v>60</v>
      </c>
      <c r="AE531">
        <f t="shared" si="10"/>
        <v>182808</v>
      </c>
    </row>
    <row r="532" spans="1:31" x14ac:dyDescent="0.25">
      <c r="A532" s="7">
        <v>94734</v>
      </c>
      <c r="B532" s="7" t="s">
        <v>134</v>
      </c>
      <c r="C532" s="7" t="s">
        <v>130</v>
      </c>
      <c r="D532" s="7" t="s">
        <v>91</v>
      </c>
      <c r="E532" s="7" t="s">
        <v>135</v>
      </c>
      <c r="F532" s="7" t="s">
        <v>34</v>
      </c>
      <c r="G532" s="7" t="s">
        <v>32</v>
      </c>
      <c r="H532" s="7" t="s">
        <v>36</v>
      </c>
      <c r="I532" s="7" t="s">
        <v>36</v>
      </c>
      <c r="J532" s="8">
        <v>1</v>
      </c>
      <c r="K532" s="7" t="s">
        <v>37</v>
      </c>
      <c r="L532" s="8">
        <v>12</v>
      </c>
      <c r="M532" s="7" t="s">
        <v>38</v>
      </c>
      <c r="N532" s="8">
        <v>1000</v>
      </c>
      <c r="O532" s="7" t="s">
        <v>93</v>
      </c>
      <c r="P532" s="8">
        <v>10000</v>
      </c>
      <c r="Q532" s="9">
        <v>0.26</v>
      </c>
      <c r="R532" s="9">
        <v>0.1</v>
      </c>
      <c r="S532" s="7" t="s">
        <v>38</v>
      </c>
      <c r="T532" s="9">
        <v>11.5</v>
      </c>
      <c r="U532" s="9">
        <v>11.5</v>
      </c>
      <c r="V532" s="9">
        <v>3.5</v>
      </c>
      <c r="W532" s="9">
        <v>1.1040000000000001</v>
      </c>
      <c r="X532" s="9">
        <v>1.337</v>
      </c>
      <c r="Y532" s="9">
        <v>0</v>
      </c>
      <c r="Z532" s="24">
        <v>3073780965828</v>
      </c>
      <c r="AA532" s="8">
        <v>174</v>
      </c>
      <c r="AB532" s="8">
        <v>30</v>
      </c>
      <c r="AC532" s="7" t="s">
        <v>94</v>
      </c>
      <c r="AD532" s="11">
        <v>12</v>
      </c>
      <c r="AE532">
        <f t="shared" si="10"/>
        <v>94734</v>
      </c>
    </row>
    <row r="533" spans="1:31" x14ac:dyDescent="0.25">
      <c r="A533" s="7">
        <v>138940</v>
      </c>
      <c r="B533" s="7" t="s">
        <v>151</v>
      </c>
      <c r="C533" s="7" t="s">
        <v>143</v>
      </c>
      <c r="D533" s="7" t="s">
        <v>91</v>
      </c>
      <c r="E533" s="7" t="s">
        <v>32</v>
      </c>
      <c r="F533" s="7" t="s">
        <v>34</v>
      </c>
      <c r="G533" s="7" t="s">
        <v>152</v>
      </c>
      <c r="H533" s="7" t="s">
        <v>36</v>
      </c>
      <c r="I533" s="7" t="s">
        <v>145</v>
      </c>
      <c r="J533" s="8">
        <v>6</v>
      </c>
      <c r="K533" s="7" t="s">
        <v>36</v>
      </c>
      <c r="L533" s="8">
        <v>1</v>
      </c>
      <c r="M533" s="7" t="s">
        <v>37</v>
      </c>
      <c r="N533" s="8">
        <v>36</v>
      </c>
      <c r="O533" s="7" t="s">
        <v>32</v>
      </c>
      <c r="P533" s="8">
        <v>0</v>
      </c>
      <c r="Q533" s="9">
        <v>0.04</v>
      </c>
      <c r="R533" s="9">
        <v>5.6000000000000001E-2</v>
      </c>
      <c r="S533" s="7" t="s">
        <v>38</v>
      </c>
      <c r="T533" s="8">
        <v>4</v>
      </c>
      <c r="U533" s="8">
        <v>3</v>
      </c>
      <c r="V533" s="9">
        <v>8.5</v>
      </c>
      <c r="W533" s="9">
        <v>0.65700000000000003</v>
      </c>
      <c r="X533" s="9">
        <v>0.88900000000000001</v>
      </c>
      <c r="Y533" s="9">
        <v>0</v>
      </c>
      <c r="Z533" s="24">
        <v>80733294</v>
      </c>
      <c r="AA533" s="8">
        <v>540</v>
      </c>
      <c r="AB533" s="8">
        <v>60</v>
      </c>
      <c r="AC533" s="7" t="s">
        <v>146</v>
      </c>
      <c r="AD533" s="11">
        <v>36</v>
      </c>
      <c r="AE533">
        <f t="shared" si="10"/>
        <v>138940</v>
      </c>
    </row>
    <row r="534" spans="1:31" x14ac:dyDescent="0.25">
      <c r="A534" s="7">
        <v>138947</v>
      </c>
      <c r="B534" s="7" t="s">
        <v>159</v>
      </c>
      <c r="C534" s="7" t="s">
        <v>143</v>
      </c>
      <c r="D534" s="7" t="s">
        <v>91</v>
      </c>
      <c r="E534" s="7" t="s">
        <v>32</v>
      </c>
      <c r="F534" s="7" t="s">
        <v>34</v>
      </c>
      <c r="G534" s="7" t="s">
        <v>160</v>
      </c>
      <c r="H534" s="7" t="s">
        <v>36</v>
      </c>
      <c r="I534" s="7" t="s">
        <v>145</v>
      </c>
      <c r="J534" s="8">
        <v>10</v>
      </c>
      <c r="K534" s="7" t="s">
        <v>36</v>
      </c>
      <c r="L534" s="8">
        <v>1</v>
      </c>
      <c r="M534" s="7" t="s">
        <v>37</v>
      </c>
      <c r="N534" s="8">
        <v>60</v>
      </c>
      <c r="O534" s="7" t="s">
        <v>32</v>
      </c>
      <c r="P534" s="8">
        <v>0</v>
      </c>
      <c r="Q534" s="9">
        <v>0.04</v>
      </c>
      <c r="R534" s="9">
        <v>2.4E-2</v>
      </c>
      <c r="S534" s="7" t="s">
        <v>38</v>
      </c>
      <c r="T534" s="8">
        <v>2</v>
      </c>
      <c r="U534" s="8">
        <v>2</v>
      </c>
      <c r="V534" s="9">
        <v>13.5</v>
      </c>
      <c r="W534" s="9">
        <v>0.34</v>
      </c>
      <c r="X534" s="9">
        <v>0.46200000000000002</v>
      </c>
      <c r="Y534" s="9">
        <v>0</v>
      </c>
      <c r="Z534" s="24">
        <v>80756620</v>
      </c>
      <c r="AA534" s="8">
        <v>540</v>
      </c>
      <c r="AB534" s="8">
        <v>60</v>
      </c>
      <c r="AC534" s="7" t="s">
        <v>146</v>
      </c>
      <c r="AD534" s="11">
        <v>60</v>
      </c>
      <c r="AE534">
        <f t="shared" si="10"/>
        <v>138947</v>
      </c>
    </row>
    <row r="535" spans="1:31" x14ac:dyDescent="0.25">
      <c r="A535" s="7">
        <v>176198</v>
      </c>
      <c r="B535" s="7" t="s">
        <v>231</v>
      </c>
      <c r="C535" s="7" t="s">
        <v>232</v>
      </c>
      <c r="D535" s="7" t="s">
        <v>91</v>
      </c>
      <c r="E535" s="7" t="s">
        <v>32</v>
      </c>
      <c r="F535" s="7" t="s">
        <v>34</v>
      </c>
      <c r="G535" s="7" t="s">
        <v>32</v>
      </c>
      <c r="H535" s="7" t="s">
        <v>36</v>
      </c>
      <c r="I535" s="7" t="s">
        <v>145</v>
      </c>
      <c r="J535" s="8">
        <v>1</v>
      </c>
      <c r="K535" s="7" t="s">
        <v>36</v>
      </c>
      <c r="L535" s="8">
        <v>1</v>
      </c>
      <c r="M535" s="7" t="s">
        <v>37</v>
      </c>
      <c r="N535" s="8">
        <v>12</v>
      </c>
      <c r="O535" s="7" t="s">
        <v>32</v>
      </c>
      <c r="P535" s="8">
        <v>0</v>
      </c>
      <c r="Q535" s="9">
        <v>0.13</v>
      </c>
      <c r="R535" s="8">
        <v>0</v>
      </c>
      <c r="S535" s="7" t="s">
        <v>38</v>
      </c>
      <c r="T535" s="9">
        <v>15.5</v>
      </c>
      <c r="U535" s="8">
        <v>2</v>
      </c>
      <c r="V535" s="9">
        <v>17.5</v>
      </c>
      <c r="W535" s="9">
        <v>0.46</v>
      </c>
      <c r="X535" s="9">
        <v>0.625</v>
      </c>
      <c r="Y535" s="9">
        <v>0</v>
      </c>
      <c r="Z535" s="24">
        <v>2395074</v>
      </c>
      <c r="AE535">
        <f t="shared" si="10"/>
        <v>176198</v>
      </c>
    </row>
    <row r="536" spans="1:31" x14ac:dyDescent="0.25">
      <c r="A536" s="7">
        <v>176199</v>
      </c>
      <c r="B536" s="7" t="s">
        <v>233</v>
      </c>
      <c r="C536" s="7" t="s">
        <v>232</v>
      </c>
      <c r="D536" s="7" t="s">
        <v>91</v>
      </c>
      <c r="E536" s="7" t="s">
        <v>32</v>
      </c>
      <c r="F536" s="7" t="s">
        <v>34</v>
      </c>
      <c r="G536" s="7" t="s">
        <v>32</v>
      </c>
      <c r="H536" s="7" t="s">
        <v>36</v>
      </c>
      <c r="I536" s="7" t="s">
        <v>145</v>
      </c>
      <c r="J536" s="8">
        <v>1</v>
      </c>
      <c r="K536" s="7" t="s">
        <v>36</v>
      </c>
      <c r="L536" s="8">
        <v>1</v>
      </c>
      <c r="M536" s="7" t="s">
        <v>37</v>
      </c>
      <c r="N536" s="8">
        <v>12</v>
      </c>
      <c r="O536" s="7" t="s">
        <v>32</v>
      </c>
      <c r="P536" s="8">
        <v>0</v>
      </c>
      <c r="Q536" s="9">
        <v>0.13</v>
      </c>
      <c r="R536" s="8">
        <v>0</v>
      </c>
      <c r="S536" s="7" t="s">
        <v>38</v>
      </c>
      <c r="T536" s="8">
        <v>15</v>
      </c>
      <c r="U536" s="9">
        <v>2.5</v>
      </c>
      <c r="V536" s="9">
        <v>17.5</v>
      </c>
      <c r="W536" s="9">
        <v>0.46</v>
      </c>
      <c r="X536" s="9">
        <v>0.625</v>
      </c>
      <c r="Y536" s="9">
        <v>0</v>
      </c>
      <c r="Z536" s="24">
        <v>8410031923278</v>
      </c>
      <c r="AE536">
        <f t="shared" si="10"/>
        <v>176199</v>
      </c>
    </row>
    <row r="537" spans="1:31" x14ac:dyDescent="0.25">
      <c r="A537" s="7">
        <v>176206</v>
      </c>
      <c r="B537" s="7" t="s">
        <v>238</v>
      </c>
      <c r="C537" s="7" t="s">
        <v>232</v>
      </c>
      <c r="D537" s="7" t="s">
        <v>91</v>
      </c>
      <c r="E537" s="7" t="s">
        <v>32</v>
      </c>
      <c r="F537" s="7" t="s">
        <v>34</v>
      </c>
      <c r="G537" s="7" t="s">
        <v>32</v>
      </c>
      <c r="H537" s="7" t="s">
        <v>36</v>
      </c>
      <c r="I537" s="7" t="s">
        <v>145</v>
      </c>
      <c r="J537" s="8">
        <v>16</v>
      </c>
      <c r="K537" s="7" t="s">
        <v>36</v>
      </c>
      <c r="L537" s="8">
        <v>1</v>
      </c>
      <c r="M537" s="7" t="s">
        <v>37</v>
      </c>
      <c r="N537" s="8">
        <v>96</v>
      </c>
      <c r="O537" s="7" t="s">
        <v>32</v>
      </c>
      <c r="P537" s="8">
        <v>0</v>
      </c>
      <c r="Q537" s="9">
        <v>0.47</v>
      </c>
      <c r="R537" s="8">
        <v>0</v>
      </c>
      <c r="S537" s="7" t="s">
        <v>38</v>
      </c>
      <c r="T537" s="8">
        <v>20</v>
      </c>
      <c r="U537" s="9">
        <v>10.3</v>
      </c>
      <c r="V537" s="8">
        <v>10</v>
      </c>
      <c r="W537" s="9">
        <v>0.215</v>
      </c>
      <c r="X537" s="9">
        <v>0.28999999999999998</v>
      </c>
      <c r="Y537" s="9">
        <v>0</v>
      </c>
      <c r="Z537" s="24">
        <v>91853008510</v>
      </c>
      <c r="AE537">
        <f t="shared" si="10"/>
        <v>176206</v>
      </c>
    </row>
    <row r="538" spans="1:31" x14ac:dyDescent="0.25">
      <c r="A538" s="7">
        <v>229397</v>
      </c>
      <c r="B538" s="7" t="s">
        <v>282</v>
      </c>
      <c r="C538" s="7" t="s">
        <v>280</v>
      </c>
      <c r="D538" s="7" t="s">
        <v>91</v>
      </c>
      <c r="E538" s="7" t="s">
        <v>32</v>
      </c>
      <c r="F538" s="7" t="s">
        <v>34</v>
      </c>
      <c r="G538" s="7" t="s">
        <v>32</v>
      </c>
      <c r="H538" s="7" t="s">
        <v>36</v>
      </c>
      <c r="I538" s="7" t="s">
        <v>145</v>
      </c>
      <c r="J538" s="8">
        <v>20</v>
      </c>
      <c r="K538" s="7" t="s">
        <v>36</v>
      </c>
      <c r="L538" s="8">
        <v>1</v>
      </c>
      <c r="M538" s="7" t="s">
        <v>37</v>
      </c>
      <c r="N538" s="8">
        <v>240</v>
      </c>
      <c r="O538" s="7" t="s">
        <v>32</v>
      </c>
      <c r="P538" s="8">
        <v>0</v>
      </c>
      <c r="Q538" s="9">
        <v>0.04</v>
      </c>
      <c r="R538" s="8">
        <v>0</v>
      </c>
      <c r="S538" s="7" t="s">
        <v>38</v>
      </c>
      <c r="T538" s="9">
        <v>10.5</v>
      </c>
      <c r="U538" s="8">
        <v>2</v>
      </c>
      <c r="V538" s="8">
        <v>2</v>
      </c>
      <c r="W538" s="9">
        <v>0.10299999999999999</v>
      </c>
      <c r="X538" s="9">
        <v>0.13900000000000001</v>
      </c>
      <c r="Y538" s="9">
        <v>0</v>
      </c>
      <c r="Z538" s="24">
        <v>248242</v>
      </c>
      <c r="AE538">
        <f t="shared" si="10"/>
        <v>229397</v>
      </c>
    </row>
    <row r="539" spans="1:31" x14ac:dyDescent="0.25">
      <c r="A539" s="7">
        <v>351970</v>
      </c>
      <c r="B539" s="7" t="s">
        <v>369</v>
      </c>
      <c r="C539" s="7" t="s">
        <v>143</v>
      </c>
      <c r="D539" s="7" t="s">
        <v>91</v>
      </c>
      <c r="E539" s="7" t="s">
        <v>32</v>
      </c>
      <c r="F539" s="7" t="s">
        <v>34</v>
      </c>
      <c r="G539" s="7" t="s">
        <v>370</v>
      </c>
      <c r="H539" s="7" t="s">
        <v>36</v>
      </c>
      <c r="I539" s="7" t="s">
        <v>145</v>
      </c>
      <c r="J539" s="8">
        <v>40</v>
      </c>
      <c r="K539" s="7" t="s">
        <v>36</v>
      </c>
      <c r="L539" s="8">
        <v>1</v>
      </c>
      <c r="M539" s="7" t="s">
        <v>37</v>
      </c>
      <c r="N539" s="8">
        <v>240</v>
      </c>
      <c r="O539" s="7" t="s">
        <v>32</v>
      </c>
      <c r="P539" s="8">
        <v>0</v>
      </c>
      <c r="Q539" s="9">
        <v>3.7999999999999999E-2</v>
      </c>
      <c r="R539" s="8">
        <v>0</v>
      </c>
      <c r="S539" s="7" t="s">
        <v>38</v>
      </c>
      <c r="T539" s="8">
        <v>13</v>
      </c>
      <c r="U539" s="8">
        <v>2</v>
      </c>
      <c r="V539" s="8">
        <v>2</v>
      </c>
      <c r="W539" s="9">
        <v>8.6999999999999994E-2</v>
      </c>
      <c r="X539" s="9">
        <v>0.11799999999999999</v>
      </c>
      <c r="Y539" s="9">
        <v>0</v>
      </c>
      <c r="Z539" s="24">
        <v>245920</v>
      </c>
      <c r="AE539">
        <f t="shared" si="10"/>
        <v>351970</v>
      </c>
    </row>
    <row r="540" spans="1:31" x14ac:dyDescent="0.25">
      <c r="A540">
        <v>377747</v>
      </c>
      <c r="B540" t="s">
        <v>598</v>
      </c>
      <c r="C540" t="s">
        <v>509</v>
      </c>
      <c r="D540" t="s">
        <v>91</v>
      </c>
      <c r="F540" t="s">
        <v>34</v>
      </c>
      <c r="H540" t="s">
        <v>36</v>
      </c>
      <c r="I540" t="s">
        <v>36</v>
      </c>
      <c r="J540">
        <v>1</v>
      </c>
      <c r="K540" t="s">
        <v>37</v>
      </c>
      <c r="L540">
        <v>24</v>
      </c>
      <c r="N540">
        <v>0</v>
      </c>
      <c r="P540">
        <v>0</v>
      </c>
      <c r="Q540">
        <v>1.43</v>
      </c>
      <c r="R540">
        <v>0</v>
      </c>
      <c r="S540" t="s">
        <v>38</v>
      </c>
      <c r="T540">
        <v>20.100000000000001</v>
      </c>
      <c r="U540">
        <v>9</v>
      </c>
      <c r="V540">
        <v>30.1</v>
      </c>
      <c r="W540">
        <v>0.12</v>
      </c>
      <c r="X540">
        <v>0.151</v>
      </c>
      <c r="Y540">
        <v>0</v>
      </c>
      <c r="Z540" s="24">
        <v>311168</v>
      </c>
      <c r="AA540">
        <v>365</v>
      </c>
      <c r="AB540">
        <v>30</v>
      </c>
      <c r="AC540" t="s">
        <v>88</v>
      </c>
      <c r="AD540">
        <v>24</v>
      </c>
      <c r="AE540">
        <f t="shared" si="10"/>
        <v>377747</v>
      </c>
    </row>
    <row r="541" spans="1:31" x14ac:dyDescent="0.25">
      <c r="A541">
        <v>185290</v>
      </c>
      <c r="B541" t="s">
        <v>538</v>
      </c>
      <c r="C541" t="s">
        <v>504</v>
      </c>
      <c r="D541" t="s">
        <v>91</v>
      </c>
      <c r="F541" t="s">
        <v>34</v>
      </c>
      <c r="H541" t="s">
        <v>36</v>
      </c>
      <c r="I541" t="s">
        <v>36</v>
      </c>
      <c r="J541">
        <v>1</v>
      </c>
      <c r="K541" t="s">
        <v>37</v>
      </c>
      <c r="L541">
        <v>24</v>
      </c>
      <c r="N541">
        <v>0</v>
      </c>
      <c r="P541">
        <v>0</v>
      </c>
      <c r="Q541">
        <v>0.18</v>
      </c>
      <c r="R541">
        <v>0</v>
      </c>
      <c r="S541" t="s">
        <v>38</v>
      </c>
      <c r="T541">
        <v>23</v>
      </c>
      <c r="U541">
        <v>9.5</v>
      </c>
      <c r="V541">
        <v>3</v>
      </c>
      <c r="W541">
        <v>0.307</v>
      </c>
      <c r="X541">
        <v>0.38500000000000001</v>
      </c>
      <c r="Y541">
        <v>0</v>
      </c>
      <c r="Z541" s="24">
        <v>138789</v>
      </c>
      <c r="AA541">
        <v>365</v>
      </c>
      <c r="AB541">
        <v>30</v>
      </c>
      <c r="AC541" t="s">
        <v>88</v>
      </c>
      <c r="AD541">
        <v>24</v>
      </c>
      <c r="AE541">
        <f t="shared" si="10"/>
        <v>185290</v>
      </c>
    </row>
    <row r="542" spans="1:31" x14ac:dyDescent="0.25">
      <c r="A542">
        <v>348109</v>
      </c>
      <c r="B542" t="s">
        <v>570</v>
      </c>
      <c r="C542" t="s">
        <v>509</v>
      </c>
      <c r="D542" t="s">
        <v>91</v>
      </c>
      <c r="F542" t="s">
        <v>103</v>
      </c>
      <c r="H542" t="s">
        <v>36</v>
      </c>
      <c r="I542" t="s">
        <v>36</v>
      </c>
      <c r="J542">
        <v>1</v>
      </c>
      <c r="K542" t="s">
        <v>37</v>
      </c>
      <c r="L542">
        <v>6</v>
      </c>
      <c r="N542">
        <v>0</v>
      </c>
      <c r="P542">
        <v>0</v>
      </c>
      <c r="Q542">
        <v>0.92</v>
      </c>
      <c r="R542">
        <v>0</v>
      </c>
      <c r="S542" t="s">
        <v>38</v>
      </c>
      <c r="T542">
        <v>21</v>
      </c>
      <c r="U542">
        <v>7.5</v>
      </c>
      <c r="V542">
        <v>14</v>
      </c>
      <c r="W542">
        <v>0.94299999999999995</v>
      </c>
      <c r="X542">
        <v>1.18</v>
      </c>
      <c r="Y542">
        <v>0</v>
      </c>
      <c r="Z542" s="24">
        <v>6291007903096</v>
      </c>
      <c r="AA542">
        <v>365</v>
      </c>
      <c r="AB542">
        <v>30</v>
      </c>
      <c r="AC542" t="s">
        <v>88</v>
      </c>
      <c r="AD542">
        <v>6</v>
      </c>
      <c r="AE542">
        <f t="shared" si="10"/>
        <v>348109</v>
      </c>
    </row>
    <row r="543" spans="1:31" x14ac:dyDescent="0.25">
      <c r="A543" s="7">
        <v>341279</v>
      </c>
      <c r="B543" s="7" t="s">
        <v>348</v>
      </c>
      <c r="C543" s="7" t="s">
        <v>44</v>
      </c>
      <c r="D543" s="7" t="s">
        <v>32</v>
      </c>
      <c r="E543" s="7" t="s">
        <v>32</v>
      </c>
      <c r="F543" s="7" t="s">
        <v>34</v>
      </c>
      <c r="G543" s="7" t="s">
        <v>32</v>
      </c>
      <c r="H543" s="7" t="s">
        <v>36</v>
      </c>
      <c r="I543" s="7" t="s">
        <v>36</v>
      </c>
      <c r="J543" s="8">
        <v>1</v>
      </c>
      <c r="K543" s="7" t="s">
        <v>37</v>
      </c>
      <c r="L543" s="8">
        <v>20</v>
      </c>
      <c r="M543" s="7" t="s">
        <v>32</v>
      </c>
      <c r="N543" s="8">
        <v>0</v>
      </c>
      <c r="O543" s="7" t="s">
        <v>32</v>
      </c>
      <c r="P543" s="8">
        <v>0</v>
      </c>
      <c r="Q543" s="9">
        <v>0.4</v>
      </c>
      <c r="R543" s="8">
        <v>0</v>
      </c>
      <c r="S543" s="7" t="s">
        <v>38</v>
      </c>
      <c r="T543" s="8">
        <v>30</v>
      </c>
      <c r="U543" s="8">
        <v>8</v>
      </c>
      <c r="V543" s="8">
        <v>2</v>
      </c>
      <c r="W543" s="9">
        <v>0.28000000000000003</v>
      </c>
      <c r="X543" s="9">
        <v>0.38</v>
      </c>
      <c r="Y543" s="9">
        <v>0</v>
      </c>
      <c r="Z543" s="24">
        <v>4800024556103</v>
      </c>
      <c r="AA543" s="8">
        <v>729</v>
      </c>
      <c r="AB543" s="8">
        <v>45</v>
      </c>
      <c r="AC543" s="7" t="s">
        <v>47</v>
      </c>
      <c r="AD543" s="11">
        <v>20</v>
      </c>
      <c r="AE543">
        <f t="shared" si="10"/>
        <v>341279</v>
      </c>
    </row>
    <row r="544" spans="1:31" x14ac:dyDescent="0.25">
      <c r="A544" s="7">
        <v>91535</v>
      </c>
      <c r="B544" s="7" t="s">
        <v>48</v>
      </c>
      <c r="C544" s="7" t="s">
        <v>44</v>
      </c>
      <c r="D544" s="7" t="s">
        <v>32</v>
      </c>
      <c r="E544" s="7" t="s">
        <v>49</v>
      </c>
      <c r="F544" s="7" t="s">
        <v>34</v>
      </c>
      <c r="G544" s="7" t="s">
        <v>32</v>
      </c>
      <c r="H544" s="7" t="s">
        <v>46</v>
      </c>
      <c r="I544" s="7" t="s">
        <v>36</v>
      </c>
      <c r="J544" s="8">
        <v>1</v>
      </c>
      <c r="K544" s="7" t="s">
        <v>46</v>
      </c>
      <c r="L544" s="8">
        <v>1</v>
      </c>
      <c r="M544" s="7" t="s">
        <v>37</v>
      </c>
      <c r="N544" s="8">
        <v>24</v>
      </c>
      <c r="O544" s="7" t="s">
        <v>32</v>
      </c>
      <c r="P544" s="8">
        <v>0</v>
      </c>
      <c r="Q544" s="9">
        <v>0.92500000000000004</v>
      </c>
      <c r="R544" s="9">
        <v>0.82499999999999996</v>
      </c>
      <c r="S544" s="7" t="s">
        <v>38</v>
      </c>
      <c r="T544" s="8">
        <v>10</v>
      </c>
      <c r="U544" s="8">
        <v>10</v>
      </c>
      <c r="V544" s="8">
        <v>12</v>
      </c>
      <c r="W544" s="9">
        <v>0.77700000000000002</v>
      </c>
      <c r="X544" s="9">
        <v>0.92100000000000004</v>
      </c>
      <c r="Y544" s="9">
        <v>0</v>
      </c>
      <c r="Z544" s="24">
        <v>23337</v>
      </c>
      <c r="AA544" s="8">
        <v>729</v>
      </c>
      <c r="AB544" s="8">
        <v>90</v>
      </c>
      <c r="AC544" s="7" t="s">
        <v>47</v>
      </c>
      <c r="AD544" s="11">
        <v>24</v>
      </c>
      <c r="AE544">
        <f t="shared" si="10"/>
        <v>91535</v>
      </c>
    </row>
    <row r="545" spans="1:31" x14ac:dyDescent="0.25">
      <c r="A545" s="7">
        <v>91531</v>
      </c>
      <c r="B545" s="7" t="s">
        <v>43</v>
      </c>
      <c r="C545" s="7" t="s">
        <v>44</v>
      </c>
      <c r="D545" s="7" t="s">
        <v>32</v>
      </c>
      <c r="E545" s="7" t="s">
        <v>45</v>
      </c>
      <c r="F545" s="7" t="s">
        <v>34</v>
      </c>
      <c r="G545" s="7" t="s">
        <v>32</v>
      </c>
      <c r="H545" s="7" t="s">
        <v>46</v>
      </c>
      <c r="I545" s="7" t="s">
        <v>36</v>
      </c>
      <c r="J545" s="8">
        <v>1</v>
      </c>
      <c r="K545" s="7" t="s">
        <v>46</v>
      </c>
      <c r="L545" s="8">
        <v>1</v>
      </c>
      <c r="M545" s="7" t="s">
        <v>37</v>
      </c>
      <c r="N545" s="8">
        <v>24</v>
      </c>
      <c r="O545" s="7" t="s">
        <v>32</v>
      </c>
      <c r="P545" s="8">
        <v>0</v>
      </c>
      <c r="Q545" s="9">
        <v>0.5</v>
      </c>
      <c r="R545" s="9">
        <v>0.42</v>
      </c>
      <c r="S545" s="7" t="s">
        <v>38</v>
      </c>
      <c r="T545" s="9">
        <v>7.5</v>
      </c>
      <c r="U545" s="9">
        <v>7.5</v>
      </c>
      <c r="V545" s="8">
        <v>11</v>
      </c>
      <c r="W545" s="9">
        <v>0.46300000000000002</v>
      </c>
      <c r="X545" s="9">
        <v>0.57399999999999995</v>
      </c>
      <c r="Y545" s="9">
        <v>0</v>
      </c>
      <c r="Z545" s="24">
        <v>23351</v>
      </c>
      <c r="AA545" s="8">
        <v>729</v>
      </c>
      <c r="AB545" s="8">
        <v>90</v>
      </c>
      <c r="AC545" s="7" t="s">
        <v>47</v>
      </c>
      <c r="AD545" s="11">
        <v>24</v>
      </c>
      <c r="AE545">
        <f t="shared" si="10"/>
        <v>91531</v>
      </c>
    </row>
    <row r="546" spans="1:31" x14ac:dyDescent="0.25">
      <c r="A546" s="7">
        <v>356739</v>
      </c>
      <c r="B546" s="7" t="s">
        <v>381</v>
      </c>
      <c r="C546" s="7" t="s">
        <v>44</v>
      </c>
      <c r="D546" s="7" t="s">
        <v>91</v>
      </c>
      <c r="E546" s="7" t="s">
        <v>32</v>
      </c>
      <c r="F546" s="7" t="s">
        <v>86</v>
      </c>
      <c r="G546" s="7" t="s">
        <v>32</v>
      </c>
      <c r="H546" s="7" t="s">
        <v>36</v>
      </c>
      <c r="I546" s="7" t="s">
        <v>36</v>
      </c>
      <c r="J546" s="8">
        <v>1</v>
      </c>
      <c r="K546" s="7" t="s">
        <v>37</v>
      </c>
      <c r="L546" s="8">
        <v>6</v>
      </c>
      <c r="M546" s="7" t="s">
        <v>32</v>
      </c>
      <c r="N546" s="8">
        <v>0</v>
      </c>
      <c r="O546" s="7" t="s">
        <v>32</v>
      </c>
      <c r="P546" s="8">
        <v>0</v>
      </c>
      <c r="Q546" s="9">
        <v>0.25</v>
      </c>
      <c r="R546" s="8">
        <v>0</v>
      </c>
      <c r="S546" s="7" t="s">
        <v>38</v>
      </c>
      <c r="T546" s="8">
        <v>7</v>
      </c>
      <c r="U546" s="8">
        <v>7</v>
      </c>
      <c r="V546" s="8">
        <v>8</v>
      </c>
      <c r="W546" s="9">
        <v>1.4219999999999999</v>
      </c>
      <c r="X546" s="9">
        <v>1.768</v>
      </c>
      <c r="Y546" s="9">
        <v>0</v>
      </c>
      <c r="Z546" s="24">
        <v>2200000210265</v>
      </c>
      <c r="AA546" s="8">
        <v>729</v>
      </c>
      <c r="AB546" s="8">
        <v>90</v>
      </c>
      <c r="AC546" s="7" t="s">
        <v>47</v>
      </c>
      <c r="AD546" s="11">
        <v>6</v>
      </c>
      <c r="AE546">
        <f t="shared" si="10"/>
        <v>356739</v>
      </c>
    </row>
    <row r="547" spans="1:31" x14ac:dyDescent="0.25">
      <c r="A547">
        <v>357939</v>
      </c>
      <c r="B547" t="s">
        <v>574</v>
      </c>
      <c r="C547" t="s">
        <v>509</v>
      </c>
      <c r="D547" t="s">
        <v>91</v>
      </c>
      <c r="F547" t="s">
        <v>34</v>
      </c>
      <c r="H547" t="s">
        <v>36</v>
      </c>
      <c r="I547" t="s">
        <v>36</v>
      </c>
      <c r="J547">
        <v>1</v>
      </c>
      <c r="K547" t="s">
        <v>37</v>
      </c>
      <c r="L547">
        <v>24</v>
      </c>
      <c r="N547">
        <v>0</v>
      </c>
      <c r="P547">
        <v>0</v>
      </c>
      <c r="Q547">
        <v>0.1</v>
      </c>
      <c r="R547">
        <v>0</v>
      </c>
      <c r="S547" t="s">
        <v>38</v>
      </c>
      <c r="T547">
        <v>4</v>
      </c>
      <c r="U547">
        <v>4</v>
      </c>
      <c r="V547">
        <v>14</v>
      </c>
      <c r="W547">
        <v>0.154</v>
      </c>
      <c r="X547">
        <v>0.192</v>
      </c>
      <c r="Y547">
        <v>0</v>
      </c>
      <c r="Z547" s="24">
        <v>310666</v>
      </c>
      <c r="AA547">
        <v>365</v>
      </c>
      <c r="AB547">
        <v>30</v>
      </c>
      <c r="AC547" t="s">
        <v>88</v>
      </c>
      <c r="AD547">
        <v>24</v>
      </c>
      <c r="AE547">
        <f t="shared" si="10"/>
        <v>357939</v>
      </c>
    </row>
    <row r="548" spans="1:31" x14ac:dyDescent="0.25">
      <c r="A548" s="7">
        <v>164431</v>
      </c>
      <c r="B548" s="7" t="s">
        <v>210</v>
      </c>
      <c r="C548" s="7" t="s">
        <v>196</v>
      </c>
      <c r="D548" s="7" t="s">
        <v>32</v>
      </c>
      <c r="E548" s="7" t="s">
        <v>211</v>
      </c>
      <c r="F548" s="7" t="s">
        <v>34</v>
      </c>
      <c r="G548" s="7" t="s">
        <v>32</v>
      </c>
      <c r="H548" s="7" t="s">
        <v>36</v>
      </c>
      <c r="I548" s="7" t="s">
        <v>36</v>
      </c>
      <c r="J548" s="8">
        <v>1</v>
      </c>
      <c r="K548" s="7" t="s">
        <v>37</v>
      </c>
      <c r="L548" s="8">
        <v>12</v>
      </c>
      <c r="M548" s="7" t="s">
        <v>32</v>
      </c>
      <c r="N548" s="8">
        <v>0</v>
      </c>
      <c r="O548" s="7" t="s">
        <v>32</v>
      </c>
      <c r="P548" s="8">
        <v>0</v>
      </c>
      <c r="Q548" s="9">
        <v>0.23</v>
      </c>
      <c r="R548" s="8">
        <v>0</v>
      </c>
      <c r="S548" s="7" t="s">
        <v>38</v>
      </c>
      <c r="T548" s="8">
        <v>6</v>
      </c>
      <c r="U548" s="8">
        <v>6</v>
      </c>
      <c r="V548" s="8">
        <v>7</v>
      </c>
      <c r="W548" s="9">
        <v>0.34899999999999998</v>
      </c>
      <c r="X548" s="9">
        <v>0.45600000000000002</v>
      </c>
      <c r="Y548" s="9">
        <v>0</v>
      </c>
      <c r="Z548" s="24">
        <v>8410175066206</v>
      </c>
      <c r="AA548" s="8">
        <v>540</v>
      </c>
      <c r="AB548" s="8">
        <v>93</v>
      </c>
      <c r="AC548" s="7" t="s">
        <v>182</v>
      </c>
      <c r="AD548" s="11">
        <v>12</v>
      </c>
      <c r="AE548">
        <f t="shared" si="10"/>
        <v>164431</v>
      </c>
    </row>
    <row r="549" spans="1:31" x14ac:dyDescent="0.25">
      <c r="A549" s="7">
        <v>94649</v>
      </c>
      <c r="B549" s="7" t="s">
        <v>104</v>
      </c>
      <c r="C549" s="7" t="s">
        <v>105</v>
      </c>
      <c r="D549" s="7" t="s">
        <v>91</v>
      </c>
      <c r="E549" s="7" t="s">
        <v>106</v>
      </c>
      <c r="F549" s="7" t="s">
        <v>34</v>
      </c>
      <c r="G549" s="7" t="s">
        <v>32</v>
      </c>
      <c r="H549" s="7" t="s">
        <v>36</v>
      </c>
      <c r="I549" s="7" t="s">
        <v>36</v>
      </c>
      <c r="J549" s="8">
        <v>1</v>
      </c>
      <c r="K549" s="7" t="s">
        <v>37</v>
      </c>
      <c r="L549" s="8">
        <v>24</v>
      </c>
      <c r="M549" s="7" t="s">
        <v>38</v>
      </c>
      <c r="N549" s="8">
        <v>1000</v>
      </c>
      <c r="O549" s="7" t="s">
        <v>93</v>
      </c>
      <c r="P549" s="8">
        <v>25000</v>
      </c>
      <c r="Q549" s="9">
        <v>0.36</v>
      </c>
      <c r="R549" s="9">
        <v>0.36</v>
      </c>
      <c r="S549" s="7" t="s">
        <v>38</v>
      </c>
      <c r="T549" s="9">
        <v>4.4000000000000004</v>
      </c>
      <c r="U549" s="9">
        <v>4.4000000000000004</v>
      </c>
      <c r="V549" s="9">
        <v>1.9</v>
      </c>
      <c r="W549" s="9">
        <v>1.01</v>
      </c>
      <c r="X549" s="9">
        <v>1.2250000000000001</v>
      </c>
      <c r="Y549" s="9">
        <v>0</v>
      </c>
      <c r="Z549" s="24">
        <v>3073780876810</v>
      </c>
      <c r="AA549" s="8">
        <v>293</v>
      </c>
      <c r="AB549" s="8">
        <v>60</v>
      </c>
      <c r="AC549" s="7" t="s">
        <v>94</v>
      </c>
      <c r="AD549" s="11">
        <v>24</v>
      </c>
      <c r="AE549">
        <f t="shared" si="10"/>
        <v>94649</v>
      </c>
    </row>
    <row r="550" spans="1:31" x14ac:dyDescent="0.25">
      <c r="A550" s="7">
        <v>94576</v>
      </c>
      <c r="B550" s="7" t="s">
        <v>95</v>
      </c>
      <c r="C550" s="7" t="s">
        <v>90</v>
      </c>
      <c r="D550" s="7" t="s">
        <v>91</v>
      </c>
      <c r="E550" s="7" t="s">
        <v>96</v>
      </c>
      <c r="F550" s="7" t="s">
        <v>34</v>
      </c>
      <c r="G550" s="7" t="s">
        <v>32</v>
      </c>
      <c r="H550" s="7" t="s">
        <v>36</v>
      </c>
      <c r="I550" s="7" t="s">
        <v>36</v>
      </c>
      <c r="J550" s="8">
        <v>1</v>
      </c>
      <c r="K550" s="7" t="s">
        <v>37</v>
      </c>
      <c r="L550" s="8">
        <v>32</v>
      </c>
      <c r="M550" s="7" t="s">
        <v>38</v>
      </c>
      <c r="N550" s="8">
        <v>1000</v>
      </c>
      <c r="O550" s="7" t="s">
        <v>93</v>
      </c>
      <c r="P550" s="8">
        <v>12500</v>
      </c>
      <c r="Q550" s="9">
        <v>0.24</v>
      </c>
      <c r="R550" s="9">
        <v>0.24</v>
      </c>
      <c r="S550" s="7" t="s">
        <v>38</v>
      </c>
      <c r="T550" s="9">
        <v>4.4000000000000004</v>
      </c>
      <c r="U550" s="9">
        <v>4.4000000000000004</v>
      </c>
      <c r="V550" s="9">
        <v>1.4</v>
      </c>
      <c r="W550" s="9">
        <v>0.67600000000000005</v>
      </c>
      <c r="X550" s="9">
        <v>0.81899999999999995</v>
      </c>
      <c r="Y550" s="9">
        <v>0</v>
      </c>
      <c r="Z550" s="24">
        <v>1005677</v>
      </c>
      <c r="AA550" s="8">
        <v>288</v>
      </c>
      <c r="AB550" s="8">
        <v>60</v>
      </c>
      <c r="AC550" s="7" t="s">
        <v>94</v>
      </c>
      <c r="AD550" s="11">
        <v>32</v>
      </c>
      <c r="AE550">
        <f t="shared" si="10"/>
        <v>94576</v>
      </c>
    </row>
    <row r="551" spans="1:31" x14ac:dyDescent="0.25">
      <c r="AE551">
        <f t="shared" si="10"/>
        <v>0</v>
      </c>
    </row>
    <row r="552" spans="1:31" x14ac:dyDescent="0.25">
      <c r="A552" s="7"/>
      <c r="AE552">
        <f t="shared" si="10"/>
        <v>0</v>
      </c>
    </row>
    <row r="553" spans="1:31" x14ac:dyDescent="0.25">
      <c r="A553">
        <v>164458</v>
      </c>
      <c r="B553" t="s">
        <v>514</v>
      </c>
      <c r="C553" t="s">
        <v>509</v>
      </c>
      <c r="D553" t="s">
        <v>91</v>
      </c>
      <c r="E553">
        <v>95897</v>
      </c>
      <c r="F553" t="s">
        <v>34</v>
      </c>
      <c r="H553" t="s">
        <v>87</v>
      </c>
      <c r="I553" t="s">
        <v>36</v>
      </c>
      <c r="J553">
        <v>1</v>
      </c>
      <c r="K553" t="s">
        <v>37</v>
      </c>
      <c r="L553">
        <v>8</v>
      </c>
      <c r="M553" t="s">
        <v>87</v>
      </c>
      <c r="N553">
        <v>1</v>
      </c>
      <c r="O553" t="s">
        <v>93</v>
      </c>
      <c r="P553" s="12">
        <v>23474</v>
      </c>
      <c r="Q553">
        <v>0.43</v>
      </c>
      <c r="R553">
        <v>0.42599999999999999</v>
      </c>
      <c r="S553" t="s">
        <v>38</v>
      </c>
      <c r="T553">
        <v>15</v>
      </c>
      <c r="U553">
        <v>14</v>
      </c>
      <c r="V553">
        <v>30</v>
      </c>
      <c r="W553">
        <v>0.71699999999999997</v>
      </c>
      <c r="X553">
        <v>0.89700000000000002</v>
      </c>
      <c r="Y553">
        <v>0</v>
      </c>
      <c r="Z553" s="24">
        <v>6291007901429</v>
      </c>
      <c r="AA553">
        <v>365</v>
      </c>
      <c r="AB553">
        <v>30</v>
      </c>
      <c r="AC553" t="s">
        <v>88</v>
      </c>
      <c r="AD553">
        <v>8</v>
      </c>
      <c r="AE553">
        <f t="shared" ref="AE553:AE563" si="11">A553</f>
        <v>164458</v>
      </c>
    </row>
    <row r="554" spans="1:31" x14ac:dyDescent="0.25">
      <c r="A554" s="7">
        <v>164430</v>
      </c>
      <c r="B554" s="7" t="s">
        <v>208</v>
      </c>
      <c r="C554" s="7" t="s">
        <v>196</v>
      </c>
      <c r="D554" s="7" t="s">
        <v>91</v>
      </c>
      <c r="E554" s="7" t="s">
        <v>209</v>
      </c>
      <c r="F554" s="7" t="s">
        <v>34</v>
      </c>
      <c r="G554" s="7" t="s">
        <v>32</v>
      </c>
      <c r="H554" s="7" t="s">
        <v>36</v>
      </c>
      <c r="I554" s="7" t="s">
        <v>36</v>
      </c>
      <c r="J554" s="8">
        <v>1</v>
      </c>
      <c r="K554" s="7" t="s">
        <v>37</v>
      </c>
      <c r="L554" s="8">
        <v>12</v>
      </c>
      <c r="M554" s="7" t="s">
        <v>32</v>
      </c>
      <c r="N554" s="8">
        <v>0</v>
      </c>
      <c r="O554" s="7" t="s">
        <v>32</v>
      </c>
      <c r="P554" s="8">
        <v>0</v>
      </c>
      <c r="Q554" s="9">
        <v>0.1</v>
      </c>
      <c r="R554" s="8">
        <v>0</v>
      </c>
      <c r="S554" s="7" t="s">
        <v>38</v>
      </c>
      <c r="T554" s="9">
        <v>3.5</v>
      </c>
      <c r="U554" s="9">
        <v>3.5</v>
      </c>
      <c r="V554" s="8">
        <v>9</v>
      </c>
      <c r="W554" s="9">
        <v>0.34899999999999998</v>
      </c>
      <c r="X554" s="9">
        <v>0.45600000000000002</v>
      </c>
      <c r="Y554" s="9">
        <v>0</v>
      </c>
      <c r="Z554" s="24">
        <v>331333</v>
      </c>
      <c r="AA554" s="8">
        <v>540</v>
      </c>
      <c r="AB554" s="8">
        <v>93</v>
      </c>
      <c r="AC554" s="7" t="s">
        <v>182</v>
      </c>
      <c r="AD554" s="11">
        <v>12</v>
      </c>
      <c r="AE554">
        <f t="shared" si="11"/>
        <v>164430</v>
      </c>
    </row>
    <row r="555" spans="1:31" x14ac:dyDescent="0.25">
      <c r="A555" s="7">
        <v>164429</v>
      </c>
      <c r="B555" s="7" t="s">
        <v>206</v>
      </c>
      <c r="C555" s="7" t="s">
        <v>196</v>
      </c>
      <c r="D555" s="7" t="s">
        <v>32</v>
      </c>
      <c r="E555" s="7" t="s">
        <v>207</v>
      </c>
      <c r="F555" s="7" t="s">
        <v>34</v>
      </c>
      <c r="G555" s="7" t="s">
        <v>32</v>
      </c>
      <c r="H555" s="7" t="s">
        <v>36</v>
      </c>
      <c r="I555" s="7" t="s">
        <v>36</v>
      </c>
      <c r="J555" s="8">
        <v>1</v>
      </c>
      <c r="K555" s="7" t="s">
        <v>37</v>
      </c>
      <c r="L555" s="8">
        <v>12</v>
      </c>
      <c r="M555" s="7" t="s">
        <v>32</v>
      </c>
      <c r="N555" s="8">
        <v>0</v>
      </c>
      <c r="O555" s="7" t="s">
        <v>32</v>
      </c>
      <c r="P555" s="8">
        <v>0</v>
      </c>
      <c r="Q555" s="9">
        <v>0.22</v>
      </c>
      <c r="R555" s="8">
        <v>0</v>
      </c>
      <c r="S555" s="7" t="s">
        <v>38</v>
      </c>
      <c r="T555" s="8">
        <v>6</v>
      </c>
      <c r="U555" s="8">
        <v>6</v>
      </c>
      <c r="V555" s="8">
        <v>7</v>
      </c>
      <c r="W555" s="9">
        <v>0.34899999999999998</v>
      </c>
      <c r="X555" s="9">
        <v>0.441</v>
      </c>
      <c r="Y555" s="9">
        <v>0</v>
      </c>
      <c r="Z555" s="24">
        <v>331708</v>
      </c>
      <c r="AA555" s="8">
        <v>540</v>
      </c>
      <c r="AB555" s="8">
        <v>93</v>
      </c>
      <c r="AC555" s="7" t="s">
        <v>182</v>
      </c>
      <c r="AD555" s="11">
        <v>12</v>
      </c>
      <c r="AE555">
        <f t="shared" si="11"/>
        <v>164429</v>
      </c>
    </row>
    <row r="556" spans="1:31" x14ac:dyDescent="0.25">
      <c r="A556" s="7">
        <v>164427</v>
      </c>
      <c r="B556" s="7" t="s">
        <v>202</v>
      </c>
      <c r="C556" s="7" t="s">
        <v>196</v>
      </c>
      <c r="D556" s="7" t="s">
        <v>32</v>
      </c>
      <c r="E556" s="7" t="s">
        <v>203</v>
      </c>
      <c r="F556" s="7" t="s">
        <v>34</v>
      </c>
      <c r="G556" s="7" t="s">
        <v>32</v>
      </c>
      <c r="H556" s="7" t="s">
        <v>36</v>
      </c>
      <c r="I556" s="7" t="s">
        <v>36</v>
      </c>
      <c r="J556" s="8">
        <v>1</v>
      </c>
      <c r="K556" s="7" t="s">
        <v>37</v>
      </c>
      <c r="L556" s="8">
        <v>12</v>
      </c>
      <c r="M556" s="7" t="s">
        <v>32</v>
      </c>
      <c r="N556" s="8">
        <v>0</v>
      </c>
      <c r="O556" s="7" t="s">
        <v>32</v>
      </c>
      <c r="P556" s="8">
        <v>0</v>
      </c>
      <c r="Q556" s="9">
        <v>0.23</v>
      </c>
      <c r="R556" s="8">
        <v>0</v>
      </c>
      <c r="S556" s="7" t="s">
        <v>38</v>
      </c>
      <c r="T556" s="8">
        <v>6</v>
      </c>
      <c r="U556" s="8">
        <v>6</v>
      </c>
      <c r="V556" s="8">
        <v>7</v>
      </c>
      <c r="W556" s="9">
        <v>0.34899999999999998</v>
      </c>
      <c r="X556" s="9">
        <v>0.45600000000000002</v>
      </c>
      <c r="Y556" s="9">
        <v>0</v>
      </c>
      <c r="Z556" s="24">
        <v>8410175067807</v>
      </c>
      <c r="AA556" s="8">
        <v>540</v>
      </c>
      <c r="AB556" s="8">
        <v>93</v>
      </c>
      <c r="AC556" s="7" t="s">
        <v>182</v>
      </c>
      <c r="AD556" s="11">
        <v>12</v>
      </c>
      <c r="AE556">
        <f t="shared" si="11"/>
        <v>164427</v>
      </c>
    </row>
    <row r="557" spans="1:31" x14ac:dyDescent="0.25">
      <c r="A557">
        <v>375701</v>
      </c>
      <c r="B557" t="s">
        <v>591</v>
      </c>
      <c r="C557" t="s">
        <v>509</v>
      </c>
      <c r="D557" t="s">
        <v>91</v>
      </c>
      <c r="F557" t="s">
        <v>34</v>
      </c>
      <c r="H557" t="s">
        <v>36</v>
      </c>
      <c r="I557" t="s">
        <v>36</v>
      </c>
      <c r="J557">
        <v>1</v>
      </c>
      <c r="K557" t="s">
        <v>37</v>
      </c>
      <c r="L557">
        <v>24</v>
      </c>
      <c r="N557">
        <v>0</v>
      </c>
      <c r="P557">
        <v>0</v>
      </c>
      <c r="Q557">
        <v>0.08</v>
      </c>
      <c r="R557">
        <v>0</v>
      </c>
      <c r="S557" t="s">
        <v>38</v>
      </c>
      <c r="T557">
        <v>12</v>
      </c>
      <c r="U557">
        <v>6</v>
      </c>
      <c r="V557">
        <v>6</v>
      </c>
      <c r="W557">
        <v>0.105</v>
      </c>
      <c r="X557">
        <v>0.13100000000000001</v>
      </c>
      <c r="Y557">
        <v>0</v>
      </c>
      <c r="Z557" s="24">
        <v>291007902211</v>
      </c>
      <c r="AA557">
        <v>365</v>
      </c>
      <c r="AB557">
        <v>30</v>
      </c>
      <c r="AC557" t="s">
        <v>88</v>
      </c>
      <c r="AD557">
        <v>24</v>
      </c>
      <c r="AE557">
        <f t="shared" si="11"/>
        <v>375701</v>
      </c>
    </row>
    <row r="558" spans="1:31" x14ac:dyDescent="0.25">
      <c r="A558" s="7">
        <v>195536</v>
      </c>
      <c r="B558" s="7" t="s">
        <v>262</v>
      </c>
      <c r="C558" s="7" t="s">
        <v>125</v>
      </c>
      <c r="D558" s="7" t="s">
        <v>91</v>
      </c>
      <c r="E558" s="7" t="s">
        <v>32</v>
      </c>
      <c r="F558" s="7" t="s">
        <v>103</v>
      </c>
      <c r="G558" s="7" t="s">
        <v>32</v>
      </c>
      <c r="H558" s="7" t="s">
        <v>87</v>
      </c>
      <c r="I558" s="7" t="s">
        <v>36</v>
      </c>
      <c r="J558" s="8">
        <v>1</v>
      </c>
      <c r="K558" s="7" t="s">
        <v>37</v>
      </c>
      <c r="L558" s="8">
        <v>12</v>
      </c>
      <c r="M558" s="7" t="s">
        <v>38</v>
      </c>
      <c r="N558" s="8">
        <v>1543</v>
      </c>
      <c r="O558" s="7" t="s">
        <v>87</v>
      </c>
      <c r="P558" s="8">
        <v>1</v>
      </c>
      <c r="Q558" s="9">
        <v>0.99</v>
      </c>
      <c r="R558" s="8">
        <v>0</v>
      </c>
      <c r="S558" s="7" t="s">
        <v>38</v>
      </c>
      <c r="T558" s="9">
        <v>18.5</v>
      </c>
      <c r="U558" s="9">
        <v>12.5</v>
      </c>
      <c r="V558" s="9">
        <v>6.5</v>
      </c>
      <c r="W558" s="9">
        <v>2.3239999999999998</v>
      </c>
      <c r="X558" s="9">
        <v>2.8149999999999999</v>
      </c>
      <c r="Y558" s="9">
        <v>0</v>
      </c>
      <c r="Z558" s="24">
        <v>3073781017885</v>
      </c>
      <c r="AA558" s="8">
        <v>301</v>
      </c>
      <c r="AB558" s="8">
        <v>30</v>
      </c>
      <c r="AC558" s="7" t="s">
        <v>94</v>
      </c>
      <c r="AD558" s="11">
        <v>12</v>
      </c>
      <c r="AE558">
        <f t="shared" si="11"/>
        <v>195536</v>
      </c>
    </row>
    <row r="559" spans="1:31" x14ac:dyDescent="0.25">
      <c r="A559" s="7">
        <v>194958</v>
      </c>
      <c r="B559" s="7" t="s">
        <v>260</v>
      </c>
      <c r="C559" s="7" t="s">
        <v>125</v>
      </c>
      <c r="D559" s="7" t="s">
        <v>91</v>
      </c>
      <c r="E559" s="7" t="s">
        <v>32</v>
      </c>
      <c r="F559" s="7" t="s">
        <v>34</v>
      </c>
      <c r="G559" s="7" t="s">
        <v>32</v>
      </c>
      <c r="H559" s="7" t="s">
        <v>36</v>
      </c>
      <c r="I559" s="7" t="s">
        <v>36</v>
      </c>
      <c r="J559" s="8">
        <v>1</v>
      </c>
      <c r="K559" s="7" t="s">
        <v>37</v>
      </c>
      <c r="L559" s="8">
        <v>18</v>
      </c>
      <c r="M559" s="7" t="s">
        <v>38</v>
      </c>
      <c r="N559" s="8">
        <v>5</v>
      </c>
      <c r="O559" s="7" t="s">
        <v>93</v>
      </c>
      <c r="P559" s="8">
        <v>5000</v>
      </c>
      <c r="Q559" s="9">
        <v>0.22</v>
      </c>
      <c r="R559" s="8">
        <v>0</v>
      </c>
      <c r="S559" s="7" t="s">
        <v>38</v>
      </c>
      <c r="T559" s="8">
        <v>14</v>
      </c>
      <c r="U559" s="9">
        <v>7.5</v>
      </c>
      <c r="V559" s="9">
        <v>4.5</v>
      </c>
      <c r="W559" s="9">
        <v>0.76700000000000002</v>
      </c>
      <c r="X559" s="9">
        <v>0.92900000000000005</v>
      </c>
      <c r="Y559" s="9">
        <v>0</v>
      </c>
      <c r="Z559" s="24">
        <v>3662199</v>
      </c>
      <c r="AA559" s="8">
        <v>210</v>
      </c>
      <c r="AB559" s="8">
        <v>30</v>
      </c>
      <c r="AC559" s="7" t="s">
        <v>94</v>
      </c>
      <c r="AD559" s="11">
        <v>18</v>
      </c>
      <c r="AE559">
        <f t="shared" si="11"/>
        <v>194958</v>
      </c>
    </row>
    <row r="560" spans="1:31" x14ac:dyDescent="0.25">
      <c r="A560" s="7">
        <v>152859</v>
      </c>
      <c r="B560" s="7" t="s">
        <v>163</v>
      </c>
      <c r="C560" s="7" t="s">
        <v>90</v>
      </c>
      <c r="D560" s="7" t="s">
        <v>91</v>
      </c>
      <c r="E560" s="7" t="s">
        <v>32</v>
      </c>
      <c r="F560" s="7" t="s">
        <v>34</v>
      </c>
      <c r="G560" s="7" t="s">
        <v>32</v>
      </c>
      <c r="H560" s="7" t="s">
        <v>36</v>
      </c>
      <c r="I560" s="7" t="s">
        <v>36</v>
      </c>
      <c r="J560" s="8">
        <v>1</v>
      </c>
      <c r="K560" s="7" t="s">
        <v>37</v>
      </c>
      <c r="L560" s="8">
        <v>40</v>
      </c>
      <c r="M560" s="7" t="s">
        <v>38</v>
      </c>
      <c r="N560" s="8">
        <v>8333</v>
      </c>
      <c r="O560" s="7" t="s">
        <v>93</v>
      </c>
      <c r="P560" s="8">
        <v>8333</v>
      </c>
      <c r="Q560" s="9">
        <v>0.12</v>
      </c>
      <c r="R560" s="9">
        <v>0.12</v>
      </c>
      <c r="S560" s="7" t="s">
        <v>38</v>
      </c>
      <c r="T560" s="9">
        <v>4.4000000000000004</v>
      </c>
      <c r="U560" s="9">
        <v>4.4000000000000004</v>
      </c>
      <c r="V560" s="9">
        <v>0.9</v>
      </c>
      <c r="W560" s="9">
        <v>0.33700000000000002</v>
      </c>
      <c r="X560" s="9">
        <v>0.40799999999999997</v>
      </c>
      <c r="Y560" s="9">
        <v>0</v>
      </c>
      <c r="Z560" s="24">
        <v>1005653</v>
      </c>
      <c r="AA560" s="8">
        <v>288</v>
      </c>
      <c r="AB560" s="8">
        <v>60</v>
      </c>
      <c r="AC560" s="7" t="s">
        <v>94</v>
      </c>
      <c r="AD560" s="11">
        <v>40</v>
      </c>
      <c r="AE560">
        <f t="shared" si="11"/>
        <v>152859</v>
      </c>
    </row>
    <row r="561" spans="1:31" x14ac:dyDescent="0.25">
      <c r="A561" s="7">
        <v>94581</v>
      </c>
      <c r="B561" s="7" t="s">
        <v>97</v>
      </c>
      <c r="C561" s="7" t="s">
        <v>90</v>
      </c>
      <c r="D561" s="7" t="s">
        <v>91</v>
      </c>
      <c r="E561" s="7" t="s">
        <v>98</v>
      </c>
      <c r="F561" s="7" t="s">
        <v>34</v>
      </c>
      <c r="G561" s="7" t="s">
        <v>32</v>
      </c>
      <c r="H561" s="7" t="s">
        <v>36</v>
      </c>
      <c r="I561" s="7" t="s">
        <v>36</v>
      </c>
      <c r="J561" s="8">
        <v>1</v>
      </c>
      <c r="K561" s="7" t="s">
        <v>37</v>
      </c>
      <c r="L561" s="8">
        <v>24</v>
      </c>
      <c r="M561" s="7" t="s">
        <v>38</v>
      </c>
      <c r="N561" s="8">
        <v>1000</v>
      </c>
      <c r="O561" s="7" t="s">
        <v>93</v>
      </c>
      <c r="P561" s="8">
        <v>25000</v>
      </c>
      <c r="Q561" s="9">
        <v>0.36</v>
      </c>
      <c r="R561" s="9">
        <v>0.32</v>
      </c>
      <c r="S561" s="7" t="s">
        <v>38</v>
      </c>
      <c r="T561" s="9">
        <v>4.4000000000000004</v>
      </c>
      <c r="U561" s="9">
        <v>4.4000000000000004</v>
      </c>
      <c r="V561" s="9">
        <v>1.9</v>
      </c>
      <c r="W561" s="9">
        <v>1.01</v>
      </c>
      <c r="X561" s="9">
        <v>1.2250000000000001</v>
      </c>
      <c r="Y561" s="9">
        <v>0</v>
      </c>
      <c r="Z561" s="24">
        <v>3073780896528</v>
      </c>
      <c r="AA561" s="8">
        <v>288</v>
      </c>
      <c r="AB561" s="8">
        <v>60</v>
      </c>
      <c r="AC561" s="7" t="s">
        <v>94</v>
      </c>
      <c r="AD561" s="11">
        <v>24</v>
      </c>
      <c r="AE561">
        <f t="shared" si="11"/>
        <v>94581</v>
      </c>
    </row>
    <row r="562" spans="1:31" x14ac:dyDescent="0.25">
      <c r="A562" s="7">
        <v>94714</v>
      </c>
      <c r="B562" s="7" t="s">
        <v>124</v>
      </c>
      <c r="C562" s="7" t="s">
        <v>125</v>
      </c>
      <c r="D562" s="7" t="s">
        <v>91</v>
      </c>
      <c r="E562" s="7" t="s">
        <v>126</v>
      </c>
      <c r="F562" s="7" t="s">
        <v>34</v>
      </c>
      <c r="G562" s="7" t="s">
        <v>32</v>
      </c>
      <c r="H562" s="7" t="s">
        <v>36</v>
      </c>
      <c r="I562" s="7" t="s">
        <v>36</v>
      </c>
      <c r="J562" s="8">
        <v>1</v>
      </c>
      <c r="K562" s="7" t="s">
        <v>37</v>
      </c>
      <c r="L562" s="8">
        <v>16</v>
      </c>
      <c r="M562" s="7" t="s">
        <v>38</v>
      </c>
      <c r="N562" s="8">
        <v>1000</v>
      </c>
      <c r="O562" s="7" t="s">
        <v>93</v>
      </c>
      <c r="P562" s="8">
        <v>62500</v>
      </c>
      <c r="Q562" s="9">
        <v>0.48</v>
      </c>
      <c r="R562" s="9">
        <v>0.432</v>
      </c>
      <c r="S562" s="7" t="s">
        <v>38</v>
      </c>
      <c r="T562" s="9">
        <v>12.5</v>
      </c>
      <c r="U562" s="9">
        <v>3.5</v>
      </c>
      <c r="V562" s="9">
        <v>18.5</v>
      </c>
      <c r="W562" s="9">
        <v>1.8009999999999999</v>
      </c>
      <c r="X562" s="9">
        <v>2.1829999999999998</v>
      </c>
      <c r="Y562" s="9">
        <v>0</v>
      </c>
      <c r="Z562" s="24">
        <v>59002003762</v>
      </c>
      <c r="AA562" s="8">
        <v>301</v>
      </c>
      <c r="AB562" s="8">
        <v>30</v>
      </c>
      <c r="AC562" s="7" t="s">
        <v>94</v>
      </c>
      <c r="AD562" s="11">
        <v>16</v>
      </c>
      <c r="AE562">
        <f t="shared" si="11"/>
        <v>94714</v>
      </c>
    </row>
    <row r="563" spans="1:31" x14ac:dyDescent="0.25">
      <c r="A563" s="7">
        <v>94659</v>
      </c>
      <c r="B563" s="7" t="s">
        <v>107</v>
      </c>
      <c r="C563" s="7" t="s">
        <v>108</v>
      </c>
      <c r="D563" s="7" t="s">
        <v>91</v>
      </c>
      <c r="E563" s="7" t="s">
        <v>109</v>
      </c>
      <c r="F563" s="7" t="s">
        <v>34</v>
      </c>
      <c r="G563" s="7" t="s">
        <v>32</v>
      </c>
      <c r="H563" s="7" t="s">
        <v>36</v>
      </c>
      <c r="I563" s="7" t="s">
        <v>36</v>
      </c>
      <c r="J563" s="8">
        <v>1</v>
      </c>
      <c r="K563" s="7" t="s">
        <v>37</v>
      </c>
      <c r="L563" s="8">
        <v>32</v>
      </c>
      <c r="M563" s="7" t="s">
        <v>38</v>
      </c>
      <c r="N563" s="8">
        <v>1000</v>
      </c>
      <c r="O563" s="7" t="s">
        <v>93</v>
      </c>
      <c r="P563" s="8">
        <v>12500</v>
      </c>
      <c r="Q563" s="9">
        <v>0.26</v>
      </c>
      <c r="R563" s="9">
        <v>0.24</v>
      </c>
      <c r="S563" s="7" t="s">
        <v>38</v>
      </c>
      <c r="T563" s="9">
        <v>11.5</v>
      </c>
      <c r="U563" s="9">
        <v>11.5</v>
      </c>
      <c r="V563" s="9">
        <v>3.5</v>
      </c>
      <c r="W563" s="9">
        <v>0.80600000000000005</v>
      </c>
      <c r="X563" s="9">
        <v>0.97699999999999998</v>
      </c>
      <c r="Y563" s="9">
        <v>0</v>
      </c>
      <c r="Z563" s="24">
        <v>59002000310</v>
      </c>
      <c r="AA563" s="8">
        <v>288</v>
      </c>
      <c r="AB563" s="8">
        <v>60</v>
      </c>
      <c r="AC563" s="7" t="s">
        <v>94</v>
      </c>
      <c r="AD563" s="11">
        <v>32</v>
      </c>
      <c r="AE563">
        <f t="shared" si="11"/>
        <v>94659</v>
      </c>
    </row>
  </sheetData>
  <conditionalFormatting sqref="Z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ZDET-PRICE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 Mehta</dc:creator>
  <cp:lastModifiedBy>Siddh Mehta</cp:lastModifiedBy>
  <dcterms:created xsi:type="dcterms:W3CDTF">2025-12-30T17:53:50Z</dcterms:created>
  <dcterms:modified xsi:type="dcterms:W3CDTF">2026-02-17T18:28:34Z</dcterms:modified>
</cp:coreProperties>
</file>